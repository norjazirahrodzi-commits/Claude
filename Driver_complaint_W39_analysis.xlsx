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ses" sheetId="2" state="visible" r:id="rId2"/>
    <sheet name="Hub Scorecard" sheetId="3" state="visible" r:id="rId3"/>
    <sheet name="Driver Watchlist" sheetId="4" state="visible" r:id="rId4"/>
    <sheet name="Repeat TIDs" sheetId="5" state="visible" r:id="rId5"/>
    <sheet name="Metabase Lookup" sheetId="6" state="visible" r:id="rId6"/>
    <sheet name="Data Quality" sheetId="7" state="visible" r:id="rId7"/>
    <sheet name="How to Sync" sheetId="8" state="visible" r:id="rId8"/>
    <sheet name="Raw (original)" sheetId="9" state="visible" r:id="rId9"/>
  </sheets>
  <definedNames>
    <definedName name="_xlnm._FilterDatabase" localSheetId="1" hidden="1">'Cases'!$A$1:$Z$499</definedName>
    <definedName name="_xlnm._FilterDatabase" localSheetId="2" hidden="1">'Hub Scorecard'!$A$4:$O$107</definedName>
    <definedName name="_xlnm._FilterDatabase" localSheetId="5" hidden="1">'Metabase Lookup'!$A$1:$G$480</definedName>
  </definedNames>
  <calcPr calcId="124519" fullCalcOnLoad="1"/>
</workbook>
</file>

<file path=xl/styles.xml><?xml version="1.0" encoding="utf-8"?>
<styleSheet xmlns="http://schemas.openxmlformats.org/spreadsheetml/2006/main">
  <numFmts count="6">
    <numFmt numFmtId="164" formatCode="yyyy-mm-dd h:mm:ss"/>
    <numFmt numFmtId="165" formatCode="dd-mmm-yy hh:mm"/>
    <numFmt numFmtId="166" formatCode="dd-mmm-yy"/>
    <numFmt numFmtId="167" formatCode="0.0%"/>
    <numFmt numFmtId="168" formatCode="dd-mmm hh:mm"/>
    <numFmt numFmtId="169" formatCode="ddd dd-mmm"/>
  </numFmts>
  <fonts count="14">
    <font>
      <name val="Calibri"/>
      <family val="2"/>
      <color theme="1"/>
      <sz val="11"/>
      <scheme val="minor"/>
    </font>
    <font>
      <name val="Arial"/>
      <b val="1"/>
      <color rgb="00FFFFFF"/>
    </font>
    <font>
      <name val="Arial"/>
      <sz val="9"/>
    </font>
    <font>
      <name val="Arial"/>
      <b val="1"/>
      <color rgb="00C8102E"/>
    </font>
    <font>
      <name val="Arial"/>
      <b val="1"/>
      <color rgb="001F2A37"/>
      <sz val="16"/>
    </font>
    <font>
      <name val="Arial"/>
      <i val="1"/>
      <color rgb="00667085"/>
      <sz val="9"/>
    </font>
    <font>
      <name val="Arial"/>
      <i val="1"/>
      <sz val="8"/>
    </font>
    <font>
      <name val="Arial"/>
      <b val="1"/>
    </font>
    <font>
      <name val="Arial"/>
      <sz val="10"/>
    </font>
    <font>
      <name val="Courier New"/>
      <sz val="9"/>
    </font>
    <font>
      <name val="Courier New"/>
      <sz val="8"/>
    </font>
    <font>
      <name val="Arial"/>
      <b val="1"/>
      <color rgb="00C8102E"/>
      <sz val="12"/>
    </font>
    <font>
      <name val="Arial"/>
      <b val="1"/>
      <sz val="11"/>
    </font>
    <font>
      <name val="Arial"/>
      <i val="1"/>
      <color rgb="00C8102E"/>
      <sz val="8"/>
    </font>
  </fonts>
  <fills count="6">
    <fill>
      <patternFill/>
    </fill>
    <fill>
      <patternFill patternType="gray125"/>
    </fill>
    <fill>
      <patternFill patternType="solid">
        <fgColor rgb="001F2A37"/>
      </patternFill>
    </fill>
    <fill>
      <patternFill patternType="solid">
        <fgColor rgb="00C8102E"/>
      </patternFill>
    </fill>
    <fill>
      <patternFill patternType="solid">
        <fgColor rgb="00FFF2CC"/>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1">
    <xf numFmtId="0" fontId="0" fillId="0" borderId="0" pivotButton="0" quotePrefix="0" xfId="0"/>
    <xf numFmtId="0" fontId="4" fillId="0" borderId="0" pivotButton="0" quotePrefix="0" xfId="0"/>
    <xf numFmtId="0" fontId="5" fillId="0" borderId="0" applyAlignment="1" pivotButton="0" quotePrefix="0" xfId="0">
      <alignment/>
    </xf>
    <xf numFmtId="0" fontId="11" fillId="0" borderId="0" pivotButton="0" quotePrefix="0" xfId="0"/>
    <xf numFmtId="0" fontId="8" fillId="5" borderId="1" pivotButton="0" quotePrefix="0" xfId="0"/>
    <xf numFmtId="1" fontId="12" fillId="0" borderId="1" applyAlignment="1" pivotButton="0" quotePrefix="0" xfId="0">
      <alignment horizontal="right"/>
    </xf>
    <xf numFmtId="0" fontId="8" fillId="0" borderId="0" applyAlignment="1" pivotButton="0" quotePrefix="0" xfId="0">
      <alignment vertical="top" wrapText="1"/>
    </xf>
    <xf numFmtId="167" fontId="12" fillId="0" borderId="1" applyAlignment="1" pivotButton="0" quotePrefix="0" xfId="0">
      <alignment horizontal="right"/>
    </xf>
    <xf numFmtId="0" fontId="13" fillId="0" borderId="0" pivotButton="0" quotePrefix="0" xfId="0"/>
    <xf numFmtId="0" fontId="1" fillId="2" borderId="1" applyAlignment="1" pivotButton="0" quotePrefix="0" xfId="0">
      <alignment horizontal="center" vertical="center" wrapText="1"/>
    </xf>
    <xf numFmtId="0" fontId="2" fillId="0" borderId="1" pivotButton="0" quotePrefix="0" xfId="0"/>
    <xf numFmtId="167" fontId="2" fillId="0" borderId="1" pivotButton="0" quotePrefix="0" xfId="0"/>
    <xf numFmtId="169" fontId="2" fillId="0" borderId="1" pivotButton="0" quotePrefix="0" xfId="0"/>
    <xf numFmtId="0" fontId="1" fillId="3" borderId="1" applyAlignment="1" pivotButton="0" quotePrefix="0" xfId="0">
      <alignment horizontal="center" vertical="center" wrapText="1"/>
    </xf>
    <xf numFmtId="0" fontId="2" fillId="0" borderId="0" applyAlignment="1" pivotButton="0" quotePrefix="0" xfId="0">
      <alignment vertical="top" wrapText="1"/>
    </xf>
    <xf numFmtId="49" fontId="2" fillId="0" borderId="0" applyAlignment="1" pivotButton="0" quotePrefix="0" xfId="0">
      <alignment vertical="top" wrapText="1"/>
    </xf>
    <xf numFmtId="165" fontId="2" fillId="0" borderId="0" applyAlignment="1" pivotButton="0" quotePrefix="0" xfId="0">
      <alignment vertical="top" wrapText="1"/>
    </xf>
    <xf numFmtId="166" fontId="2" fillId="0" borderId="0" applyAlignment="1" pivotButton="0" quotePrefix="0" xfId="0">
      <alignment vertical="top" wrapText="1"/>
    </xf>
    <xf numFmtId="0" fontId="5" fillId="0" borderId="0" pivotButton="0" quotePrefix="0" xfId="0"/>
    <xf numFmtId="0" fontId="6" fillId="0" borderId="0" pivotButton="0" quotePrefix="0" xfId="0"/>
    <xf numFmtId="0" fontId="2" fillId="0" borderId="1" applyAlignment="1" pivotButton="0" quotePrefix="0" xfId="0">
      <alignment vertical="top" wrapText="1"/>
    </xf>
    <xf numFmtId="168" fontId="2" fillId="0" borderId="1" applyAlignment="1" pivotButton="0" quotePrefix="0" xfId="0">
      <alignment vertical="top" wrapText="1"/>
    </xf>
    <xf numFmtId="0" fontId="3" fillId="0" borderId="0" pivotButton="0" quotePrefix="0" xfId="0"/>
    <xf numFmtId="0" fontId="2" fillId="4" borderId="1" pivotButton="0" quotePrefix="0" xfId="0"/>
    <xf numFmtId="166" fontId="2" fillId="4" borderId="1" pivotButton="0" quotePrefix="0" xfId="0"/>
    <xf numFmtId="165" fontId="2" fillId="0" borderId="1" pivotButton="0" quotePrefix="0" xfId="0"/>
    <xf numFmtId="0" fontId="2" fillId="0" borderId="0" pivotButton="0" quotePrefix="0" xfId="0"/>
    <xf numFmtId="0" fontId="7" fillId="0" borderId="0" pivotButton="0" quotePrefix="0" xfId="0"/>
    <xf numFmtId="0" fontId="9" fillId="5" borderId="0" applyAlignment="1" pivotButton="0" quotePrefix="0" xfId="0">
      <alignment vertical="top" wrapText="1"/>
    </xf>
    <xf numFmtId="0" fontId="10" fillId="0" borderId="0" applyAlignment="1" pivotButton="0" quotePrefix="0" xfId="0">
      <alignment vertical="top" wrapText="1"/>
    </xf>
    <xf numFmtId="49" fontId="2" fillId="0" borderId="0" pivotButton="0" quotePrefix="0" xfId="0"/>
  </cellXfs>
  <cellStyles count="1">
    <cellStyle name="Normal" xfId="0" builtinId="0" hidden="0"/>
  </cellStyles>
  <dxfs count="1">
    <dxf>
      <fill>
        <patternFill patternType="solid">
          <fgColor rgb="00FDE2E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Analysis</author>
  </authors>
  <commentList>
    <comment ref="J1" authorId="0" shapeId="0">
      <text>
        <t>Derived from the driver name pattern: "HUB - ID - NAME" = named ID driver; any name containing OPS = generic hub account (actual driver not identified).</t>
      </text>
    </comment>
    <comment ref="O1" authorId="0" shapeId="0">
      <text>
        <t>Keyword-based classification of the Complaint Details text (Fake Fail rows only). Priority order: recycled POD &gt; wrong number &gt; no call &gt; call not connected &gt; unspecified call log &gt; location &gt; customer dispute &gt; generic invalid POD.</t>
      </text>
    </comment>
    <comment ref="V1" authorId="0" shapeId="0">
      <text>
        <t>Pulled from the Metabase Lookup sheet by TID. Shows "Pending" until Metabase results are pasted there.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C8102E"/>
    <outlinePr summaryBelow="1" summaryRight="1"/>
    <pageSetUpPr/>
  </sheetPr>
  <dimension ref="A1:N65"/>
  <sheetViews>
    <sheetView showGridLines="0" workbookViewId="0">
      <pane ySplit="3" topLeftCell="A4" activePane="bottomLeft" state="frozen"/>
      <selection pane="bottomLeft" activeCell="A1" sqref="A1"/>
    </sheetView>
  </sheetViews>
  <sheetFormatPr baseColWidth="8" defaultRowHeight="15"/>
  <cols>
    <col width="34" customWidth="1" min="1" max="1"/>
    <col width="12" customWidth="1" min="2" max="2"/>
    <col width="11" customWidth="1" min="3" max="3"/>
    <col width="3" customWidth="1" min="4" max="4"/>
    <col width="34" customWidth="1" min="5" max="5"/>
    <col width="10" customWidth="1" min="6" max="6"/>
    <col width="12" customWidth="1" min="7" max="7"/>
    <col width="3" customWidth="1" min="8" max="8"/>
    <col width="18" customWidth="1" min="9" max="9"/>
    <col width="18" customWidth="1" min="10" max="10"/>
    <col width="18" customWidth="1" min="11" max="11"/>
    <col width="18" customWidth="1" min="12" max="12"/>
    <col width="18" customWidth="1" min="13" max="13"/>
    <col width="18" customWidth="1" min="14" max="14"/>
  </cols>
  <sheetData>
    <row r="1">
      <c r="A1" s="1" t="inlineStr">
        <is>
          <t>Driver Complaint Analysis — Week 39 (21–27 Sep 2026)</t>
        </is>
      </c>
    </row>
    <row r="2">
      <c r="A2" s="2" t="inlineStr">
        <is>
          <t>Source: Driver_complaint_W39.xlsx (Sheet5, 498 rows). All figures below are live formulas on the "Cases" sheet.</t>
        </is>
      </c>
    </row>
    <row r="4">
      <c r="A4" s="3" t="inlineStr">
        <is>
          <t>Headline KPIs</t>
        </is>
      </c>
      <c r="I4" s="3" t="inlineStr">
        <is>
          <t>Key findings &amp; recommendations</t>
        </is>
      </c>
    </row>
    <row r="5">
      <c r="A5" s="4" t="inlineStr">
        <is>
          <t>Total cases</t>
        </is>
      </c>
      <c r="B5" s="5">
        <f>COUNTA(Cases!$B$2:$B$499)</f>
        <v/>
      </c>
      <c r="I5" s="6" t="inlineStr">
        <is>
          <t>1. Fake Fail dominates: 341 of 498 cases (68%). Fake Success (58) and Wrong Address (55) follow — together these three are 91% of complaints.</t>
        </is>
      </c>
    </row>
    <row r="6">
      <c r="A6" s="4" t="inlineStr">
        <is>
          <t>Unique TIDs</t>
        </is>
      </c>
      <c r="B6" s="5">
        <f>COUNTA('Metabase Lookup'!A2:A480)</f>
        <v/>
      </c>
    </row>
    <row r="7">
      <c r="A7" s="4" t="inlineStr">
        <is>
          <t>Fake Fail share</t>
        </is>
      </c>
      <c r="B7" s="7">
        <f>COUNTIF(Cases!$N$2:$N$499,"Fake Fail")/B5</f>
        <v/>
      </c>
    </row>
    <row r="8">
      <c r="A8" s="4" t="inlineStr">
        <is>
          <t>Driver not identified (OPS account)</t>
        </is>
      </c>
      <c r="B8" s="7">
        <f>COUNTIF(Cases!$J$2:$J$499,"OPS (generic hub account)")/B5</f>
        <v/>
      </c>
      <c r="I8" s="6" t="inlineStr">
        <is>
          <t>2. The call is the weak point: 238 Fake Fails (70%) fail on call evidence — no call log, call not connected / &lt;3 attempts, wrong number, or an invalid call log. Only 29 fail on location alone, though 103 (30%) also have a bad location/site photo.</t>
        </is>
      </c>
    </row>
    <row r="9">
      <c r="A9" s="4" t="inlineStr">
        <is>
          <t>TIDs logged 2+ times</t>
        </is>
      </c>
      <c r="B9" s="5">
        <f>COUNTIF('Metabase Lookup'!G2:G480,"&gt;1")</f>
        <v/>
      </c>
    </row>
    <row r="10">
      <c r="A10" s="4" t="inlineStr">
        <is>
          <t>Hubs with complaints</t>
        </is>
      </c>
      <c r="B10" s="5">
        <f>COUNTA('Hub Scorecard'!B5:B107)</f>
        <v/>
      </c>
    </row>
    <row r="11">
      <c r="A11" s="4" t="inlineStr">
        <is>
          <t>Cases with prior tag (Metabase)</t>
        </is>
      </c>
      <c r="B11" s="5">
        <f>IF(COUNTIF(Cases!$Y$2:$Y$499,"Pending")=B5,"Pending sync",COUNTIF(Cases!$Y$2:$Y$499,"Yes"))</f>
        <v/>
      </c>
      <c r="C11" s="8" t="inlineStr">
        <is>
          <t>← fills in once Metabase results are pasted into "Metabase Lookup"</t>
        </is>
      </c>
      <c r="I11" s="6" t="inlineStr">
        <is>
          <t>3. Half the cases can't be pinned on a driver: 236 (47%) were filed against a generic hub OPS account (e.g. OPS - PJY, GLG - OPS - ENGKU). PJY's 29 cases are 100% Fake Fail and all under 'OPS - PJY' — this looks like hub-level bulk failing, not individual drivers.</t>
        </is>
      </c>
    </row>
    <row r="12">
      <c r="A12" s="4" t="inlineStr">
        <is>
          <t>Prior-tag rate</t>
        </is>
      </c>
      <c r="B12" s="7">
        <f>IF(ISNUMBER(B11),B11/(B5-COUNTIF(Cases!$Y$2:$Y$499,"Pending")),"Pending sync")</f>
        <v/>
      </c>
    </row>
    <row r="13"/>
    <row r="14">
      <c r="A14" s="3" t="inlineStr">
        <is>
          <t>Complaints by type</t>
        </is>
      </c>
      <c r="E14" s="3" t="inlineStr">
        <is>
          <t>Fake Fail root cause (from details text)</t>
        </is>
      </c>
      <c r="I14" s="6" t="inlineStr">
        <is>
          <t>4. Concentrated in a few hubs: the top 5 hubs (PJY 29, GLG 25, KEM 24, OUG 24, BTR 23) account for 25% of cases across 103 hubs. Klang Valley (40%) and Southern (31%) make up 71%.</t>
        </is>
      </c>
    </row>
    <row r="15">
      <c r="A15" s="9" t="inlineStr">
        <is>
          <t>Complaint Type</t>
        </is>
      </c>
      <c r="B15" s="9" t="inlineStr">
        <is>
          <t>Cases</t>
        </is>
      </c>
      <c r="C15" s="9" t="inlineStr">
        <is>
          <t>% of Total</t>
        </is>
      </c>
      <c r="E15" s="9" t="inlineStr">
        <is>
          <t>Root Cause</t>
        </is>
      </c>
      <c r="F15" s="9" t="inlineStr">
        <is>
          <t>Cases</t>
        </is>
      </c>
      <c r="G15" s="9" t="inlineStr">
        <is>
          <t>% of Fake Fail</t>
        </is>
      </c>
    </row>
    <row r="16">
      <c r="A16" s="10" t="inlineStr">
        <is>
          <t>Fake Fail</t>
        </is>
      </c>
      <c r="B16" s="10">
        <f>COUNTIF(Cases!$N$2:$N$499,A16)</f>
        <v/>
      </c>
      <c r="C16" s="11">
        <f>B16/SUM(B$16:B$25)</f>
        <v/>
      </c>
      <c r="E16" s="10" t="inlineStr">
        <is>
          <t>No call / call log missing</t>
        </is>
      </c>
      <c r="F16" s="10">
        <f>COUNTIF(Cases!$O$2:$O$499,E16)</f>
        <v/>
      </c>
      <c r="G16" s="11">
        <f>F16/SUM(F$16:F$24)</f>
        <v/>
      </c>
    </row>
    <row r="17">
      <c r="A17" s="10" t="inlineStr">
        <is>
          <t>Fake Success</t>
        </is>
      </c>
      <c r="B17" s="10">
        <f>COUNTIF(Cases!$N$2:$N$499,A17)</f>
        <v/>
      </c>
      <c r="C17" s="11">
        <f>B17/SUM(B$16:B$25)</f>
        <v/>
      </c>
      <c r="E17" s="10" t="inlineStr">
        <is>
          <t>Call not connected / no response</t>
        </is>
      </c>
      <c r="F17" s="10">
        <f>COUNTIF(Cases!$O$2:$O$499,E17)</f>
        <v/>
      </c>
      <c r="G17" s="11">
        <f>F17/SUM(F$16:F$24)</f>
        <v/>
      </c>
      <c r="I17" s="6" t="inlineStr">
        <is>
          <t>5. Repeat parcels: 17 TIDs were logged 2+ times (36 rows). Some are double entries minutes apart; others (e.g. WNJMY00006942908, logged 4× as Fake Fail + POR) show the first complaint did not fix the parcel.</t>
        </is>
      </c>
    </row>
    <row r="18">
      <c r="A18" s="10" t="inlineStr">
        <is>
          <t>Deliver to Wrong Address</t>
        </is>
      </c>
      <c r="B18" s="10">
        <f>COUNTIF(Cases!$N$2:$N$499,A18)</f>
        <v/>
      </c>
      <c r="C18" s="11">
        <f>B18/SUM(B$16:B$25)</f>
        <v/>
      </c>
      <c r="E18" s="10" t="inlineStr">
        <is>
          <t>Invalid POD (no detail)</t>
        </is>
      </c>
      <c r="F18" s="10">
        <f>COUNTIF(Cases!$O$2:$O$499,E18)</f>
        <v/>
      </c>
      <c r="G18" s="11">
        <f>F18/SUM(F$16:F$24)</f>
        <v/>
      </c>
    </row>
    <row r="19">
      <c r="A19" s="10" t="inlineStr">
        <is>
          <t>Pull Out Route (POR)</t>
        </is>
      </c>
      <c r="B19" s="10">
        <f>COUNTIF(Cases!$N$2:$N$499,A19)</f>
        <v/>
      </c>
      <c r="C19" s="11">
        <f>B19/SUM(B$16:B$25)</f>
        <v/>
      </c>
      <c r="E19" s="10" t="inlineStr">
        <is>
          <t>Wrong number called</t>
        </is>
      </c>
      <c r="F19" s="10">
        <f>COUNTIF(Cases!$O$2:$O$499,E19)</f>
        <v/>
      </c>
      <c r="G19" s="11">
        <f>F19/SUM(F$16:F$24)</f>
        <v/>
      </c>
    </row>
    <row r="20">
      <c r="A20" s="10" t="inlineStr">
        <is>
          <t>Failed pick-up</t>
        </is>
      </c>
      <c r="B20" s="10">
        <f>COUNTIF(Cases!$N$2:$N$499,A20)</f>
        <v/>
      </c>
      <c r="C20" s="11">
        <f>B20/SUM(B$16:B$25)</f>
        <v/>
      </c>
      <c r="E20" s="10" t="inlineStr">
        <is>
          <t>Invalid call log (unspecified)</t>
        </is>
      </c>
      <c r="F20" s="10">
        <f>COUNTIF(Cases!$O$2:$O$499,E20)</f>
        <v/>
      </c>
      <c r="G20" s="11">
        <f>F20/SUM(F$16:F$24)</f>
        <v/>
      </c>
      <c r="I20" s="6" t="inlineStr">
        <is>
          <t>6. Repeat drivers: 34 named drivers have 2+ complaints; BKW - ID - KENNETH leads with 7, then BTR - ID - KHAIRAN (4). See Driver Watchlist.</t>
        </is>
      </c>
    </row>
    <row r="21">
      <c r="A21" s="10" t="inlineStr">
        <is>
          <t>Parcel Dumping</t>
        </is>
      </c>
      <c r="B21" s="10">
        <f>COUNTIF(Cases!$N$2:$N$499,A21)</f>
        <v/>
      </c>
      <c r="C21" s="11">
        <f>B21/SUM(B$16:B$25)</f>
        <v/>
      </c>
      <c r="E21" s="10" t="inlineStr">
        <is>
          <t>Invalid location / site photo</t>
        </is>
      </c>
      <c r="F21" s="10">
        <f>COUNTIF(Cases!$O$2:$O$499,E21)</f>
        <v/>
      </c>
      <c r="G21" s="11">
        <f>F21/SUM(F$16:F$24)</f>
        <v/>
      </c>
    </row>
    <row r="22">
      <c r="A22" s="10" t="inlineStr">
        <is>
          <t>Lost Item</t>
        </is>
      </c>
      <c r="B22" s="10">
        <f>COUNTIF(Cases!$N$2:$N$499,A22)</f>
        <v/>
      </c>
      <c r="C22" s="11">
        <f>B22/SUM(B$16:B$25)</f>
        <v/>
      </c>
      <c r="E22" s="10" t="inlineStr">
        <is>
          <t>Customer disputes attempt</t>
        </is>
      </c>
      <c r="F22" s="10">
        <f>COUNTIF(Cases!$O$2:$O$499,E22)</f>
        <v/>
      </c>
      <c r="G22" s="11">
        <f>F22/SUM(F$16:F$24)</f>
        <v/>
      </c>
    </row>
    <row r="23">
      <c r="A23" s="10" t="inlineStr">
        <is>
          <t>CMI (Can't Make It)</t>
        </is>
      </c>
      <c r="B23" s="10">
        <f>COUNTIF(Cases!$N$2:$N$499,A23)</f>
        <v/>
      </c>
      <c r="C23" s="11">
        <f>B23/SUM(B$16:B$25)</f>
        <v/>
      </c>
      <c r="E23" s="10" t="inlineStr">
        <is>
          <t>Recycled / manipulated POD</t>
        </is>
      </c>
      <c r="F23" s="10">
        <f>COUNTIF(Cases!$O$2:$O$499,E23)</f>
        <v/>
      </c>
      <c r="G23" s="11">
        <f>F23/SUM(F$16:F$24)</f>
        <v/>
      </c>
      <c r="I23" s="6" t="inlineStr">
        <is>
          <t>7. Volume is front-loaded: Monday 21 Sep had 114 cases (backlog from the weekend), declining to 55 on Saturday.</t>
        </is>
      </c>
    </row>
    <row r="24">
      <c r="A24" s="10" t="inlineStr">
        <is>
          <t>Rude Behavior</t>
        </is>
      </c>
      <c r="B24" s="10">
        <f>COUNTIF(Cases!$N$2:$N$499,A24)</f>
        <v/>
      </c>
      <c r="C24" s="11">
        <f>B24/SUM(B$16:B$25)</f>
        <v/>
      </c>
      <c r="E24" s="10" t="inlineStr">
        <is>
          <t>Type mismatch (detail not Fake Fail)</t>
        </is>
      </c>
      <c r="F24" s="10">
        <f>COUNTIF(Cases!$O$2:$O$499,E24)</f>
        <v/>
      </c>
      <c r="G24" s="11">
        <f>F24/SUM(F$16:F$24)</f>
        <v/>
      </c>
    </row>
    <row r="25">
      <c r="A25" s="10" t="inlineStr">
        <is>
          <t>COD Related</t>
        </is>
      </c>
      <c r="B25" s="10">
        <f>COUNTIF(Cases!$N$2:$N$499,A25)</f>
        <v/>
      </c>
      <c r="C25" s="11">
        <f>B25/SUM(B$16:B$25)</f>
        <v/>
      </c>
    </row>
    <row r="26">
      <c r="I26" s="6" t="inlineStr">
        <is>
          <t>8. Recommended actions: (a) require the actual driver name — lookup by Route ID — instead of OPS accounts; (b) enforce the POD standard (3 connected call attempts at different times, customer's own number, identifiable site photo) at hub level, starting with PJY, GLG, KEM, OUG, BTR; (c) audit OPS bulk-fail practice at PJY/NSJ/KEM; (d) coach/escalate Watchlist drivers; (e) convert free-text form fields to dropdowns (see Data Quality).</t>
        </is>
      </c>
    </row>
    <row r="27">
      <c r="A27" s="3" t="inlineStr">
        <is>
          <t>Complaints by region</t>
        </is>
      </c>
      <c r="E27" s="3" t="inlineStr">
        <is>
          <t>Who the complaint was filed against</t>
        </is>
      </c>
    </row>
    <row r="28">
      <c r="A28" s="9" t="inlineStr">
        <is>
          <t>Region</t>
        </is>
      </c>
      <c r="B28" s="9" t="inlineStr">
        <is>
          <t>Cases</t>
        </is>
      </c>
      <c r="C28" s="9" t="inlineStr">
        <is>
          <t>% of Total</t>
        </is>
      </c>
      <c r="E28" s="9" t="inlineStr">
        <is>
          <t>Driver Account Type</t>
        </is>
      </c>
      <c r="F28" s="9" t="inlineStr">
        <is>
          <t>Cases</t>
        </is>
      </c>
      <c r="G28" s="9" t="inlineStr">
        <is>
          <t>% of Total</t>
        </is>
      </c>
    </row>
    <row r="29">
      <c r="A29" s="10" t="inlineStr">
        <is>
          <t>KV</t>
        </is>
      </c>
      <c r="B29" s="10">
        <f>COUNTIF(Cases!$G$2:$G$499,A29)</f>
        <v/>
      </c>
      <c r="C29" s="11">
        <f>B29/SUM(B$29:B$36)</f>
        <v/>
      </c>
      <c r="E29" s="10" t="inlineStr">
        <is>
          <t>OPS (generic hub account)</t>
        </is>
      </c>
      <c r="F29" s="10">
        <f>COUNTIF(Cases!$J$2:$J$499,E29)</f>
        <v/>
      </c>
      <c r="G29" s="11">
        <f>F29/SUM(F$29:F$37)</f>
        <v/>
      </c>
      <c r="I29" s="6" t="inlineStr">
        <is>
          <t>9. Metabase prior-tag and Global ID are pending: the Metabase account used had no database access. Paste the query results into 'Metabase Lookup' and KPIs B11:B12 fill in automatically (see How to Sync).</t>
        </is>
      </c>
    </row>
    <row r="30">
      <c r="A30" s="10" t="inlineStr">
        <is>
          <t>Southern</t>
        </is>
      </c>
      <c r="B30" s="10">
        <f>COUNTIF(Cases!$G$2:$G$499,A30)</f>
        <v/>
      </c>
      <c r="C30" s="11">
        <f>B30/SUM(B$29:B$36)</f>
        <v/>
      </c>
      <c r="E30" s="10" t="inlineStr">
        <is>
          <t>ID (named driver)</t>
        </is>
      </c>
      <c r="F30" s="10">
        <f>COUNTIF(Cases!$J$2:$J$499,E30)</f>
        <v/>
      </c>
      <c r="G30" s="11">
        <f>F30/SUM(F$29:F$37)</f>
        <v/>
      </c>
    </row>
    <row r="31">
      <c r="A31" s="10" t="inlineStr">
        <is>
          <t>Northern</t>
        </is>
      </c>
      <c r="B31" s="10">
        <f>COUNTIF(Cases!$G$2:$G$499,A31)</f>
        <v/>
      </c>
      <c r="C31" s="11">
        <f>B31/SUM(B$29:B$36)</f>
        <v/>
      </c>
      <c r="E31" s="10" t="inlineStr">
        <is>
          <t>Name only (no hub/code)</t>
        </is>
      </c>
      <c r="F31" s="10">
        <f>COUNTIF(Cases!$J$2:$J$499,E31)</f>
        <v/>
      </c>
      <c r="G31" s="11">
        <f>F31/SUM(F$29:F$37)</f>
        <v/>
      </c>
    </row>
    <row r="32">
      <c r="A32" s="10" t="inlineStr">
        <is>
          <t>East MY</t>
        </is>
      </c>
      <c r="B32" s="10">
        <f>COUNTIF(Cases!$G$2:$G$499,A32)</f>
        <v/>
      </c>
      <c r="C32" s="11">
        <f>B32/SUM(B$29:B$36)</f>
        <v/>
      </c>
      <c r="E32" s="10" t="inlineStr">
        <is>
          <t>Multiple drivers</t>
        </is>
      </c>
      <c r="F32" s="10">
        <f>COUNTIF(Cases!$J$2:$J$499,E32)</f>
        <v/>
      </c>
      <c r="G32" s="11">
        <f>F32/SUM(F$29:F$37)</f>
        <v/>
      </c>
    </row>
    <row r="33">
      <c r="A33" s="10" t="inlineStr">
        <is>
          <t>North West</t>
        </is>
      </c>
      <c r="B33" s="10">
        <f>COUNTIF(Cases!$G$2:$G$499,A33)</f>
        <v/>
      </c>
      <c r="C33" s="11">
        <f>B33/SUM(B$29:B$36)</f>
        <v/>
      </c>
      <c r="E33" s="10" t="inlineStr">
        <is>
          <t>HR (named)</t>
        </is>
      </c>
      <c r="F33" s="10">
        <f>COUNTIF(Cases!$J$2:$J$499,E33)</f>
        <v/>
      </c>
      <c r="G33" s="11">
        <f>F33/SUM(F$29:F$37)</f>
        <v/>
      </c>
    </row>
    <row r="34">
      <c r="A34" s="10" t="inlineStr">
        <is>
          <t>South West</t>
        </is>
      </c>
      <c r="B34" s="10">
        <f>COUNTIF(Cases!$G$2:$G$499,A34)</f>
        <v/>
      </c>
      <c r="C34" s="11">
        <f>B34/SUM(B$29:B$36)</f>
        <v/>
      </c>
      <c r="E34" s="10" t="inlineStr">
        <is>
          <t>HD (named)</t>
        </is>
      </c>
      <c r="F34" s="10">
        <f>COUNTIF(Cases!$J$2:$J$499,E34)</f>
        <v/>
      </c>
      <c r="G34" s="11">
        <f>F34/SUM(F$29:F$37)</f>
        <v/>
      </c>
    </row>
    <row r="35">
      <c r="A35" s="10" t="inlineStr">
        <is>
          <t>North East</t>
        </is>
      </c>
      <c r="B35" s="10">
        <f>COUNTIF(Cases!$G$2:$G$499,A35)</f>
        <v/>
      </c>
      <c r="C35" s="11">
        <f>B35/SUM(B$29:B$36)</f>
        <v/>
      </c>
      <c r="E35" s="10" t="inlineStr">
        <is>
          <t>FM (first-mile)</t>
        </is>
      </c>
      <c r="F35" s="10">
        <f>COUNTIF(Cases!$J$2:$J$499,E35)</f>
        <v/>
      </c>
      <c r="G35" s="11">
        <f>F35/SUM(F$29:F$37)</f>
        <v/>
      </c>
    </row>
    <row r="36">
      <c r="A36" s="10" t="inlineStr">
        <is>
          <t>Eastern</t>
        </is>
      </c>
      <c r="B36" s="10">
        <f>COUNTIF(Cases!$G$2:$G$499,A36)</f>
        <v/>
      </c>
      <c r="C36" s="11">
        <f>B36/SUM(B$29:B$36)</f>
        <v/>
      </c>
      <c r="E36" s="10" t="inlineStr">
        <is>
          <t>IR (named)</t>
        </is>
      </c>
      <c r="F36" s="10">
        <f>COUNTIF(Cases!$J$2:$J$499,E36)</f>
        <v/>
      </c>
      <c r="G36" s="11">
        <f>F36/SUM(F$29:F$37)</f>
        <v/>
      </c>
    </row>
    <row r="37">
      <c r="E37" s="10" t="inlineStr">
        <is>
          <t>Other coded</t>
        </is>
      </c>
      <c r="F37" s="10">
        <f>COUNTIF(Cases!$J$2:$J$499,E37)</f>
        <v/>
      </c>
      <c r="G37" s="11">
        <f>F37/SUM(F$29:F$37)</f>
        <v/>
      </c>
    </row>
    <row r="39">
      <c r="A39" s="3" t="inlineStr">
        <is>
          <t>Daily trend (date logged)</t>
        </is>
      </c>
      <c r="E39" s="3" t="inlineStr">
        <is>
          <t>Cases keyed in by agent</t>
        </is>
      </c>
    </row>
    <row r="40">
      <c r="A40" s="9" t="inlineStr">
        <is>
          <t>Date</t>
        </is>
      </c>
      <c r="B40" s="9" t="inlineStr">
        <is>
          <t>Cases</t>
        </is>
      </c>
      <c r="C40" s="9" t="inlineStr">
        <is>
          <t>% of Total</t>
        </is>
      </c>
      <c r="E40" s="9" t="inlineStr">
        <is>
          <t>Agent</t>
        </is>
      </c>
      <c r="F40" s="9" t="inlineStr">
        <is>
          <t>Cases</t>
        </is>
      </c>
      <c r="G40" s="9" t="inlineStr">
        <is>
          <t>% of Total</t>
        </is>
      </c>
    </row>
    <row r="41">
      <c r="A41" s="12" t="n">
        <v>46286</v>
      </c>
      <c r="B41" s="10">
        <f>COUNTIF(Cases!$E$2:$E$499,A41)</f>
        <v/>
      </c>
      <c r="C41" s="11">
        <f>B41/SUM(B$41:B$47)</f>
        <v/>
      </c>
      <c r="E41" s="10" t="inlineStr">
        <is>
          <t>Putri</t>
        </is>
      </c>
      <c r="F41" s="10">
        <f>COUNTIF(Cases!$S$2:$S$499,E41)</f>
        <v/>
      </c>
      <c r="G41" s="11">
        <f>F41/SUM(F$41:F$59)</f>
        <v/>
      </c>
    </row>
    <row r="42">
      <c r="A42" s="12" t="n">
        <v>46287</v>
      </c>
      <c r="B42" s="10">
        <f>COUNTIF(Cases!$E$2:$E$499,A42)</f>
        <v/>
      </c>
      <c r="C42" s="11">
        <f>B42/SUM(B$41:B$47)</f>
        <v/>
      </c>
      <c r="E42" s="10" t="inlineStr">
        <is>
          <t>Zati</t>
        </is>
      </c>
      <c r="F42" s="10">
        <f>COUNTIF(Cases!$S$2:$S$499,E42)</f>
        <v/>
      </c>
      <c r="G42" s="11">
        <f>F42/SUM(F$41:F$59)</f>
        <v/>
      </c>
    </row>
    <row r="43">
      <c r="A43" s="12" t="n">
        <v>46288</v>
      </c>
      <c r="B43" s="10">
        <f>COUNTIF(Cases!$E$2:$E$499,A43)</f>
        <v/>
      </c>
      <c r="C43" s="11">
        <f>B43/SUM(B$41:B$47)</f>
        <v/>
      </c>
      <c r="E43" s="10" t="inlineStr">
        <is>
          <t>Naveen</t>
        </is>
      </c>
      <c r="F43" s="10">
        <f>COUNTIF(Cases!$S$2:$S$499,E43)</f>
        <v/>
      </c>
      <c r="G43" s="11">
        <f>F43/SUM(F$41:F$59)</f>
        <v/>
      </c>
    </row>
    <row r="44">
      <c r="A44" s="12" t="n">
        <v>46289</v>
      </c>
      <c r="B44" s="10">
        <f>COUNTIF(Cases!$E$2:$E$499,A44)</f>
        <v/>
      </c>
      <c r="C44" s="11">
        <f>B44/SUM(B$41:B$47)</f>
        <v/>
      </c>
      <c r="E44" s="10" t="inlineStr">
        <is>
          <t>Aimenn Aiyad</t>
        </is>
      </c>
      <c r="F44" s="10">
        <f>COUNTIF(Cases!$S$2:$S$499,E44)</f>
        <v/>
      </c>
      <c r="G44" s="11">
        <f>F44/SUM(F$41:F$59)</f>
        <v/>
      </c>
    </row>
    <row r="45">
      <c r="A45" s="12" t="n">
        <v>46290</v>
      </c>
      <c r="B45" s="10">
        <f>COUNTIF(Cases!$E$2:$E$499,A45)</f>
        <v/>
      </c>
      <c r="C45" s="11">
        <f>B45/SUM(B$41:B$47)</f>
        <v/>
      </c>
      <c r="E45" s="10" t="inlineStr">
        <is>
          <t>Yana</t>
        </is>
      </c>
      <c r="F45" s="10">
        <f>COUNTIF(Cases!$S$2:$S$499,E45)</f>
        <v/>
      </c>
      <c r="G45" s="11">
        <f>F45/SUM(F$41:F$59)</f>
        <v/>
      </c>
    </row>
    <row r="46">
      <c r="A46" s="12" t="n">
        <v>46291</v>
      </c>
      <c r="B46" s="10">
        <f>COUNTIF(Cases!$E$2:$E$499,A46)</f>
        <v/>
      </c>
      <c r="C46" s="11">
        <f>B46/SUM(B$41:B$47)</f>
        <v/>
      </c>
      <c r="E46" s="10" t="inlineStr">
        <is>
          <t>Izzni</t>
        </is>
      </c>
      <c r="F46" s="10">
        <f>COUNTIF(Cases!$S$2:$S$499,E46)</f>
        <v/>
      </c>
      <c r="G46" s="11">
        <f>F46/SUM(F$41:F$59)</f>
        <v/>
      </c>
    </row>
    <row r="47">
      <c r="A47" s="12" t="n">
        <v>46292</v>
      </c>
      <c r="B47" s="10">
        <f>COUNTIF(Cases!$E$2:$E$499,A47)</f>
        <v/>
      </c>
      <c r="C47" s="11">
        <f>B47/SUM(B$41:B$47)</f>
        <v/>
      </c>
      <c r="E47" s="10" t="inlineStr">
        <is>
          <t>Huzair</t>
        </is>
      </c>
      <c r="F47" s="10">
        <f>COUNTIF(Cases!$S$2:$S$499,E47)</f>
        <v/>
      </c>
      <c r="G47" s="11">
        <f>F47/SUM(F$41:F$59)</f>
        <v/>
      </c>
    </row>
    <row r="48">
      <c r="E48" s="10" t="inlineStr">
        <is>
          <t>Syaza</t>
        </is>
      </c>
      <c r="F48" s="10">
        <f>COUNTIF(Cases!$S$2:$S$499,E48)</f>
        <v/>
      </c>
      <c r="G48" s="11">
        <f>F48/SUM(F$41:F$59)</f>
        <v/>
      </c>
    </row>
    <row r="49">
      <c r="E49" s="10" t="inlineStr">
        <is>
          <t>Syak</t>
        </is>
      </c>
      <c r="F49" s="10">
        <f>COUNTIF(Cases!$S$2:$S$499,E49)</f>
        <v/>
      </c>
      <c r="G49" s="11">
        <f>F49/SUM(F$41:F$59)</f>
        <v/>
      </c>
    </row>
    <row r="50">
      <c r="E50" s="10" t="inlineStr">
        <is>
          <t>Syafiq</t>
        </is>
      </c>
      <c r="F50" s="10">
        <f>COUNTIF(Cases!$S$2:$S$499,E50)</f>
        <v/>
      </c>
      <c r="G50" s="11">
        <f>F50/SUM(F$41:F$59)</f>
        <v/>
      </c>
    </row>
    <row r="51">
      <c r="E51" s="10" t="inlineStr">
        <is>
          <t>Hartini</t>
        </is>
      </c>
      <c r="F51" s="10">
        <f>COUNTIF(Cases!$S$2:$S$499,E51)</f>
        <v/>
      </c>
      <c r="G51" s="11">
        <f>F51/SUM(F$41:F$59)</f>
        <v/>
      </c>
    </row>
    <row r="52">
      <c r="E52" s="10" t="inlineStr">
        <is>
          <t>Ninja Hadif</t>
        </is>
      </c>
      <c r="F52" s="10">
        <f>COUNTIF(Cases!$S$2:$S$499,E52)</f>
        <v/>
      </c>
      <c r="G52" s="11">
        <f>F52/SUM(F$41:F$59)</f>
        <v/>
      </c>
    </row>
    <row r="53">
      <c r="E53" s="10" t="inlineStr">
        <is>
          <t>Abdul</t>
        </is>
      </c>
      <c r="F53" s="10">
        <f>COUNTIF(Cases!$S$2:$S$499,E53)</f>
        <v/>
      </c>
      <c r="G53" s="11">
        <f>F53/SUM(F$41:F$59)</f>
        <v/>
      </c>
    </row>
    <row r="54">
      <c r="E54" s="10" t="inlineStr">
        <is>
          <t>Daus</t>
        </is>
      </c>
      <c r="F54" s="10">
        <f>COUNTIF(Cases!$S$2:$S$499,E54)</f>
        <v/>
      </c>
      <c r="G54" s="11">
        <f>F54/SUM(F$41:F$59)</f>
        <v/>
      </c>
    </row>
    <row r="55">
      <c r="E55" s="10" t="inlineStr">
        <is>
          <t>Amir</t>
        </is>
      </c>
      <c r="F55" s="10">
        <f>COUNTIF(Cases!$S$2:$S$499,E55)</f>
        <v/>
      </c>
      <c r="G55" s="11">
        <f>F55/SUM(F$41:F$59)</f>
        <v/>
      </c>
    </row>
    <row r="56">
      <c r="E56" s="10" t="inlineStr">
        <is>
          <t>Wani</t>
        </is>
      </c>
      <c r="F56" s="10">
        <f>COUNTIF(Cases!$S$2:$S$499,E56)</f>
        <v/>
      </c>
      <c r="G56" s="11">
        <f>F56/SUM(F$41:F$59)</f>
        <v/>
      </c>
    </row>
    <row r="57">
      <c r="E57" s="10" t="inlineStr">
        <is>
          <t>Zakwan</t>
        </is>
      </c>
      <c r="F57" s="10">
        <f>COUNTIF(Cases!$S$2:$S$499,E57)</f>
        <v/>
      </c>
      <c r="G57" s="11">
        <f>F57/SUM(F$41:F$59)</f>
        <v/>
      </c>
    </row>
    <row r="58">
      <c r="E58" s="10" t="inlineStr">
        <is>
          <t>Adid</t>
        </is>
      </c>
      <c r="F58" s="10">
        <f>COUNTIF(Cases!$S$2:$S$499,E58)</f>
        <v/>
      </c>
      <c r="G58" s="11">
        <f>F58/SUM(F$41:F$59)</f>
        <v/>
      </c>
    </row>
    <row r="59">
      <c r="E59" s="10" t="inlineStr">
        <is>
          <t>Shafiq</t>
        </is>
      </c>
      <c r="F59" s="10">
        <f>COUNTIF(Cases!$S$2:$S$499,E59)</f>
        <v/>
      </c>
      <c r="G59" s="11">
        <f>F59/SUM(F$41:F$59)</f>
        <v/>
      </c>
    </row>
    <row r="61">
      <c r="A61" s="3" t="inlineStr">
        <is>
          <t>Fake Fail evidence gaps</t>
        </is>
      </c>
    </row>
    <row r="62">
      <c r="A62" s="9" t="inlineStr">
        <is>
          <t>Measure</t>
        </is>
      </c>
      <c r="B62" s="9" t="inlineStr">
        <is>
          <t>Cases</t>
        </is>
      </c>
      <c r="C62" s="9" t="inlineStr">
        <is>
          <t>% of Fake Fail</t>
        </is>
      </c>
    </row>
    <row r="63">
      <c r="A63" s="10" t="inlineStr">
        <is>
          <t>Location / site photo also invalid</t>
        </is>
      </c>
      <c r="B63" s="10">
        <f>COUNTIF(Cases!$P$2:$P$499,"Yes")</f>
        <v/>
      </c>
      <c r="C63" s="11">
        <f>B63/COUNTIF(Cases!$N$2:$N$499,"Fake Fail")</f>
        <v/>
      </c>
    </row>
    <row r="64">
      <c r="A64" s="10" t="inlineStr">
        <is>
          <t>Failed under an OPS account</t>
        </is>
      </c>
      <c r="B64" s="10">
        <f>COUNTIF(Cases!$Q$2:$Q$499,"Yes")</f>
        <v/>
      </c>
      <c r="C64" s="11">
        <f>B64/COUNTIF(Cases!$N$2:$N$499,"Fake Fail")</f>
        <v/>
      </c>
    </row>
    <row r="65">
      <c r="A65" s="10" t="inlineStr">
        <is>
          <t>Fake Fail with multiple routes (re-attempted &amp; failed again)</t>
        </is>
      </c>
      <c r="B65" s="10">
        <f>COUNTIFS(Cases!$N$2:$N$499,"Fake Fail",Cases!$L$2:$L$499,"&gt;1")</f>
        <v/>
      </c>
      <c r="C65" s="11">
        <f>B65/COUNTIF(Cases!$N$2:$N$499,"Fake Fail")</f>
        <v/>
      </c>
    </row>
  </sheetData>
  <mergeCells count="10">
    <mergeCell ref="I8:N10"/>
    <mergeCell ref="I20:N22"/>
    <mergeCell ref="I14:N16"/>
    <mergeCell ref="I29:N31"/>
    <mergeCell ref="I23:N25"/>
    <mergeCell ref="I5:N7"/>
    <mergeCell ref="I17:N19"/>
    <mergeCell ref="I26:N28"/>
    <mergeCell ref="I4:N4"/>
    <mergeCell ref="I11:N13"/>
  </mergeCells>
  <conditionalFormatting sqref="B16:B25">
    <cfRule type="dataBar" priority="1">
      <dataBar>
        <cfvo type="num" val="0"/>
        <cfvo type="max"/>
        <color rgb="00C8102E"/>
      </dataBar>
    </cfRule>
  </conditionalFormatting>
  <conditionalFormatting sqref="F16:F24">
    <cfRule type="dataBar" priority="2">
      <dataBar>
        <cfvo type="num" val="0"/>
        <cfvo type="max"/>
        <color rgb="00C8102E"/>
      </dataBar>
    </cfRule>
  </conditionalFormatting>
  <conditionalFormatting sqref="B29:B36">
    <cfRule type="dataBar" priority="3">
      <dataBar>
        <cfvo type="num" val="0"/>
        <cfvo type="max"/>
        <color rgb="00C8102E"/>
      </dataBar>
    </cfRule>
  </conditionalFormatting>
  <conditionalFormatting sqref="F29:F37">
    <cfRule type="dataBar" priority="4">
      <dataBar>
        <cfvo type="num" val="0"/>
        <cfvo type="max"/>
        <color rgb="00C8102E"/>
      </dataBar>
    </cfRule>
  </conditionalFormatting>
  <conditionalFormatting sqref="B41:B47">
    <cfRule type="dataBar" priority="5">
      <dataBar>
        <cfvo type="num" val="0"/>
        <cfvo type="max"/>
        <color rgb="00C8102E"/>
      </dataBar>
    </cfRule>
  </conditionalFormatting>
  <conditionalFormatting sqref="F41:F59">
    <cfRule type="dataBar" priority="6">
      <dataBar>
        <cfvo type="num" val="0"/>
        <cfvo type="max"/>
        <color rgb="00C8102E"/>
      </dataBar>
    </cfRule>
  </conditionalFormatting>
  <pageMargins left="0.75" right="0.75" top="1" bottom="1" header="0.5" footer="0.5"/>
</worksheet>
</file>

<file path=xl/worksheets/sheet2.xml><?xml version="1.0" encoding="utf-8"?>
<worksheet xmlns="http://schemas.openxmlformats.org/spreadsheetml/2006/main">
  <sheetPr>
    <tabColor rgb="0098A2B3"/>
    <outlinePr summaryBelow="1" summaryRight="1"/>
    <pageSetUpPr/>
  </sheetPr>
  <dimension ref="A1:Z4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4" customWidth="1" min="3" max="3"/>
    <col width="14" customWidth="1" min="4" max="4"/>
    <col width="10" customWidth="1" min="5" max="5"/>
    <col width="5" customWidth="1" min="6" max="6"/>
    <col width="10" customWidth="1" min="7" max="7"/>
    <col width="6" customWidth="1" min="8" max="8"/>
    <col width="30" customWidth="1" min="9" max="9"/>
    <col width="18" customWidth="1" min="10" max="10"/>
    <col width="20" customWidth="1" min="11" max="11"/>
    <col width="7" customWidth="1" min="12" max="12"/>
    <col width="8" customWidth="1" min="13" max="13"/>
    <col width="18" customWidth="1" min="14" max="14"/>
    <col width="24" customWidth="1" min="15" max="15"/>
    <col width="9" customWidth="1" min="16" max="16"/>
    <col width="8" customWidth="1" min="17" max="17"/>
    <col width="50" customWidth="1" min="18" max="18"/>
    <col width="12" customWidth="1" min="19" max="19"/>
    <col width="9" customWidth="1" min="20" max="20"/>
    <col width="10" customWidth="1" min="21" max="21"/>
    <col width="14" customWidth="1" min="22" max="22"/>
    <col width="9" customWidth="1" min="23" max="23"/>
    <col width="28" customWidth="1" min="24" max="24"/>
    <col width="9" customWidth="1" min="25" max="25"/>
    <col width="34" customWidth="1" min="26" max="26"/>
  </cols>
  <sheetData>
    <row r="1" ht="42" customHeight="1">
      <c r="A1" s="9" t="inlineStr">
        <is>
          <t>Case #</t>
        </is>
      </c>
      <c r="B1" s="9" t="inlineStr">
        <is>
          <t>Tracking ID</t>
        </is>
      </c>
      <c r="C1" s="9" t="inlineStr">
        <is>
          <t>CRM Case ID</t>
        </is>
      </c>
      <c r="D1" s="9" t="inlineStr">
        <is>
          <t>Logged At</t>
        </is>
      </c>
      <c r="E1" s="9" t="inlineStr">
        <is>
          <t>Date</t>
        </is>
      </c>
      <c r="F1" s="9" t="inlineStr">
        <is>
          <t>Day</t>
        </is>
      </c>
      <c r="G1" s="9" t="inlineStr">
        <is>
          <t>Region</t>
        </is>
      </c>
      <c r="H1" s="9" t="inlineStr">
        <is>
          <t>Hub</t>
        </is>
      </c>
      <c r="I1" s="9" t="inlineStr">
        <is>
          <t>Driver(s)</t>
        </is>
      </c>
      <c r="J1" s="9" t="inlineStr">
        <is>
          <t>Driver Account Type</t>
        </is>
      </c>
      <c r="K1" s="9" t="inlineStr">
        <is>
          <t>Route ID(s)</t>
        </is>
      </c>
      <c r="L1" s="9" t="inlineStr">
        <is>
          <t># Routes</t>
        </is>
      </c>
      <c r="M1" s="9" t="inlineStr">
        <is>
          <t>Driver Type</t>
        </is>
      </c>
      <c r="N1" s="9" t="inlineStr">
        <is>
          <t>Complaint Type</t>
        </is>
      </c>
      <c r="O1" s="9" t="inlineStr">
        <is>
          <t>Fake Fail Root Cause</t>
        </is>
      </c>
      <c r="P1" s="9" t="inlineStr">
        <is>
          <t>Location Evidence Issue</t>
        </is>
      </c>
      <c r="Q1" s="9" t="inlineStr">
        <is>
          <t>Failed by OPS</t>
        </is>
      </c>
      <c r="R1" s="9" t="inlineStr">
        <is>
          <t>Complaint Details</t>
        </is>
      </c>
      <c r="S1" s="9" t="inlineStr">
        <is>
          <t>Keyed In By</t>
        </is>
      </c>
      <c r="T1" s="9" t="inlineStr">
        <is>
          <t>Times TID Logged (W39)</t>
        </is>
      </c>
      <c r="U1" s="9" t="inlineStr">
        <is>
          <t>Driver Complaints (W39)</t>
        </is>
      </c>
      <c r="V1" s="13" t="inlineStr">
        <is>
          <t>Global ID</t>
        </is>
      </c>
      <c r="W1" s="13" t="inlineStr">
        <is>
          <t>Prior Tag Count</t>
        </is>
      </c>
      <c r="X1" s="13" t="inlineStr">
        <is>
          <t>Prior Tags</t>
        </is>
      </c>
      <c r="Y1" s="13" t="inlineStr">
        <is>
          <t>Has Prior Tag?</t>
        </is>
      </c>
      <c r="Z1" s="9" t="inlineStr">
        <is>
          <t>Data Quality Flags</t>
        </is>
      </c>
    </row>
    <row r="2">
      <c r="A2" s="14" t="n">
        <v>1</v>
      </c>
      <c r="B2" s="14" t="inlineStr">
        <is>
          <t>TNGE126027128651727000</t>
        </is>
      </c>
      <c r="C2" s="15" t="inlineStr">
        <is>
          <t>262162627794</t>
        </is>
      </c>
      <c r="D2" s="16" t="n">
        <v>46286.39350694444</v>
      </c>
      <c r="E2" s="17" t="n">
        <v>46286</v>
      </c>
      <c r="F2" s="14" t="inlineStr">
        <is>
          <t>Mon</t>
        </is>
      </c>
      <c r="G2" s="14" t="inlineStr">
        <is>
          <t>KV</t>
        </is>
      </c>
      <c r="H2" s="14" t="inlineStr">
        <is>
          <t>WMJ</t>
        </is>
      </c>
      <c r="I2" s="14" t="inlineStr">
        <is>
          <t>WMJ - ID - MUHAMMAD EFENDY</t>
        </is>
      </c>
      <c r="J2" s="14" t="inlineStr">
        <is>
          <t>ID (named driver)</t>
        </is>
      </c>
      <c r="K2" s="14" t="inlineStr">
        <is>
          <t>91838155</t>
        </is>
      </c>
      <c r="L2" s="14" t="n">
        <v>1</v>
      </c>
      <c r="M2" s="14" t="inlineStr">
        <is>
          <t>LM</t>
        </is>
      </c>
      <c r="N2" s="14" t="inlineStr">
        <is>
          <t>Fake Success</t>
        </is>
      </c>
      <c r="O2" s="14" t="inlineStr"/>
      <c r="P2" s="14" t="inlineStr"/>
      <c r="Q2" s="14" t="inlineStr"/>
      <c r="R2" s="14" t="inlineStr">
        <is>
          <t>The driver delivered the parcel after the customer made complaint</t>
        </is>
      </c>
      <c r="S2" s="14" t="inlineStr">
        <is>
          <t>Naveen</t>
        </is>
      </c>
      <c r="T2" s="14">
        <f>COUNTIF($B$2:$B$499,B2)</f>
        <v/>
      </c>
      <c r="U2" s="14">
        <f>COUNTIF($I$2:$I$499,I2)</f>
        <v/>
      </c>
      <c r="V2" s="14">
        <f>IF(ISNA(MATCH(B2,'Metabase Lookup'!$A:$A,0)),"Not found",IF(INDEX('Metabase Lookup'!$B:$B,MATCH(B2,'Metabase Lookup'!$A:$A,0))="","Pending",INDEX('Metabase Lookup'!$B:$B,MATCH(B2,'Metabase Lookup'!$A:$A,0))))</f>
        <v/>
      </c>
      <c r="W2" s="14">
        <f>IF(ISNA(MATCH(B2,'Metabase Lookup'!$A:$A,0)),"Not found",IF(INDEX('Metabase Lookup'!$C:$C,MATCH(B2,'Metabase Lookup'!$A:$A,0))="","Pending",INDEX('Metabase Lookup'!$C:$C,MATCH(B2,'Metabase Lookup'!$A:$A,0))))</f>
        <v/>
      </c>
      <c r="X2" s="14">
        <f>IF(ISNA(MATCH(B2,'Metabase Lookup'!$A:$A,0)),"",IF(INDEX('Metabase Lookup'!$D:$D,MATCH(B2,'Metabase Lookup'!$A:$A,0))="","",INDEX('Metabase Lookup'!$D:$D,MATCH(B2,'Metabase Lookup'!$A:$A,0))))</f>
        <v/>
      </c>
      <c r="Y2" s="14">
        <f>IF(ISNUMBER(W2),IF(W2&gt;0,"Yes","No"),"Pending")</f>
        <v/>
      </c>
      <c r="Z2" s="14" t="inlineStr"/>
    </row>
    <row r="3">
      <c r="A3" s="14" t="n">
        <v>2</v>
      </c>
      <c r="B3" s="14" t="inlineStr">
        <is>
          <t>ZMP299487945-2851</t>
        </is>
      </c>
      <c r="C3" s="15" t="inlineStr">
        <is>
          <t>260912621851</t>
        </is>
      </c>
      <c r="D3" s="16" t="n">
        <v>46286.40304398148</v>
      </c>
      <c r="E3" s="17" t="n">
        <v>46286</v>
      </c>
      <c r="F3" s="14" t="inlineStr">
        <is>
          <t>Mon</t>
        </is>
      </c>
      <c r="G3" s="14" t="inlineStr">
        <is>
          <t>Southern</t>
        </is>
      </c>
      <c r="H3" s="14" t="inlineStr">
        <is>
          <t>KLI</t>
        </is>
      </c>
      <c r="I3" s="14" t="inlineStr">
        <is>
          <t>KLI - ID - NURIZZAH</t>
        </is>
      </c>
      <c r="J3" s="14" t="inlineStr">
        <is>
          <t>ID (named driver)</t>
        </is>
      </c>
      <c r="K3" s="14" t="inlineStr">
        <is>
          <t>91832320</t>
        </is>
      </c>
      <c r="L3" s="14" t="n">
        <v>1</v>
      </c>
      <c r="M3" s="14" t="inlineStr">
        <is>
          <t>LM</t>
        </is>
      </c>
      <c r="N3" s="14" t="inlineStr">
        <is>
          <t>Fake Success</t>
        </is>
      </c>
      <c r="O3" s="14" t="inlineStr"/>
      <c r="P3" s="14" t="inlineStr"/>
      <c r="Q3" s="14" t="inlineStr"/>
      <c r="R3" s="14" t="inlineStr">
        <is>
          <t>The driver delivered the parcel after the customer made complaint</t>
        </is>
      </c>
      <c r="S3" s="14" t="inlineStr">
        <is>
          <t>Naveen</t>
        </is>
      </c>
      <c r="T3" s="14">
        <f>COUNTIF($B$2:$B$499,B3)</f>
        <v/>
      </c>
      <c r="U3" s="14">
        <f>COUNTIF($I$2:$I$499,I3)</f>
        <v/>
      </c>
      <c r="V3" s="14">
        <f>IF(ISNA(MATCH(B3,'Metabase Lookup'!$A:$A,0)),"Not found",IF(INDEX('Metabase Lookup'!$B:$B,MATCH(B3,'Metabase Lookup'!$A:$A,0))="","Pending",INDEX('Metabase Lookup'!$B:$B,MATCH(B3,'Metabase Lookup'!$A:$A,0))))</f>
        <v/>
      </c>
      <c r="W3" s="14">
        <f>IF(ISNA(MATCH(B3,'Metabase Lookup'!$A:$A,0)),"Not found",IF(INDEX('Metabase Lookup'!$C:$C,MATCH(B3,'Metabase Lookup'!$A:$A,0))="","Pending",INDEX('Metabase Lookup'!$C:$C,MATCH(B3,'Metabase Lookup'!$A:$A,0))))</f>
        <v/>
      </c>
      <c r="X3" s="14">
        <f>IF(ISNA(MATCH(B3,'Metabase Lookup'!$A:$A,0)),"",IF(INDEX('Metabase Lookup'!$D:$D,MATCH(B3,'Metabase Lookup'!$A:$A,0))="","",INDEX('Metabase Lookup'!$D:$D,MATCH(B3,'Metabase Lookup'!$A:$A,0))))</f>
        <v/>
      </c>
      <c r="Y3" s="14">
        <f>IF(ISNUMBER(W3),IF(W3&gt;0,"Yes","No"),"Pending")</f>
        <v/>
      </c>
      <c r="Z3" s="14" t="inlineStr">
        <is>
          <t>TID had stray spaces/line breaks (cleaned)</t>
        </is>
      </c>
    </row>
    <row r="4">
      <c r="A4" s="14" t="n">
        <v>3</v>
      </c>
      <c r="B4" s="14" t="inlineStr">
        <is>
          <t>TNGE126027145702566000</t>
        </is>
      </c>
      <c r="C4" s="15" t="inlineStr">
        <is>
          <t>268162624947</t>
        </is>
      </c>
      <c r="D4" s="16" t="n">
        <v>46286.40396990741</v>
      </c>
      <c r="E4" s="17" t="n">
        <v>46286</v>
      </c>
      <c r="F4" s="14" t="inlineStr">
        <is>
          <t>Mon</t>
        </is>
      </c>
      <c r="G4" s="14" t="inlineStr">
        <is>
          <t>Southern</t>
        </is>
      </c>
      <c r="H4" s="14" t="inlineStr">
        <is>
          <t>KLI</t>
        </is>
      </c>
      <c r="I4" s="14" t="inlineStr">
        <is>
          <t>KLI - ID - NURULAZIERAH</t>
        </is>
      </c>
      <c r="J4" s="14" t="inlineStr">
        <is>
          <t>ID (named driver)</t>
        </is>
      </c>
      <c r="K4" s="14" t="inlineStr">
        <is>
          <t>91840248</t>
        </is>
      </c>
      <c r="L4" s="14" t="n">
        <v>1</v>
      </c>
      <c r="M4" s="14" t="inlineStr">
        <is>
          <t>LM</t>
        </is>
      </c>
      <c r="N4" s="14" t="inlineStr">
        <is>
          <t>Deliver to Wrong Address</t>
        </is>
      </c>
      <c r="O4" s="14" t="inlineStr"/>
      <c r="P4" s="14" t="inlineStr"/>
      <c r="Q4" s="14" t="inlineStr"/>
      <c r="R4" s="14" t="inlineStr">
        <is>
          <t>the driver delivered the parcel to wrong address instead of customers address</t>
        </is>
      </c>
      <c r="S4" s="14" t="inlineStr">
        <is>
          <t>Naveen</t>
        </is>
      </c>
      <c r="T4" s="14">
        <f>COUNTIF($B$2:$B$499,B4)</f>
        <v/>
      </c>
      <c r="U4" s="14">
        <f>COUNTIF($I$2:$I$499,I4)</f>
        <v/>
      </c>
      <c r="V4" s="14">
        <f>IF(ISNA(MATCH(B4,'Metabase Lookup'!$A:$A,0)),"Not found",IF(INDEX('Metabase Lookup'!$B:$B,MATCH(B4,'Metabase Lookup'!$A:$A,0))="","Pending",INDEX('Metabase Lookup'!$B:$B,MATCH(B4,'Metabase Lookup'!$A:$A,0))))</f>
        <v/>
      </c>
      <c r="W4" s="14">
        <f>IF(ISNA(MATCH(B4,'Metabase Lookup'!$A:$A,0)),"Not found",IF(INDEX('Metabase Lookup'!$C:$C,MATCH(B4,'Metabase Lookup'!$A:$A,0))="","Pending",INDEX('Metabase Lookup'!$C:$C,MATCH(B4,'Metabase Lookup'!$A:$A,0))))</f>
        <v/>
      </c>
      <c r="X4" s="14">
        <f>IF(ISNA(MATCH(B4,'Metabase Lookup'!$A:$A,0)),"",IF(INDEX('Metabase Lookup'!$D:$D,MATCH(B4,'Metabase Lookup'!$A:$A,0))="","",INDEX('Metabase Lookup'!$D:$D,MATCH(B4,'Metabase Lookup'!$A:$A,0))))</f>
        <v/>
      </c>
      <c r="Y4" s="14">
        <f>IF(ISNUMBER(W4),IF(W4&gt;0,"Yes","No"),"Pending")</f>
        <v/>
      </c>
      <c r="Z4" s="14" t="inlineStr"/>
    </row>
    <row r="5">
      <c r="A5" s="14" t="n">
        <v>4</v>
      </c>
      <c r="B5" s="14" t="inlineStr">
        <is>
          <t>NVIDSPMLL000000202</t>
        </is>
      </c>
      <c r="C5" s="15" t="inlineStr">
        <is>
          <t>267822638198</t>
        </is>
      </c>
      <c r="D5" s="16" t="n">
        <v>46286.40498842593</v>
      </c>
      <c r="E5" s="17" t="n">
        <v>46286</v>
      </c>
      <c r="F5" s="14" t="inlineStr">
        <is>
          <t>Mon</t>
        </is>
      </c>
      <c r="G5" s="14" t="inlineStr">
        <is>
          <t>Northern</t>
        </is>
      </c>
      <c r="H5" s="14" t="inlineStr">
        <is>
          <t>BKM</t>
        </is>
      </c>
      <c r="I5" s="14" t="inlineStr">
        <is>
          <t>BKM - ID - FIKRI</t>
        </is>
      </c>
      <c r="J5" s="14" t="inlineStr">
        <is>
          <t>ID (named driver)</t>
        </is>
      </c>
      <c r="K5" s="14" t="inlineStr">
        <is>
          <t>91851116</t>
        </is>
      </c>
      <c r="L5" s="14" t="n">
        <v>1</v>
      </c>
      <c r="M5" s="14" t="inlineStr">
        <is>
          <t>LM</t>
        </is>
      </c>
      <c r="N5" s="14" t="inlineStr">
        <is>
          <t>Fake Fail</t>
        </is>
      </c>
      <c r="O5" s="14" t="inlineStr">
        <is>
          <t>Wrong number called</t>
        </is>
      </c>
      <c r="P5" s="14" t="inlineStr">
        <is>
          <t>No</t>
        </is>
      </c>
      <c r="Q5" s="14" t="inlineStr">
        <is>
          <t>No</t>
        </is>
      </c>
      <c r="R5" s="14" t="inlineStr">
        <is>
          <t>invalid POD. No contact number show in the whatapps attachment</t>
        </is>
      </c>
      <c r="S5" s="14" t="inlineStr">
        <is>
          <t>Hartini</t>
        </is>
      </c>
      <c r="T5" s="14">
        <f>COUNTIF($B$2:$B$499,B5)</f>
        <v/>
      </c>
      <c r="U5" s="14">
        <f>COUNTIF($I$2:$I$499,I5)</f>
        <v/>
      </c>
      <c r="V5" s="14">
        <f>IF(ISNA(MATCH(B5,'Metabase Lookup'!$A:$A,0)),"Not found",IF(INDEX('Metabase Lookup'!$B:$B,MATCH(B5,'Metabase Lookup'!$A:$A,0))="","Pending",INDEX('Metabase Lookup'!$B:$B,MATCH(B5,'Metabase Lookup'!$A:$A,0))))</f>
        <v/>
      </c>
      <c r="W5" s="14">
        <f>IF(ISNA(MATCH(B5,'Metabase Lookup'!$A:$A,0)),"Not found",IF(INDEX('Metabase Lookup'!$C:$C,MATCH(B5,'Metabase Lookup'!$A:$A,0))="","Pending",INDEX('Metabase Lookup'!$C:$C,MATCH(B5,'Metabase Lookup'!$A:$A,0))))</f>
        <v/>
      </c>
      <c r="X5" s="14">
        <f>IF(ISNA(MATCH(B5,'Metabase Lookup'!$A:$A,0)),"",IF(INDEX('Metabase Lookup'!$D:$D,MATCH(B5,'Metabase Lookup'!$A:$A,0))="","",INDEX('Metabase Lookup'!$D:$D,MATCH(B5,'Metabase Lookup'!$A:$A,0))))</f>
        <v/>
      </c>
      <c r="Y5" s="14">
        <f>IF(ISNUMBER(W5),IF(W5&gt;0,"Yes","No"),"Pending")</f>
        <v/>
      </c>
      <c r="Z5" s="14" t="inlineStr"/>
    </row>
    <row r="6">
      <c r="A6" s="14" t="n">
        <v>5</v>
      </c>
      <c r="B6" s="14" t="inlineStr">
        <is>
          <t>TNGDV2609146889176270</t>
        </is>
      </c>
      <c r="C6" s="15" t="inlineStr">
        <is>
          <t>260932628324</t>
        </is>
      </c>
      <c r="D6" s="16" t="n">
        <v>46286.41233796296</v>
      </c>
      <c r="E6" s="17" t="n">
        <v>46286</v>
      </c>
      <c r="F6" s="14" t="inlineStr">
        <is>
          <t>Mon</t>
        </is>
      </c>
      <c r="G6" s="14" t="inlineStr">
        <is>
          <t>KV</t>
        </is>
      </c>
      <c r="H6" s="14" t="inlineStr">
        <is>
          <t>PCK</t>
        </is>
      </c>
      <c r="I6" s="14" t="inlineStr">
        <is>
          <t>PCK - ID - AFIQAH MADZLIN</t>
        </is>
      </c>
      <c r="J6" s="14" t="inlineStr">
        <is>
          <t>ID (named driver)</t>
        </is>
      </c>
      <c r="K6" s="14" t="inlineStr">
        <is>
          <t>91829537</t>
        </is>
      </c>
      <c r="L6" s="14" t="n">
        <v>1</v>
      </c>
      <c r="M6" s="14" t="inlineStr">
        <is>
          <t>LM</t>
        </is>
      </c>
      <c r="N6" s="14" t="inlineStr">
        <is>
          <t>Deliver to Wrong Address</t>
        </is>
      </c>
      <c r="O6" s="14" t="inlineStr"/>
      <c r="P6" s="14" t="inlineStr"/>
      <c r="Q6" s="14" t="inlineStr"/>
      <c r="R6" s="14" t="inlineStr">
        <is>
          <t>the driver delivered the parcel to wrong address instead of customers address</t>
        </is>
      </c>
      <c r="S6" s="14" t="inlineStr">
        <is>
          <t>Naveen</t>
        </is>
      </c>
      <c r="T6" s="14">
        <f>COUNTIF($B$2:$B$499,B6)</f>
        <v/>
      </c>
      <c r="U6" s="14">
        <f>COUNTIF($I$2:$I$499,I6)</f>
        <v/>
      </c>
      <c r="V6" s="14">
        <f>IF(ISNA(MATCH(B6,'Metabase Lookup'!$A:$A,0)),"Not found",IF(INDEX('Metabase Lookup'!$B:$B,MATCH(B6,'Metabase Lookup'!$A:$A,0))="","Pending",INDEX('Metabase Lookup'!$B:$B,MATCH(B6,'Metabase Lookup'!$A:$A,0))))</f>
        <v/>
      </c>
      <c r="W6" s="14">
        <f>IF(ISNA(MATCH(B6,'Metabase Lookup'!$A:$A,0)),"Not found",IF(INDEX('Metabase Lookup'!$C:$C,MATCH(B6,'Metabase Lookup'!$A:$A,0))="","Pending",INDEX('Metabase Lookup'!$C:$C,MATCH(B6,'Metabase Lookup'!$A:$A,0))))</f>
        <v/>
      </c>
      <c r="X6" s="14">
        <f>IF(ISNA(MATCH(B6,'Metabase Lookup'!$A:$A,0)),"",IF(INDEX('Metabase Lookup'!$D:$D,MATCH(B6,'Metabase Lookup'!$A:$A,0))="","",INDEX('Metabase Lookup'!$D:$D,MATCH(B6,'Metabase Lookup'!$A:$A,0))))</f>
        <v/>
      </c>
      <c r="Y6" s="14">
        <f>IF(ISNUMBER(W6),IF(W6&gt;0,"Yes","No"),"Pending")</f>
        <v/>
      </c>
      <c r="Z6" s="14" t="inlineStr"/>
    </row>
    <row r="7">
      <c r="A7" s="14" t="n">
        <v>6</v>
      </c>
      <c r="B7" s="14" t="inlineStr">
        <is>
          <t>FAEYE1546375134655770624</t>
        </is>
      </c>
      <c r="C7" s="15" t="inlineStr">
        <is>
          <t>264842649115</t>
        </is>
      </c>
      <c r="D7" s="16" t="n">
        <v>46286.41603009259</v>
      </c>
      <c r="E7" s="17" t="n">
        <v>46286</v>
      </c>
      <c r="F7" s="14" t="inlineStr">
        <is>
          <t>Mon</t>
        </is>
      </c>
      <c r="G7" s="14" t="inlineStr">
        <is>
          <t>Northern</t>
        </is>
      </c>
      <c r="H7" s="14" t="inlineStr">
        <is>
          <t>BTS</t>
        </is>
      </c>
      <c r="I7" s="14" t="inlineStr">
        <is>
          <t>BTS - OPS - PINANG TUNGGAL</t>
        </is>
      </c>
      <c r="J7" s="14" t="inlineStr">
        <is>
          <t>OPS (generic hub account)</t>
        </is>
      </c>
      <c r="K7" s="14" t="inlineStr">
        <is>
          <t>91845173</t>
        </is>
      </c>
      <c r="L7" s="14" t="n">
        <v>1</v>
      </c>
      <c r="M7" s="14" t="inlineStr">
        <is>
          <t>LM</t>
        </is>
      </c>
      <c r="N7" s="14" t="inlineStr">
        <is>
          <t>Fake Fail</t>
        </is>
      </c>
      <c r="O7" s="14" t="inlineStr">
        <is>
          <t>Wrong number called</t>
        </is>
      </c>
      <c r="P7" s="14" t="inlineStr">
        <is>
          <t>No</t>
        </is>
      </c>
      <c r="Q7" s="14" t="inlineStr">
        <is>
          <t>No</t>
        </is>
      </c>
      <c r="R7" s="14" t="inlineStr">
        <is>
          <t>Wrong customer phone number in the POD</t>
        </is>
      </c>
      <c r="S7" s="14" t="inlineStr">
        <is>
          <t>Daus</t>
        </is>
      </c>
      <c r="T7" s="14">
        <f>COUNTIF($B$2:$B$499,B7)</f>
        <v/>
      </c>
      <c r="U7" s="14">
        <f>COUNTIF($I$2:$I$499,I7)</f>
        <v/>
      </c>
      <c r="V7" s="14">
        <f>IF(ISNA(MATCH(B7,'Metabase Lookup'!$A:$A,0)),"Not found",IF(INDEX('Metabase Lookup'!$B:$B,MATCH(B7,'Metabase Lookup'!$A:$A,0))="","Pending",INDEX('Metabase Lookup'!$B:$B,MATCH(B7,'Metabase Lookup'!$A:$A,0))))</f>
        <v/>
      </c>
      <c r="W7" s="14">
        <f>IF(ISNA(MATCH(B7,'Metabase Lookup'!$A:$A,0)),"Not found",IF(INDEX('Metabase Lookup'!$C:$C,MATCH(B7,'Metabase Lookup'!$A:$A,0))="","Pending",INDEX('Metabase Lookup'!$C:$C,MATCH(B7,'Metabase Lookup'!$A:$A,0))))</f>
        <v/>
      </c>
      <c r="X7" s="14">
        <f>IF(ISNA(MATCH(B7,'Metabase Lookup'!$A:$A,0)),"",IF(INDEX('Metabase Lookup'!$D:$D,MATCH(B7,'Metabase Lookup'!$A:$A,0))="","",INDEX('Metabase Lookup'!$D:$D,MATCH(B7,'Metabase Lookup'!$A:$A,0))))</f>
        <v/>
      </c>
      <c r="Y7" s="14">
        <f>IF(ISNUMBER(W7),IF(W7&gt;0,"Yes","No"),"Pending")</f>
        <v/>
      </c>
      <c r="Z7" s="14" t="inlineStr">
        <is>
          <t>Driver not identified (OPS account)</t>
        </is>
      </c>
    </row>
    <row r="8">
      <c r="A8" s="14" t="n">
        <v>7</v>
      </c>
      <c r="B8" s="14" t="inlineStr">
        <is>
          <t>NVMYSOUPE000000897</t>
        </is>
      </c>
      <c r="C8" s="15" t="inlineStr">
        <is>
          <t>260062621768</t>
        </is>
      </c>
      <c r="D8" s="16" t="n">
        <v>46286.41657407407</v>
      </c>
      <c r="E8" s="17" t="n">
        <v>46286</v>
      </c>
      <c r="F8" s="14" t="inlineStr">
        <is>
          <t>Mon</t>
        </is>
      </c>
      <c r="G8" s="14" t="inlineStr">
        <is>
          <t>Northern</t>
        </is>
      </c>
      <c r="H8" s="14" t="inlineStr">
        <is>
          <t>SPT</t>
        </is>
      </c>
      <c r="I8" s="14" t="inlineStr">
        <is>
          <t>SPT - ID - NORHAZANI</t>
        </is>
      </c>
      <c r="J8" s="14" t="inlineStr">
        <is>
          <t>ID (named driver)</t>
        </is>
      </c>
      <c r="K8" s="14" t="inlineStr">
        <is>
          <t>91833029</t>
        </is>
      </c>
      <c r="L8" s="14" t="n">
        <v>1</v>
      </c>
      <c r="M8" s="14" t="inlineStr">
        <is>
          <t>LM</t>
        </is>
      </c>
      <c r="N8" s="14" t="inlineStr">
        <is>
          <t>Deliver to Wrong Address</t>
        </is>
      </c>
      <c r="O8" s="14" t="inlineStr"/>
      <c r="P8" s="14" t="inlineStr"/>
      <c r="Q8" s="14" t="inlineStr"/>
      <c r="R8" s="14" t="inlineStr">
        <is>
          <t>the driver delivered the parcel to wrong address instead of customers address</t>
        </is>
      </c>
      <c r="S8" s="14" t="inlineStr">
        <is>
          <t>Naveen</t>
        </is>
      </c>
      <c r="T8" s="14">
        <f>COUNTIF($B$2:$B$499,B8)</f>
        <v/>
      </c>
      <c r="U8" s="14">
        <f>COUNTIF($I$2:$I$499,I8)</f>
        <v/>
      </c>
      <c r="V8" s="14">
        <f>IF(ISNA(MATCH(B8,'Metabase Lookup'!$A:$A,0)),"Not found",IF(INDEX('Metabase Lookup'!$B:$B,MATCH(B8,'Metabase Lookup'!$A:$A,0))="","Pending",INDEX('Metabase Lookup'!$B:$B,MATCH(B8,'Metabase Lookup'!$A:$A,0))))</f>
        <v/>
      </c>
      <c r="W8" s="14">
        <f>IF(ISNA(MATCH(B8,'Metabase Lookup'!$A:$A,0)),"Not found",IF(INDEX('Metabase Lookup'!$C:$C,MATCH(B8,'Metabase Lookup'!$A:$A,0))="","Pending",INDEX('Metabase Lookup'!$C:$C,MATCH(B8,'Metabase Lookup'!$A:$A,0))))</f>
        <v/>
      </c>
      <c r="X8" s="14">
        <f>IF(ISNA(MATCH(B8,'Metabase Lookup'!$A:$A,0)),"",IF(INDEX('Metabase Lookup'!$D:$D,MATCH(B8,'Metabase Lookup'!$A:$A,0))="","",INDEX('Metabase Lookup'!$D:$D,MATCH(B8,'Metabase Lookup'!$A:$A,0))))</f>
        <v/>
      </c>
      <c r="Y8" s="14">
        <f>IF(ISNUMBER(W8),IF(W8&gt;0,"Yes","No"),"Pending")</f>
        <v/>
      </c>
      <c r="Z8" s="14" t="inlineStr"/>
    </row>
    <row r="9">
      <c r="A9" s="14" t="n">
        <v>8</v>
      </c>
      <c r="B9" s="14" t="inlineStr">
        <is>
          <t>TESMX1550062495809400832</t>
        </is>
      </c>
      <c r="C9" s="15" t="inlineStr">
        <is>
          <t>266782640335</t>
        </is>
      </c>
      <c r="D9" s="16" t="n">
        <v>46286.41861111111</v>
      </c>
      <c r="E9" s="17" t="n">
        <v>46286</v>
      </c>
      <c r="F9" s="14" t="inlineStr">
        <is>
          <t>Mon</t>
        </is>
      </c>
      <c r="G9" s="14" t="inlineStr">
        <is>
          <t>Southern</t>
        </is>
      </c>
      <c r="H9" s="14" t="inlineStr">
        <is>
          <t>GMR</t>
        </is>
      </c>
      <c r="I9" s="14" t="inlineStr">
        <is>
          <t>GMR - ID - HAMID | GMR - ID - NAJIHAH</t>
        </is>
      </c>
      <c r="J9" s="14" t="inlineStr">
        <is>
          <t>Multiple drivers</t>
        </is>
      </c>
      <c r="K9" s="14" t="inlineStr">
        <is>
          <t>91841554, 91848717</t>
        </is>
      </c>
      <c r="L9" s="14" t="n">
        <v>2</v>
      </c>
      <c r="M9" s="14" t="inlineStr">
        <is>
          <t>LM</t>
        </is>
      </c>
      <c r="N9" s="14" t="inlineStr">
        <is>
          <t>Fake Fail</t>
        </is>
      </c>
      <c r="O9" s="14" t="inlineStr">
        <is>
          <t>Recycled / manipulated POD</t>
        </is>
      </c>
      <c r="P9" s="14" t="inlineStr">
        <is>
          <t>No</t>
        </is>
      </c>
      <c r="Q9" s="14" t="inlineStr">
        <is>
          <t>No</t>
        </is>
      </c>
      <c r="R9" s="14" t="inlineStr">
        <is>
          <t>Driver manipulated POD, using same POD</t>
        </is>
      </c>
      <c r="S9" s="14" t="inlineStr">
        <is>
          <t>Syak</t>
        </is>
      </c>
      <c r="T9" s="14">
        <f>COUNTIF($B$2:$B$499,B9)</f>
        <v/>
      </c>
      <c r="U9" s="14">
        <f>COUNTIF($I$2:$I$499,I9)</f>
        <v/>
      </c>
      <c r="V9" s="14">
        <f>IF(ISNA(MATCH(B9,'Metabase Lookup'!$A:$A,0)),"Not found",IF(INDEX('Metabase Lookup'!$B:$B,MATCH(B9,'Metabase Lookup'!$A:$A,0))="","Pending",INDEX('Metabase Lookup'!$B:$B,MATCH(B9,'Metabase Lookup'!$A:$A,0))))</f>
        <v/>
      </c>
      <c r="W9" s="14">
        <f>IF(ISNA(MATCH(B9,'Metabase Lookup'!$A:$A,0)),"Not found",IF(INDEX('Metabase Lookup'!$C:$C,MATCH(B9,'Metabase Lookup'!$A:$A,0))="","Pending",INDEX('Metabase Lookup'!$C:$C,MATCH(B9,'Metabase Lookup'!$A:$A,0))))</f>
        <v/>
      </c>
      <c r="X9" s="14">
        <f>IF(ISNA(MATCH(B9,'Metabase Lookup'!$A:$A,0)),"",IF(INDEX('Metabase Lookup'!$D:$D,MATCH(B9,'Metabase Lookup'!$A:$A,0))="","",INDEX('Metabase Lookup'!$D:$D,MATCH(B9,'Metabase Lookup'!$A:$A,0))))</f>
        <v/>
      </c>
      <c r="Y9" s="14">
        <f>IF(ISNUMBER(W9),IF(W9&gt;0,"Yes","No"),"Pending")</f>
        <v/>
      </c>
      <c r="Z9" s="14" t="inlineStr">
        <is>
          <t>Multiple drivers in one row; Multiple route IDs</t>
        </is>
      </c>
    </row>
    <row r="10">
      <c r="A10" s="14" t="n">
        <v>9</v>
      </c>
      <c r="B10" s="14" t="inlineStr">
        <is>
          <t>TNGSB125896319766994000</t>
        </is>
      </c>
      <c r="C10" s="15" t="inlineStr">
        <is>
          <t>268122622312</t>
        </is>
      </c>
      <c r="D10" s="16" t="n">
        <v>46286.43188657407</v>
      </c>
      <c r="E10" s="17" t="n">
        <v>46286</v>
      </c>
      <c r="F10" s="14" t="inlineStr">
        <is>
          <t>Mon</t>
        </is>
      </c>
      <c r="G10" s="14" t="inlineStr">
        <is>
          <t>Southern</t>
        </is>
      </c>
      <c r="H10" s="14" t="inlineStr">
        <is>
          <t>LKN</t>
        </is>
      </c>
      <c r="I10" s="14" t="inlineStr">
        <is>
          <t>LKN - ID - OPS</t>
        </is>
      </c>
      <c r="J10" s="14" t="inlineStr">
        <is>
          <t>OPS (generic hub account)</t>
        </is>
      </c>
      <c r="K10" s="14" t="inlineStr">
        <is>
          <t>91835040</t>
        </is>
      </c>
      <c r="L10" s="14" t="n">
        <v>1</v>
      </c>
      <c r="M10" s="14" t="inlineStr">
        <is>
          <t>LM</t>
        </is>
      </c>
      <c r="N10" s="14" t="inlineStr">
        <is>
          <t>Fake Fail</t>
        </is>
      </c>
      <c r="O10" s="14" t="inlineStr">
        <is>
          <t>No call / call log missing</t>
        </is>
      </c>
      <c r="P10" s="14" t="inlineStr">
        <is>
          <t>No</t>
        </is>
      </c>
      <c r="Q10" s="14" t="inlineStr">
        <is>
          <t>No</t>
        </is>
      </c>
      <c r="R10" s="14" t="inlineStr">
        <is>
          <t>driver attach invalid pod and no call log attach</t>
        </is>
      </c>
      <c r="S10" s="14" t="inlineStr">
        <is>
          <t>Zati</t>
        </is>
      </c>
      <c r="T10" s="14">
        <f>COUNTIF($B$2:$B$499,B10)</f>
        <v/>
      </c>
      <c r="U10" s="14">
        <f>COUNTIF($I$2:$I$499,I10)</f>
        <v/>
      </c>
      <c r="V10" s="14">
        <f>IF(ISNA(MATCH(B10,'Metabase Lookup'!$A:$A,0)),"Not found",IF(INDEX('Metabase Lookup'!$B:$B,MATCH(B10,'Metabase Lookup'!$A:$A,0))="","Pending",INDEX('Metabase Lookup'!$B:$B,MATCH(B10,'Metabase Lookup'!$A:$A,0))))</f>
        <v/>
      </c>
      <c r="W10" s="14">
        <f>IF(ISNA(MATCH(B10,'Metabase Lookup'!$A:$A,0)),"Not found",IF(INDEX('Metabase Lookup'!$C:$C,MATCH(B10,'Metabase Lookup'!$A:$A,0))="","Pending",INDEX('Metabase Lookup'!$C:$C,MATCH(B10,'Metabase Lookup'!$A:$A,0))))</f>
        <v/>
      </c>
      <c r="X10" s="14">
        <f>IF(ISNA(MATCH(B10,'Metabase Lookup'!$A:$A,0)),"",IF(INDEX('Metabase Lookup'!$D:$D,MATCH(B10,'Metabase Lookup'!$A:$A,0))="","",INDEX('Metabase Lookup'!$D:$D,MATCH(B10,'Metabase Lookup'!$A:$A,0))))</f>
        <v/>
      </c>
      <c r="Y10" s="14">
        <f>IF(ISNUMBER(W10),IF(W10&gt;0,"Yes","No"),"Pending")</f>
        <v/>
      </c>
      <c r="Z10" s="14" t="inlineStr">
        <is>
          <t>Driver not identified (OPS account)</t>
        </is>
      </c>
    </row>
    <row r="11">
      <c r="A11" s="14" t="n">
        <v>10</v>
      </c>
      <c r="B11" s="14" t="inlineStr">
        <is>
          <t>NVMYTRADE014219299</t>
        </is>
      </c>
      <c r="C11" s="15" t="inlineStr">
        <is>
          <t>260932629751</t>
        </is>
      </c>
      <c r="D11" s="16" t="n">
        <v>46286.43519675926</v>
      </c>
      <c r="E11" s="17" t="n">
        <v>46286</v>
      </c>
      <c r="F11" s="14" t="inlineStr">
        <is>
          <t>Mon</t>
        </is>
      </c>
      <c r="G11" s="14" t="inlineStr">
        <is>
          <t>North West</t>
        </is>
      </c>
      <c r="H11" s="14" t="inlineStr">
        <is>
          <t>SAR</t>
        </is>
      </c>
      <c r="I11" s="14" t="inlineStr">
        <is>
          <t>SAR - OPS - ROUTE OPS</t>
        </is>
      </c>
      <c r="J11" s="14" t="inlineStr">
        <is>
          <t>OPS (generic hub account)</t>
        </is>
      </c>
      <c r="K11" s="14" t="inlineStr">
        <is>
          <t>91827333</t>
        </is>
      </c>
      <c r="L11" s="14" t="n">
        <v>1</v>
      </c>
      <c r="M11" s="14" t="inlineStr">
        <is>
          <t>LM</t>
        </is>
      </c>
      <c r="N11" s="14" t="inlineStr">
        <is>
          <t>Fake Fail</t>
        </is>
      </c>
      <c r="O11" s="14" t="inlineStr">
        <is>
          <t>Invalid location / site photo</t>
        </is>
      </c>
      <c r="P11" s="14" t="inlineStr">
        <is>
          <t>Yes</t>
        </is>
      </c>
      <c r="Q11" s="14" t="inlineStr">
        <is>
          <t>No</t>
        </is>
      </c>
      <c r="R11" s="14" t="inlineStr">
        <is>
          <t>driver attach wrong location</t>
        </is>
      </c>
      <c r="S11" s="14" t="inlineStr">
        <is>
          <t>Zati</t>
        </is>
      </c>
      <c r="T11" s="14">
        <f>COUNTIF($B$2:$B$499,B11)</f>
        <v/>
      </c>
      <c r="U11" s="14">
        <f>COUNTIF($I$2:$I$499,I11)</f>
        <v/>
      </c>
      <c r="V11" s="14">
        <f>IF(ISNA(MATCH(B11,'Metabase Lookup'!$A:$A,0)),"Not found",IF(INDEX('Metabase Lookup'!$B:$B,MATCH(B11,'Metabase Lookup'!$A:$A,0))="","Pending",INDEX('Metabase Lookup'!$B:$B,MATCH(B11,'Metabase Lookup'!$A:$A,0))))</f>
        <v/>
      </c>
      <c r="W11" s="14">
        <f>IF(ISNA(MATCH(B11,'Metabase Lookup'!$A:$A,0)),"Not found",IF(INDEX('Metabase Lookup'!$C:$C,MATCH(B11,'Metabase Lookup'!$A:$A,0))="","Pending",INDEX('Metabase Lookup'!$C:$C,MATCH(B11,'Metabase Lookup'!$A:$A,0))))</f>
        <v/>
      </c>
      <c r="X11" s="14">
        <f>IF(ISNA(MATCH(B11,'Metabase Lookup'!$A:$A,0)),"",IF(INDEX('Metabase Lookup'!$D:$D,MATCH(B11,'Metabase Lookup'!$A:$A,0))="","",INDEX('Metabase Lookup'!$D:$D,MATCH(B11,'Metabase Lookup'!$A:$A,0))))</f>
        <v/>
      </c>
      <c r="Y11" s="14">
        <f>IF(ISNUMBER(W11),IF(W11&gt;0,"Yes","No"),"Pending")</f>
        <v/>
      </c>
      <c r="Z11" s="14" t="inlineStr">
        <is>
          <t>Driver not identified (OPS account)</t>
        </is>
      </c>
    </row>
    <row r="12">
      <c r="A12" s="14" t="n">
        <v>11</v>
      </c>
      <c r="B12" s="14" t="inlineStr">
        <is>
          <t>NVMYNINJA002502078</t>
        </is>
      </c>
      <c r="C12" s="15" t="inlineStr">
        <is>
          <t>266882646042</t>
        </is>
      </c>
      <c r="D12" s="16" t="n">
        <v>46286.44025462963</v>
      </c>
      <c r="E12" s="17" t="n">
        <v>46286</v>
      </c>
      <c r="F12" s="14" t="inlineStr">
        <is>
          <t>Mon</t>
        </is>
      </c>
      <c r="G12" s="14" t="inlineStr">
        <is>
          <t>Southern</t>
        </is>
      </c>
      <c r="H12" s="14" t="inlineStr">
        <is>
          <t>LKN</t>
        </is>
      </c>
      <c r="I12" s="14" t="inlineStr">
        <is>
          <t>LKN - ID - SAIFUL | MUA - HR - SYUKRIAHEZAN</t>
        </is>
      </c>
      <c r="J12" s="14" t="inlineStr">
        <is>
          <t>Multiple drivers</t>
        </is>
      </c>
      <c r="K12" s="14" t="inlineStr">
        <is>
          <t>91827065, 91844826</t>
        </is>
      </c>
      <c r="L12" s="14" t="n">
        <v>2</v>
      </c>
      <c r="M12" s="14" t="inlineStr">
        <is>
          <t>LM</t>
        </is>
      </c>
      <c r="N12" s="14" t="inlineStr">
        <is>
          <t>Fake Fail</t>
        </is>
      </c>
      <c r="O12" s="14" t="inlineStr">
        <is>
          <t>Invalid location / site photo</t>
        </is>
      </c>
      <c r="P12" s="14" t="inlineStr">
        <is>
          <t>Yes</t>
        </is>
      </c>
      <c r="Q12" s="14" t="inlineStr">
        <is>
          <t>No</t>
        </is>
      </c>
      <c r="R12" s="14" t="inlineStr">
        <is>
          <t>POD not cust location</t>
        </is>
      </c>
      <c r="S12" s="14" t="inlineStr">
        <is>
          <t>Zakwan</t>
        </is>
      </c>
      <c r="T12" s="14">
        <f>COUNTIF($B$2:$B$499,B12)</f>
        <v/>
      </c>
      <c r="U12" s="14">
        <f>COUNTIF($I$2:$I$499,I12)</f>
        <v/>
      </c>
      <c r="V12" s="14">
        <f>IF(ISNA(MATCH(B12,'Metabase Lookup'!$A:$A,0)),"Not found",IF(INDEX('Metabase Lookup'!$B:$B,MATCH(B12,'Metabase Lookup'!$A:$A,0))="","Pending",INDEX('Metabase Lookup'!$B:$B,MATCH(B12,'Metabase Lookup'!$A:$A,0))))</f>
        <v/>
      </c>
      <c r="W12" s="14">
        <f>IF(ISNA(MATCH(B12,'Metabase Lookup'!$A:$A,0)),"Not found",IF(INDEX('Metabase Lookup'!$C:$C,MATCH(B12,'Metabase Lookup'!$A:$A,0))="","Pending",INDEX('Metabase Lookup'!$C:$C,MATCH(B12,'Metabase Lookup'!$A:$A,0))))</f>
        <v/>
      </c>
      <c r="X12" s="14">
        <f>IF(ISNA(MATCH(B12,'Metabase Lookup'!$A:$A,0)),"",IF(INDEX('Metabase Lookup'!$D:$D,MATCH(B12,'Metabase Lookup'!$A:$A,0))="","",INDEX('Metabase Lookup'!$D:$D,MATCH(B12,'Metabase Lookup'!$A:$A,0))))</f>
        <v/>
      </c>
      <c r="Y12" s="14">
        <f>IF(ISNUMBER(W12),IF(W12&gt;0,"Yes","No"),"Pending")</f>
        <v/>
      </c>
      <c r="Z12" s="14" t="inlineStr">
        <is>
          <t>Multiple drivers in one row; Multiple route IDs</t>
        </is>
      </c>
    </row>
    <row r="13">
      <c r="A13" s="14" t="n">
        <v>12</v>
      </c>
      <c r="B13" s="14" t="inlineStr">
        <is>
          <t>MANIR1548139880832774144</t>
        </is>
      </c>
      <c r="C13" s="15" t="inlineStr">
        <is>
          <t>264712639790</t>
        </is>
      </c>
      <c r="D13" s="16" t="n">
        <v>46286.44108796296</v>
      </c>
      <c r="E13" s="17" t="n">
        <v>46286</v>
      </c>
      <c r="F13" s="14" t="inlineStr">
        <is>
          <t>Mon</t>
        </is>
      </c>
      <c r="G13" s="14" t="inlineStr">
        <is>
          <t>Southern</t>
        </is>
      </c>
      <c r="H13" s="14" t="inlineStr">
        <is>
          <t>GLG</t>
        </is>
      </c>
      <c r="I13" s="14" t="inlineStr">
        <is>
          <t>GLG - OPS - ENGKU</t>
        </is>
      </c>
      <c r="J13" s="14" t="inlineStr">
        <is>
          <t>OPS (generic hub account)</t>
        </is>
      </c>
      <c r="K13" s="14" t="inlineStr">
        <is>
          <t>91814193</t>
        </is>
      </c>
      <c r="L13" s="14" t="n">
        <v>1</v>
      </c>
      <c r="M13" s="14" t="inlineStr">
        <is>
          <t>LM</t>
        </is>
      </c>
      <c r="N13" s="14" t="inlineStr">
        <is>
          <t>Fake Fail</t>
        </is>
      </c>
      <c r="O13" s="14" t="inlineStr">
        <is>
          <t>No call / call log missing</t>
        </is>
      </c>
      <c r="P13" s="14" t="inlineStr">
        <is>
          <t>Yes</t>
        </is>
      </c>
      <c r="Q13" s="14" t="inlineStr">
        <is>
          <t>No</t>
        </is>
      </c>
      <c r="R13" s="14" t="inlineStr">
        <is>
          <t>No call log / location picture</t>
        </is>
      </c>
      <c r="S13" s="14" t="inlineStr">
        <is>
          <t>Syafiq</t>
        </is>
      </c>
      <c r="T13" s="14">
        <f>COUNTIF($B$2:$B$499,B13)</f>
        <v/>
      </c>
      <c r="U13" s="14">
        <f>COUNTIF($I$2:$I$499,I13)</f>
        <v/>
      </c>
      <c r="V13" s="14">
        <f>IF(ISNA(MATCH(B13,'Metabase Lookup'!$A:$A,0)),"Not found",IF(INDEX('Metabase Lookup'!$B:$B,MATCH(B13,'Metabase Lookup'!$A:$A,0))="","Pending",INDEX('Metabase Lookup'!$B:$B,MATCH(B13,'Metabase Lookup'!$A:$A,0))))</f>
        <v/>
      </c>
      <c r="W13" s="14">
        <f>IF(ISNA(MATCH(B13,'Metabase Lookup'!$A:$A,0)),"Not found",IF(INDEX('Metabase Lookup'!$C:$C,MATCH(B13,'Metabase Lookup'!$A:$A,0))="","Pending",INDEX('Metabase Lookup'!$C:$C,MATCH(B13,'Metabase Lookup'!$A:$A,0))))</f>
        <v/>
      </c>
      <c r="X13" s="14">
        <f>IF(ISNA(MATCH(B13,'Metabase Lookup'!$A:$A,0)),"",IF(INDEX('Metabase Lookup'!$D:$D,MATCH(B13,'Metabase Lookup'!$A:$A,0))="","",INDEX('Metabase Lookup'!$D:$D,MATCH(B13,'Metabase Lookup'!$A:$A,0))))</f>
        <v/>
      </c>
      <c r="Y13" s="14">
        <f>IF(ISNUMBER(W13),IF(W13&gt;0,"Yes","No"),"Pending")</f>
        <v/>
      </c>
      <c r="Z13" s="14" t="inlineStr">
        <is>
          <t>TID had stray spaces/line breaks (cleaned); Driver not identified (OPS account)</t>
        </is>
      </c>
    </row>
    <row r="14">
      <c r="A14" s="14" t="n">
        <v>13</v>
      </c>
      <c r="B14" s="14" t="inlineStr">
        <is>
          <t>ECFPLXX021424715</t>
        </is>
      </c>
      <c r="C14" s="15" t="inlineStr">
        <is>
          <t>269792626328</t>
        </is>
      </c>
      <c r="D14" s="16" t="n">
        <v>46286.44207175926</v>
      </c>
      <c r="E14" s="17" t="n">
        <v>46286</v>
      </c>
      <c r="F14" s="14" t="inlineStr">
        <is>
          <t>Mon</t>
        </is>
      </c>
      <c r="G14" s="14" t="inlineStr">
        <is>
          <t>KV</t>
        </is>
      </c>
      <c r="H14" s="14" t="inlineStr">
        <is>
          <t>RBY</t>
        </is>
      </c>
      <c r="I14" s="14" t="inlineStr">
        <is>
          <t>OPS - MAZLI SHAH</t>
        </is>
      </c>
      <c r="J14" s="14" t="inlineStr">
        <is>
          <t>OPS (generic hub account)</t>
        </is>
      </c>
      <c r="K14" s="14" t="inlineStr">
        <is>
          <t>91836304</t>
        </is>
      </c>
      <c r="L14" s="14" t="n">
        <v>1</v>
      </c>
      <c r="M14" s="14" t="inlineStr">
        <is>
          <t>LM</t>
        </is>
      </c>
      <c r="N14" s="14" t="inlineStr">
        <is>
          <t>Fake Fail</t>
        </is>
      </c>
      <c r="O14" s="14" t="inlineStr">
        <is>
          <t>Wrong number called</t>
        </is>
      </c>
      <c r="P14" s="14" t="inlineStr">
        <is>
          <t>No</t>
        </is>
      </c>
      <c r="Q14" s="14" t="inlineStr">
        <is>
          <t>No</t>
        </is>
      </c>
      <c r="R14" s="14" t="inlineStr">
        <is>
          <t>call log attach is not belong to customer</t>
        </is>
      </c>
      <c r="S14" s="14" t="inlineStr">
        <is>
          <t>Zati</t>
        </is>
      </c>
      <c r="T14" s="14">
        <f>COUNTIF($B$2:$B$499,B14)</f>
        <v/>
      </c>
      <c r="U14" s="14">
        <f>COUNTIF($I$2:$I$499,I14)</f>
        <v/>
      </c>
      <c r="V14" s="14">
        <f>IF(ISNA(MATCH(B14,'Metabase Lookup'!$A:$A,0)),"Not found",IF(INDEX('Metabase Lookup'!$B:$B,MATCH(B14,'Metabase Lookup'!$A:$A,0))="","Pending",INDEX('Metabase Lookup'!$B:$B,MATCH(B14,'Metabase Lookup'!$A:$A,0))))</f>
        <v/>
      </c>
      <c r="W14" s="14">
        <f>IF(ISNA(MATCH(B14,'Metabase Lookup'!$A:$A,0)),"Not found",IF(INDEX('Metabase Lookup'!$C:$C,MATCH(B14,'Metabase Lookup'!$A:$A,0))="","Pending",INDEX('Metabase Lookup'!$C:$C,MATCH(B14,'Metabase Lookup'!$A:$A,0))))</f>
        <v/>
      </c>
      <c r="X14" s="14">
        <f>IF(ISNA(MATCH(B14,'Metabase Lookup'!$A:$A,0)),"",IF(INDEX('Metabase Lookup'!$D:$D,MATCH(B14,'Metabase Lookup'!$A:$A,0))="","",INDEX('Metabase Lookup'!$D:$D,MATCH(B14,'Metabase Lookup'!$A:$A,0))))</f>
        <v/>
      </c>
      <c r="Y14" s="14">
        <f>IF(ISNUMBER(W14),IF(W14&gt;0,"Yes","No"),"Pending")</f>
        <v/>
      </c>
      <c r="Z14" s="14" t="inlineStr">
        <is>
          <t>Driver not identified (OPS account)</t>
        </is>
      </c>
    </row>
    <row r="15">
      <c r="A15" s="14" t="n">
        <v>14</v>
      </c>
      <c r="B15" s="14" t="inlineStr">
        <is>
          <t>MYNJV70088695348</t>
        </is>
      </c>
      <c r="C15" s="15" t="inlineStr">
        <is>
          <t>262822628349</t>
        </is>
      </c>
      <c r="D15" s="16" t="n">
        <v>46286.44331018518</v>
      </c>
      <c r="E15" s="17" t="n">
        <v>46286</v>
      </c>
      <c r="F15" s="14" t="inlineStr">
        <is>
          <t>Mon</t>
        </is>
      </c>
      <c r="G15" s="14" t="inlineStr">
        <is>
          <t>KV</t>
        </is>
      </c>
      <c r="H15" s="14" t="inlineStr">
        <is>
          <t>SLG</t>
        </is>
      </c>
      <c r="I15" s="14" t="inlineStr">
        <is>
          <t>OPS - SELAYANG</t>
        </is>
      </c>
      <c r="J15" s="14" t="inlineStr">
        <is>
          <t>OPS (generic hub account)</t>
        </is>
      </c>
      <c r="K15" s="14" t="inlineStr">
        <is>
          <t>91808543</t>
        </is>
      </c>
      <c r="L15" s="14" t="n">
        <v>1</v>
      </c>
      <c r="M15" s="14" t="inlineStr">
        <is>
          <t>LM</t>
        </is>
      </c>
      <c r="N15" s="14" t="inlineStr">
        <is>
          <t>Fake Fail</t>
        </is>
      </c>
      <c r="O15" s="14" t="inlineStr">
        <is>
          <t>Invalid call log (unspecified)</t>
        </is>
      </c>
      <c r="P15" s="14" t="inlineStr">
        <is>
          <t>Yes</t>
        </is>
      </c>
      <c r="Q15" s="14" t="inlineStr">
        <is>
          <t>No</t>
        </is>
      </c>
      <c r="R15" s="14" t="inlineStr">
        <is>
          <t>Driver not attach valid call log and location is under customer address</t>
        </is>
      </c>
      <c r="S15" s="14" t="inlineStr">
        <is>
          <t>Zati</t>
        </is>
      </c>
      <c r="T15" s="14">
        <f>COUNTIF($B$2:$B$499,B15)</f>
        <v/>
      </c>
      <c r="U15" s="14">
        <f>COUNTIF($I$2:$I$499,I15)</f>
        <v/>
      </c>
      <c r="V15" s="14">
        <f>IF(ISNA(MATCH(B15,'Metabase Lookup'!$A:$A,0)),"Not found",IF(INDEX('Metabase Lookup'!$B:$B,MATCH(B15,'Metabase Lookup'!$A:$A,0))="","Pending",INDEX('Metabase Lookup'!$B:$B,MATCH(B15,'Metabase Lookup'!$A:$A,0))))</f>
        <v/>
      </c>
      <c r="W15" s="14">
        <f>IF(ISNA(MATCH(B15,'Metabase Lookup'!$A:$A,0)),"Not found",IF(INDEX('Metabase Lookup'!$C:$C,MATCH(B15,'Metabase Lookup'!$A:$A,0))="","Pending",INDEX('Metabase Lookup'!$C:$C,MATCH(B15,'Metabase Lookup'!$A:$A,0))))</f>
        <v/>
      </c>
      <c r="X15" s="14">
        <f>IF(ISNA(MATCH(B15,'Metabase Lookup'!$A:$A,0)),"",IF(INDEX('Metabase Lookup'!$D:$D,MATCH(B15,'Metabase Lookup'!$A:$A,0))="","",INDEX('Metabase Lookup'!$D:$D,MATCH(B15,'Metabase Lookup'!$A:$A,0))))</f>
        <v/>
      </c>
      <c r="Y15" s="14">
        <f>IF(ISNUMBER(W15),IF(W15&gt;0,"Yes","No"),"Pending")</f>
        <v/>
      </c>
      <c r="Z15" s="14" t="inlineStr">
        <is>
          <t>Driver not identified (OPS account)</t>
        </is>
      </c>
    </row>
    <row r="16">
      <c r="A16" s="14" t="n">
        <v>15</v>
      </c>
      <c r="B16" s="14" t="inlineStr">
        <is>
          <t>CHVIN000010477</t>
        </is>
      </c>
      <c r="C16" s="15" t="inlineStr">
        <is>
          <t>265432641982</t>
        </is>
      </c>
      <c r="D16" s="16" t="n">
        <v>46286.44458333333</v>
      </c>
      <c r="E16" s="17" t="n">
        <v>46286</v>
      </c>
      <c r="F16" s="14" t="inlineStr">
        <is>
          <t>Mon</t>
        </is>
      </c>
      <c r="G16" s="14" t="inlineStr">
        <is>
          <t>KV</t>
        </is>
      </c>
      <c r="H16" s="14" t="inlineStr">
        <is>
          <t>KLG</t>
        </is>
      </c>
      <c r="I16" s="14" t="inlineStr">
        <is>
          <t>KLG -OPS -MUZAFFAR</t>
        </is>
      </c>
      <c r="J16" s="14" t="inlineStr">
        <is>
          <t>OPS (generic hub account)</t>
        </is>
      </c>
      <c r="K16" s="14" t="inlineStr">
        <is>
          <t>91844261</t>
        </is>
      </c>
      <c r="L16" s="14" t="n">
        <v>1</v>
      </c>
      <c r="M16" s="14" t="inlineStr">
        <is>
          <t>LM</t>
        </is>
      </c>
      <c r="N16" s="14" t="inlineStr">
        <is>
          <t>Fake Fail</t>
        </is>
      </c>
      <c r="O16" s="14" t="inlineStr">
        <is>
          <t>No call / call log missing</t>
        </is>
      </c>
      <c r="P16" s="14" t="inlineStr">
        <is>
          <t>No</t>
        </is>
      </c>
      <c r="Q16" s="14" t="inlineStr">
        <is>
          <t>No</t>
        </is>
      </c>
      <c r="R16" s="14" t="inlineStr">
        <is>
          <t>No call log provide and Whatsapp no response</t>
        </is>
      </c>
      <c r="S16" s="14" t="inlineStr">
        <is>
          <t>Izzni</t>
        </is>
      </c>
      <c r="T16" s="14">
        <f>COUNTIF($B$2:$B$499,B16)</f>
        <v/>
      </c>
      <c r="U16" s="14">
        <f>COUNTIF($I$2:$I$499,I16)</f>
        <v/>
      </c>
      <c r="V16" s="14">
        <f>IF(ISNA(MATCH(B16,'Metabase Lookup'!$A:$A,0)),"Not found",IF(INDEX('Metabase Lookup'!$B:$B,MATCH(B16,'Metabase Lookup'!$A:$A,0))="","Pending",INDEX('Metabase Lookup'!$B:$B,MATCH(B16,'Metabase Lookup'!$A:$A,0))))</f>
        <v/>
      </c>
      <c r="W16" s="14">
        <f>IF(ISNA(MATCH(B16,'Metabase Lookup'!$A:$A,0)),"Not found",IF(INDEX('Metabase Lookup'!$C:$C,MATCH(B16,'Metabase Lookup'!$A:$A,0))="","Pending",INDEX('Metabase Lookup'!$C:$C,MATCH(B16,'Metabase Lookup'!$A:$A,0))))</f>
        <v/>
      </c>
      <c r="X16" s="14">
        <f>IF(ISNA(MATCH(B16,'Metabase Lookup'!$A:$A,0)),"",IF(INDEX('Metabase Lookup'!$D:$D,MATCH(B16,'Metabase Lookup'!$A:$A,0))="","",INDEX('Metabase Lookup'!$D:$D,MATCH(B16,'Metabase Lookup'!$A:$A,0))))</f>
        <v/>
      </c>
      <c r="Y16" s="14">
        <f>IF(ISNUMBER(W16),IF(W16&gt;0,"Yes","No"),"Pending")</f>
        <v/>
      </c>
      <c r="Z16" s="14" t="inlineStr">
        <is>
          <t>Driver not identified (OPS account)</t>
        </is>
      </c>
    </row>
    <row r="17">
      <c r="A17" s="14" t="n">
        <v>16</v>
      </c>
      <c r="B17" s="14" t="inlineStr">
        <is>
          <t>ZNV252917945-9837</t>
        </is>
      </c>
      <c r="C17" s="15" t="inlineStr">
        <is>
          <t>262892631421</t>
        </is>
      </c>
      <c r="D17" s="16" t="n">
        <v>46286.44542824074</v>
      </c>
      <c r="E17" s="17" t="n">
        <v>46286</v>
      </c>
      <c r="F17" s="14" t="inlineStr">
        <is>
          <t>Mon</t>
        </is>
      </c>
      <c r="G17" s="14" t="inlineStr">
        <is>
          <t>Southern</t>
        </is>
      </c>
      <c r="H17" s="14" t="inlineStr">
        <is>
          <t>KLI</t>
        </is>
      </c>
      <c r="I17" s="14" t="inlineStr">
        <is>
          <t>OPS - KULAI</t>
        </is>
      </c>
      <c r="J17" s="14" t="inlineStr">
        <is>
          <t>OPS (generic hub account)</t>
        </is>
      </c>
      <c r="K17" s="14" t="inlineStr">
        <is>
          <t>91823639</t>
        </is>
      </c>
      <c r="L17" s="14" t="n">
        <v>1</v>
      </c>
      <c r="M17" s="14" t="inlineStr">
        <is>
          <t>LM</t>
        </is>
      </c>
      <c r="N17" s="14" t="inlineStr">
        <is>
          <t>Fake Fail</t>
        </is>
      </c>
      <c r="O17" s="14" t="inlineStr">
        <is>
          <t>Invalid POD (no detail)</t>
        </is>
      </c>
      <c r="P17" s="14" t="inlineStr">
        <is>
          <t>No</t>
        </is>
      </c>
      <c r="Q17" s="14" t="inlineStr">
        <is>
          <t>Yes</t>
        </is>
      </c>
      <c r="R17" s="14" t="inlineStr">
        <is>
          <t>invalid POD, failed under ops</t>
        </is>
      </c>
      <c r="S17" s="14" t="inlineStr">
        <is>
          <t>Yana</t>
        </is>
      </c>
      <c r="T17" s="14">
        <f>COUNTIF($B$2:$B$499,B17)</f>
        <v/>
      </c>
      <c r="U17" s="14">
        <f>COUNTIF($I$2:$I$499,I17)</f>
        <v/>
      </c>
      <c r="V17" s="14">
        <f>IF(ISNA(MATCH(B17,'Metabase Lookup'!$A:$A,0)),"Not found",IF(INDEX('Metabase Lookup'!$B:$B,MATCH(B17,'Metabase Lookup'!$A:$A,0))="","Pending",INDEX('Metabase Lookup'!$B:$B,MATCH(B17,'Metabase Lookup'!$A:$A,0))))</f>
        <v/>
      </c>
      <c r="W17" s="14">
        <f>IF(ISNA(MATCH(B17,'Metabase Lookup'!$A:$A,0)),"Not found",IF(INDEX('Metabase Lookup'!$C:$C,MATCH(B17,'Metabase Lookup'!$A:$A,0))="","Pending",INDEX('Metabase Lookup'!$C:$C,MATCH(B17,'Metabase Lookup'!$A:$A,0))))</f>
        <v/>
      </c>
      <c r="X17" s="14">
        <f>IF(ISNA(MATCH(B17,'Metabase Lookup'!$A:$A,0)),"",IF(INDEX('Metabase Lookup'!$D:$D,MATCH(B17,'Metabase Lookup'!$A:$A,0))="","",INDEX('Metabase Lookup'!$D:$D,MATCH(B17,'Metabase Lookup'!$A:$A,0))))</f>
        <v/>
      </c>
      <c r="Y17" s="14">
        <f>IF(ISNUMBER(W17),IF(W17&gt;0,"Yes","No"),"Pending")</f>
        <v/>
      </c>
      <c r="Z17" s="14" t="inlineStr">
        <is>
          <t>Driver not identified (OPS account)</t>
        </is>
      </c>
    </row>
    <row r="18">
      <c r="A18" s="14" t="n">
        <v>17</v>
      </c>
      <c r="B18" s="14" t="inlineStr">
        <is>
          <t>NVMYTRADE014220750NVMYTRADE014220720</t>
        </is>
      </c>
      <c r="C18" s="15" t="inlineStr">
        <is>
          <t>266602625524</t>
        </is>
      </c>
      <c r="D18" s="16" t="n">
        <v>46286.44658564815</v>
      </c>
      <c r="E18" s="17" t="n">
        <v>46286</v>
      </c>
      <c r="F18" s="14" t="inlineStr">
        <is>
          <t>Mon</t>
        </is>
      </c>
      <c r="G18" s="14" t="inlineStr">
        <is>
          <t>KV</t>
        </is>
      </c>
      <c r="H18" s="14" t="inlineStr">
        <is>
          <t>OUG</t>
        </is>
      </c>
      <c r="I18" s="14" t="inlineStr">
        <is>
          <t>OPS - OUG</t>
        </is>
      </c>
      <c r="J18" s="14" t="inlineStr">
        <is>
          <t>OPS (generic hub account)</t>
        </is>
      </c>
      <c r="K18" s="14" t="inlineStr">
        <is>
          <t>91836443</t>
        </is>
      </c>
      <c r="L18" s="14" t="n">
        <v>1</v>
      </c>
      <c r="M18" s="14" t="inlineStr">
        <is>
          <t>LM</t>
        </is>
      </c>
      <c r="N18" s="14" t="inlineStr">
        <is>
          <t>Fake Fail</t>
        </is>
      </c>
      <c r="O18" s="14" t="inlineStr">
        <is>
          <t>Wrong number called</t>
        </is>
      </c>
      <c r="P18" s="14" t="inlineStr">
        <is>
          <t>No</t>
        </is>
      </c>
      <c r="Q18" s="14" t="inlineStr">
        <is>
          <t>No</t>
        </is>
      </c>
      <c r="R18" s="14" t="inlineStr">
        <is>
          <t>call log attach not show customer contact number</t>
        </is>
      </c>
      <c r="S18" s="14" t="inlineStr">
        <is>
          <t>Zati</t>
        </is>
      </c>
      <c r="T18" s="14">
        <f>COUNTIF($B$2:$B$499,B18)</f>
        <v/>
      </c>
      <c r="U18" s="14">
        <f>COUNTIF($I$2:$I$499,I18)</f>
        <v/>
      </c>
      <c r="V18" s="14">
        <f>IF(ISNA(MATCH(B18,'Metabase Lookup'!$A:$A,0)),"Not found",IF(INDEX('Metabase Lookup'!$B:$B,MATCH(B18,'Metabase Lookup'!$A:$A,0))="","Pending",INDEX('Metabase Lookup'!$B:$B,MATCH(B18,'Metabase Lookup'!$A:$A,0))))</f>
        <v/>
      </c>
      <c r="W18" s="14">
        <f>IF(ISNA(MATCH(B18,'Metabase Lookup'!$A:$A,0)),"Not found",IF(INDEX('Metabase Lookup'!$C:$C,MATCH(B18,'Metabase Lookup'!$A:$A,0))="","Pending",INDEX('Metabase Lookup'!$C:$C,MATCH(B18,'Metabase Lookup'!$A:$A,0))))</f>
        <v/>
      </c>
      <c r="X18" s="14">
        <f>IF(ISNA(MATCH(B18,'Metabase Lookup'!$A:$A,0)),"",IF(INDEX('Metabase Lookup'!$D:$D,MATCH(B18,'Metabase Lookup'!$A:$A,0))="","",INDEX('Metabase Lookup'!$D:$D,MATCH(B18,'Metabase Lookup'!$A:$A,0))))</f>
        <v/>
      </c>
      <c r="Y18" s="14">
        <f>IF(ISNUMBER(W18),IF(W18&gt;0,"Yes","No"),"Pending")</f>
        <v/>
      </c>
      <c r="Z18" s="14" t="inlineStr">
        <is>
          <t>TID had stray spaces/line breaks (cleaned); Driver not identified (OPS account)</t>
        </is>
      </c>
    </row>
    <row r="19">
      <c r="A19" s="14" t="n">
        <v>18</v>
      </c>
      <c r="B19" s="14" t="inlineStr">
        <is>
          <t>TNGE126027123707211000</t>
        </is>
      </c>
      <c r="C19" s="15" t="inlineStr">
        <is>
          <t>265742627200</t>
        </is>
      </c>
      <c r="D19" s="16" t="n">
        <v>46286.44751157407</v>
      </c>
      <c r="E19" s="17" t="n">
        <v>46286</v>
      </c>
      <c r="F19" s="14" t="inlineStr">
        <is>
          <t>Mon</t>
        </is>
      </c>
      <c r="G19" s="14" t="inlineStr">
        <is>
          <t>Southern</t>
        </is>
      </c>
      <c r="H19" s="14" t="inlineStr">
        <is>
          <t>GLG</t>
        </is>
      </c>
      <c r="I19" s="14" t="inlineStr">
        <is>
          <t>GLG - OPS - ENGKU</t>
        </is>
      </c>
      <c r="J19" s="14" t="inlineStr">
        <is>
          <t>OPS (generic hub account)</t>
        </is>
      </c>
      <c r="K19" s="14" t="inlineStr">
        <is>
          <t>91845006</t>
        </is>
      </c>
      <c r="L19" s="14" t="n">
        <v>1</v>
      </c>
      <c r="M19" s="14" t="inlineStr">
        <is>
          <t>LM</t>
        </is>
      </c>
      <c r="N19" s="14" t="inlineStr">
        <is>
          <t>Fake Fail</t>
        </is>
      </c>
      <c r="O19" s="14" t="inlineStr">
        <is>
          <t>No call / call log missing</t>
        </is>
      </c>
      <c r="P19" s="14" t="inlineStr">
        <is>
          <t>Yes</t>
        </is>
      </c>
      <c r="Q19" s="14" t="inlineStr">
        <is>
          <t>No</t>
        </is>
      </c>
      <c r="R19" s="14" t="inlineStr">
        <is>
          <t>no call log attach and no site photo for customer address</t>
        </is>
      </c>
      <c r="S19" s="14" t="inlineStr">
        <is>
          <t>Zati</t>
        </is>
      </c>
      <c r="T19" s="14">
        <f>COUNTIF($B$2:$B$499,B19)</f>
        <v/>
      </c>
      <c r="U19" s="14">
        <f>COUNTIF($I$2:$I$499,I19)</f>
        <v/>
      </c>
      <c r="V19" s="14">
        <f>IF(ISNA(MATCH(B19,'Metabase Lookup'!$A:$A,0)),"Not found",IF(INDEX('Metabase Lookup'!$B:$B,MATCH(B19,'Metabase Lookup'!$A:$A,0))="","Pending",INDEX('Metabase Lookup'!$B:$B,MATCH(B19,'Metabase Lookup'!$A:$A,0))))</f>
        <v/>
      </c>
      <c r="W19" s="14">
        <f>IF(ISNA(MATCH(B19,'Metabase Lookup'!$A:$A,0)),"Not found",IF(INDEX('Metabase Lookup'!$C:$C,MATCH(B19,'Metabase Lookup'!$A:$A,0))="","Pending",INDEX('Metabase Lookup'!$C:$C,MATCH(B19,'Metabase Lookup'!$A:$A,0))))</f>
        <v/>
      </c>
      <c r="X19" s="14">
        <f>IF(ISNA(MATCH(B19,'Metabase Lookup'!$A:$A,0)),"",IF(INDEX('Metabase Lookup'!$D:$D,MATCH(B19,'Metabase Lookup'!$A:$A,0))="","",INDEX('Metabase Lookup'!$D:$D,MATCH(B19,'Metabase Lookup'!$A:$A,0))))</f>
        <v/>
      </c>
      <c r="Y19" s="14">
        <f>IF(ISNUMBER(W19),IF(W19&gt;0,"Yes","No"),"Pending")</f>
        <v/>
      </c>
      <c r="Z19" s="14" t="inlineStr">
        <is>
          <t>Driver not identified (OPS account)</t>
        </is>
      </c>
    </row>
    <row r="20">
      <c r="A20" s="14" t="n">
        <v>19</v>
      </c>
      <c r="B20" s="14" t="inlineStr">
        <is>
          <t>TESMX1549981438514819072</t>
        </is>
      </c>
      <c r="C20" s="15" t="inlineStr">
        <is>
          <t>266782640335</t>
        </is>
      </c>
      <c r="D20" s="16" t="n">
        <v>46286.448125</v>
      </c>
      <c r="E20" s="17" t="n">
        <v>46286</v>
      </c>
      <c r="F20" s="14" t="inlineStr">
        <is>
          <t>Mon</t>
        </is>
      </c>
      <c r="G20" s="14" t="inlineStr">
        <is>
          <t>North West</t>
        </is>
      </c>
      <c r="H20" s="14" t="inlineStr">
        <is>
          <t>TPG</t>
        </is>
      </c>
      <c r="I20" s="14" t="inlineStr">
        <is>
          <t>TPG - HR - ROZAINI MUSA</t>
        </is>
      </c>
      <c r="J20" s="14" t="inlineStr">
        <is>
          <t>HR (named)</t>
        </is>
      </c>
      <c r="K20" s="14" t="inlineStr">
        <is>
          <t>91834761, 91842435, 91849708</t>
        </is>
      </c>
      <c r="L20" s="14" t="n">
        <v>3</v>
      </c>
      <c r="M20" s="14" t="inlineStr">
        <is>
          <t>LM</t>
        </is>
      </c>
      <c r="N20" s="14" t="inlineStr">
        <is>
          <t>Fake Fail</t>
        </is>
      </c>
      <c r="O20" s="14" t="inlineStr">
        <is>
          <t>Recycled / manipulated POD</t>
        </is>
      </c>
      <c r="P20" s="14" t="inlineStr">
        <is>
          <t>No</t>
        </is>
      </c>
      <c r="Q20" s="14" t="inlineStr">
        <is>
          <t>No</t>
        </is>
      </c>
      <c r="R20" s="14" t="inlineStr">
        <is>
          <t>Driver using copied POD, no number showed up.</t>
        </is>
      </c>
      <c r="S20" s="14" t="inlineStr">
        <is>
          <t>Syak</t>
        </is>
      </c>
      <c r="T20" s="14">
        <f>COUNTIF($B$2:$B$499,B20)</f>
        <v/>
      </c>
      <c r="U20" s="14">
        <f>COUNTIF($I$2:$I$499,I20)</f>
        <v/>
      </c>
      <c r="V20" s="14">
        <f>IF(ISNA(MATCH(B20,'Metabase Lookup'!$A:$A,0)),"Not found",IF(INDEX('Metabase Lookup'!$B:$B,MATCH(B20,'Metabase Lookup'!$A:$A,0))="","Pending",INDEX('Metabase Lookup'!$B:$B,MATCH(B20,'Metabase Lookup'!$A:$A,0))))</f>
        <v/>
      </c>
      <c r="W20" s="14">
        <f>IF(ISNA(MATCH(B20,'Metabase Lookup'!$A:$A,0)),"Not found",IF(INDEX('Metabase Lookup'!$C:$C,MATCH(B20,'Metabase Lookup'!$A:$A,0))="","Pending",INDEX('Metabase Lookup'!$C:$C,MATCH(B20,'Metabase Lookup'!$A:$A,0))))</f>
        <v/>
      </c>
      <c r="X20" s="14">
        <f>IF(ISNA(MATCH(B20,'Metabase Lookup'!$A:$A,0)),"",IF(INDEX('Metabase Lookup'!$D:$D,MATCH(B20,'Metabase Lookup'!$A:$A,0))="","",INDEX('Metabase Lookup'!$D:$D,MATCH(B20,'Metabase Lookup'!$A:$A,0))))</f>
        <v/>
      </c>
      <c r="Y20" s="14">
        <f>IF(ISNUMBER(W20),IF(W20&gt;0,"Yes","No"),"Pending")</f>
        <v/>
      </c>
      <c r="Z20" s="14" t="inlineStr">
        <is>
          <t>Multiple route IDs</t>
        </is>
      </c>
    </row>
    <row r="21">
      <c r="A21" s="14" t="n">
        <v>20</v>
      </c>
      <c r="B21" s="14" t="inlineStr">
        <is>
          <t>ZRP859473225359</t>
        </is>
      </c>
      <c r="C21" s="15" t="inlineStr">
        <is>
          <t>262282626023</t>
        </is>
      </c>
      <c r="D21" s="16" t="n">
        <v>46286.44972222222</v>
      </c>
      <c r="E21" s="17" t="n">
        <v>46286</v>
      </c>
      <c r="F21" s="14" t="inlineStr">
        <is>
          <t>Mon</t>
        </is>
      </c>
      <c r="G21" s="14" t="inlineStr">
        <is>
          <t>KV</t>
        </is>
      </c>
      <c r="H21" s="14" t="inlineStr">
        <is>
          <t>OUG</t>
        </is>
      </c>
      <c r="I21" s="14" t="inlineStr">
        <is>
          <t>OUG - ID - NASRUL FIKRI</t>
        </is>
      </c>
      <c r="J21" s="14" t="inlineStr">
        <is>
          <t>ID (named driver)</t>
        </is>
      </c>
      <c r="K21" s="14" t="inlineStr">
        <is>
          <t>91835496</t>
        </is>
      </c>
      <c r="L21" s="14" t="n">
        <v>1</v>
      </c>
      <c r="M21" s="14" t="inlineStr">
        <is>
          <t>LM</t>
        </is>
      </c>
      <c r="N21" s="14" t="inlineStr">
        <is>
          <t>Failed pick-up</t>
        </is>
      </c>
      <c r="O21" s="14" t="inlineStr"/>
      <c r="P21" s="14" t="inlineStr"/>
      <c r="Q21" s="14" t="inlineStr"/>
      <c r="R21" s="14" t="inlineStr">
        <is>
          <t>RPU parcel and pickup failed on 18/9. driver not call the customer.</t>
        </is>
      </c>
      <c r="S21" s="14" t="inlineStr">
        <is>
          <t>Zati</t>
        </is>
      </c>
      <c r="T21" s="14">
        <f>COUNTIF($B$2:$B$499,B21)</f>
        <v/>
      </c>
      <c r="U21" s="14">
        <f>COUNTIF($I$2:$I$499,I21)</f>
        <v/>
      </c>
      <c r="V21" s="14">
        <f>IF(ISNA(MATCH(B21,'Metabase Lookup'!$A:$A,0)),"Not found",IF(INDEX('Metabase Lookup'!$B:$B,MATCH(B21,'Metabase Lookup'!$A:$A,0))="","Pending",INDEX('Metabase Lookup'!$B:$B,MATCH(B21,'Metabase Lookup'!$A:$A,0))))</f>
        <v/>
      </c>
      <c r="W21" s="14">
        <f>IF(ISNA(MATCH(B21,'Metabase Lookup'!$A:$A,0)),"Not found",IF(INDEX('Metabase Lookup'!$C:$C,MATCH(B21,'Metabase Lookup'!$A:$A,0))="","Pending",INDEX('Metabase Lookup'!$C:$C,MATCH(B21,'Metabase Lookup'!$A:$A,0))))</f>
        <v/>
      </c>
      <c r="X21" s="14">
        <f>IF(ISNA(MATCH(B21,'Metabase Lookup'!$A:$A,0)),"",IF(INDEX('Metabase Lookup'!$D:$D,MATCH(B21,'Metabase Lookup'!$A:$A,0))="","",INDEX('Metabase Lookup'!$D:$D,MATCH(B21,'Metabase Lookup'!$A:$A,0))))</f>
        <v/>
      </c>
      <c r="Y21" s="14">
        <f>IF(ISNUMBER(W21),IF(W21&gt;0,"Yes","No"),"Pending")</f>
        <v/>
      </c>
      <c r="Z21" s="14" t="inlineStr"/>
    </row>
    <row r="22">
      <c r="A22" s="14" t="n">
        <v>21</v>
      </c>
      <c r="B22" s="14" t="inlineStr">
        <is>
          <t>NVMYPSITI000008262</t>
        </is>
      </c>
      <c r="C22" s="15" t="inlineStr">
        <is>
          <t>263192628067</t>
        </is>
      </c>
      <c r="D22" s="16" t="n">
        <v>46286.45143518518</v>
      </c>
      <c r="E22" s="17" t="n">
        <v>46286</v>
      </c>
      <c r="F22" s="14" t="inlineStr">
        <is>
          <t>Mon</t>
        </is>
      </c>
      <c r="G22" s="14" t="inlineStr">
        <is>
          <t>North East</t>
        </is>
      </c>
      <c r="H22" s="14" t="inlineStr">
        <is>
          <t>CHU</t>
        </is>
      </c>
      <c r="I22" s="14" t="inlineStr">
        <is>
          <t>Mohammad Abdullah</t>
        </is>
      </c>
      <c r="J22" s="14" t="inlineStr">
        <is>
          <t>Name only (no hub/code)</t>
        </is>
      </c>
      <c r="K22" s="14" t="inlineStr">
        <is>
          <t>91833111</t>
        </is>
      </c>
      <c r="L22" s="14" t="n">
        <v>1</v>
      </c>
      <c r="M22" s="14" t="inlineStr">
        <is>
          <t>LM</t>
        </is>
      </c>
      <c r="N22" s="14" t="inlineStr">
        <is>
          <t>Pull Out Route (POR)</t>
        </is>
      </c>
      <c r="O22" s="14" t="inlineStr"/>
      <c r="P22" s="14" t="inlineStr"/>
      <c r="Q22" s="14" t="inlineStr"/>
      <c r="R22" s="14" t="inlineStr">
        <is>
          <t>PULL OUT OF ROUTE by Mohammad Abdullah on 2026-09-19 08:30:11</t>
        </is>
      </c>
      <c r="S22" s="14" t="inlineStr">
        <is>
          <t>Zati</t>
        </is>
      </c>
      <c r="T22" s="14">
        <f>COUNTIF($B$2:$B$499,B22)</f>
        <v/>
      </c>
      <c r="U22" s="14">
        <f>COUNTIF($I$2:$I$499,I22)</f>
        <v/>
      </c>
      <c r="V22" s="14">
        <f>IF(ISNA(MATCH(B22,'Metabase Lookup'!$A:$A,0)),"Not found",IF(INDEX('Metabase Lookup'!$B:$B,MATCH(B22,'Metabase Lookup'!$A:$A,0))="","Pending",INDEX('Metabase Lookup'!$B:$B,MATCH(B22,'Metabase Lookup'!$A:$A,0))))</f>
        <v/>
      </c>
      <c r="W22" s="14">
        <f>IF(ISNA(MATCH(B22,'Metabase Lookup'!$A:$A,0)),"Not found",IF(INDEX('Metabase Lookup'!$C:$C,MATCH(B22,'Metabase Lookup'!$A:$A,0))="","Pending",INDEX('Metabase Lookup'!$C:$C,MATCH(B22,'Metabase Lookup'!$A:$A,0))))</f>
        <v/>
      </c>
      <c r="X22" s="14">
        <f>IF(ISNA(MATCH(B22,'Metabase Lookup'!$A:$A,0)),"",IF(INDEX('Metabase Lookup'!$D:$D,MATCH(B22,'Metabase Lookup'!$A:$A,0))="","",INDEX('Metabase Lookup'!$D:$D,MATCH(B22,'Metabase Lookup'!$A:$A,0))))</f>
        <v/>
      </c>
      <c r="Y22" s="14">
        <f>IF(ISNUMBER(W22),IF(W22&gt;0,"Yes","No"),"Pending")</f>
        <v/>
      </c>
      <c r="Z22" s="14" t="inlineStr"/>
    </row>
    <row r="23">
      <c r="A23" s="14" t="n">
        <v>22</v>
      </c>
      <c r="B23" s="14" t="inlineStr">
        <is>
          <t>NVMYMZ0N3000028117</t>
        </is>
      </c>
      <c r="C23" s="15" t="inlineStr">
        <is>
          <t>269032647217</t>
        </is>
      </c>
      <c r="D23" s="16" t="n">
        <v>46286.45545138889</v>
      </c>
      <c r="E23" s="17" t="n">
        <v>46286</v>
      </c>
      <c r="F23" s="14" t="inlineStr">
        <is>
          <t>Mon</t>
        </is>
      </c>
      <c r="G23" s="14" t="inlineStr">
        <is>
          <t>KV</t>
        </is>
      </c>
      <c r="H23" s="14" t="inlineStr">
        <is>
          <t>OUG</t>
        </is>
      </c>
      <c r="I23" s="14" t="inlineStr">
        <is>
          <t>OUG - ID - MUHAMAR</t>
        </is>
      </c>
      <c r="J23" s="14" t="inlineStr">
        <is>
          <t>ID (named driver)</t>
        </is>
      </c>
      <c r="K23" s="14" t="inlineStr">
        <is>
          <t>91851654</t>
        </is>
      </c>
      <c r="L23" s="14" t="n">
        <v>1</v>
      </c>
      <c r="M23" s="14" t="inlineStr">
        <is>
          <t>LM</t>
        </is>
      </c>
      <c r="N23" s="14" t="inlineStr">
        <is>
          <t>Parcel Dumping</t>
        </is>
      </c>
      <c r="O23" s="14" t="inlineStr"/>
      <c r="P23" s="14" t="inlineStr"/>
      <c r="Q23" s="14" t="inlineStr"/>
      <c r="R23" s="14" t="inlineStr">
        <is>
          <t>Driver not notifying cust after delivered the parcel</t>
        </is>
      </c>
      <c r="S23" s="14" t="inlineStr">
        <is>
          <t>Syak</t>
        </is>
      </c>
      <c r="T23" s="14">
        <f>COUNTIF($B$2:$B$499,B23)</f>
        <v/>
      </c>
      <c r="U23" s="14">
        <f>COUNTIF($I$2:$I$499,I23)</f>
        <v/>
      </c>
      <c r="V23" s="14">
        <f>IF(ISNA(MATCH(B23,'Metabase Lookup'!$A:$A,0)),"Not found",IF(INDEX('Metabase Lookup'!$B:$B,MATCH(B23,'Metabase Lookup'!$A:$A,0))="","Pending",INDEX('Metabase Lookup'!$B:$B,MATCH(B23,'Metabase Lookup'!$A:$A,0))))</f>
        <v/>
      </c>
      <c r="W23" s="14">
        <f>IF(ISNA(MATCH(B23,'Metabase Lookup'!$A:$A,0)),"Not found",IF(INDEX('Metabase Lookup'!$C:$C,MATCH(B23,'Metabase Lookup'!$A:$A,0))="","Pending",INDEX('Metabase Lookup'!$C:$C,MATCH(B23,'Metabase Lookup'!$A:$A,0))))</f>
        <v/>
      </c>
      <c r="X23" s="14">
        <f>IF(ISNA(MATCH(B23,'Metabase Lookup'!$A:$A,0)),"",IF(INDEX('Metabase Lookup'!$D:$D,MATCH(B23,'Metabase Lookup'!$A:$A,0))="","",INDEX('Metabase Lookup'!$D:$D,MATCH(B23,'Metabase Lookup'!$A:$A,0))))</f>
        <v/>
      </c>
      <c r="Y23" s="14">
        <f>IF(ISNUMBER(W23),IF(W23&gt;0,"Yes","No"),"Pending")</f>
        <v/>
      </c>
      <c r="Z23" s="14" t="inlineStr"/>
    </row>
    <row r="24">
      <c r="A24" s="14" t="n">
        <v>23</v>
      </c>
      <c r="B24" s="14" t="inlineStr">
        <is>
          <t>ZNV253317945-1886</t>
        </is>
      </c>
      <c r="C24" s="15" t="inlineStr">
        <is>
          <t>263702637111</t>
        </is>
      </c>
      <c r="D24" s="16" t="n">
        <v>46286.45637731482</v>
      </c>
      <c r="E24" s="17" t="n">
        <v>46286</v>
      </c>
      <c r="F24" s="14" t="inlineStr">
        <is>
          <t>Mon</t>
        </is>
      </c>
      <c r="G24" s="14" t="inlineStr">
        <is>
          <t>Northern</t>
        </is>
      </c>
      <c r="H24" s="14" t="inlineStr">
        <is>
          <t>PSN</t>
        </is>
      </c>
      <c r="I24" s="14" t="inlineStr">
        <is>
          <t>PSN - ID - NOOR AZZAMIRA</t>
        </is>
      </c>
      <c r="J24" s="14" t="inlineStr">
        <is>
          <t>ID (named driver)</t>
        </is>
      </c>
      <c r="K24" s="14" t="inlineStr">
        <is>
          <t>91824410</t>
        </is>
      </c>
      <c r="L24" s="14" t="n">
        <v>1</v>
      </c>
      <c r="M24" s="14" t="inlineStr">
        <is>
          <t>LM</t>
        </is>
      </c>
      <c r="N24" s="14" t="inlineStr">
        <is>
          <t>Fake Fail</t>
        </is>
      </c>
      <c r="O24" s="14" t="inlineStr">
        <is>
          <t>Invalid location / site photo</t>
        </is>
      </c>
      <c r="P24" s="14" t="inlineStr">
        <is>
          <t>Yes</t>
        </is>
      </c>
      <c r="Q24" s="14" t="inlineStr">
        <is>
          <t>No</t>
        </is>
      </c>
      <c r="R24" s="14" t="inlineStr">
        <is>
          <t>invalid site photo , cannot classified this is the correct house</t>
        </is>
      </c>
      <c r="S24" s="14" t="inlineStr">
        <is>
          <t>Yana</t>
        </is>
      </c>
      <c r="T24" s="14">
        <f>COUNTIF($B$2:$B$499,B24)</f>
        <v/>
      </c>
      <c r="U24" s="14">
        <f>COUNTIF($I$2:$I$499,I24)</f>
        <v/>
      </c>
      <c r="V24" s="14">
        <f>IF(ISNA(MATCH(B24,'Metabase Lookup'!$A:$A,0)),"Not found",IF(INDEX('Metabase Lookup'!$B:$B,MATCH(B24,'Metabase Lookup'!$A:$A,0))="","Pending",INDEX('Metabase Lookup'!$B:$B,MATCH(B24,'Metabase Lookup'!$A:$A,0))))</f>
        <v/>
      </c>
      <c r="W24" s="14">
        <f>IF(ISNA(MATCH(B24,'Metabase Lookup'!$A:$A,0)),"Not found",IF(INDEX('Metabase Lookup'!$C:$C,MATCH(B24,'Metabase Lookup'!$A:$A,0))="","Pending",INDEX('Metabase Lookup'!$C:$C,MATCH(B24,'Metabase Lookup'!$A:$A,0))))</f>
        <v/>
      </c>
      <c r="X24" s="14">
        <f>IF(ISNA(MATCH(B24,'Metabase Lookup'!$A:$A,0)),"",IF(INDEX('Metabase Lookup'!$D:$D,MATCH(B24,'Metabase Lookup'!$A:$A,0))="","",INDEX('Metabase Lookup'!$D:$D,MATCH(B24,'Metabase Lookup'!$A:$A,0))))</f>
        <v/>
      </c>
      <c r="Y24" s="14">
        <f>IF(ISNUMBER(W24),IF(W24&gt;0,"Yes","No"),"Pending")</f>
        <v/>
      </c>
      <c r="Z24" s="14" t="inlineStr"/>
    </row>
    <row r="25">
      <c r="A25" s="14" t="n">
        <v>24</v>
      </c>
      <c r="B25" s="14" t="inlineStr">
        <is>
          <t>ZRP859373225311</t>
        </is>
      </c>
      <c r="C25" s="15" t="inlineStr">
        <is>
          <t>269352622436</t>
        </is>
      </c>
      <c r="D25" s="16" t="n">
        <v>46286.46002314815</v>
      </c>
      <c r="E25" s="17" t="n">
        <v>46286</v>
      </c>
      <c r="F25" s="14" t="inlineStr">
        <is>
          <t>Mon</t>
        </is>
      </c>
      <c r="G25" s="14" t="inlineStr">
        <is>
          <t>Northern</t>
        </is>
      </c>
      <c r="H25" s="14" t="inlineStr">
        <is>
          <t>GEO</t>
        </is>
      </c>
      <c r="I25" s="14" t="inlineStr">
        <is>
          <t>GEO - MES - ANWAR</t>
        </is>
      </c>
      <c r="J25" s="14" t="inlineStr">
        <is>
          <t>Other coded</t>
        </is>
      </c>
      <c r="K25" s="14" t="inlineStr">
        <is>
          <t>91833914, 91842995</t>
        </is>
      </c>
      <c r="L25" s="14" t="n">
        <v>2</v>
      </c>
      <c r="M25" s="14" t="inlineStr">
        <is>
          <t>LM</t>
        </is>
      </c>
      <c r="N25" s="14" t="inlineStr">
        <is>
          <t>Failed pick-up</t>
        </is>
      </c>
      <c r="O25" s="14" t="inlineStr"/>
      <c r="P25" s="14" t="inlineStr"/>
      <c r="Q25" s="14" t="inlineStr"/>
      <c r="R25" s="14" t="inlineStr">
        <is>
          <t>no location address attach by driver</t>
        </is>
      </c>
      <c r="S25" s="14" t="inlineStr">
        <is>
          <t>Zati</t>
        </is>
      </c>
      <c r="T25" s="14">
        <f>COUNTIF($B$2:$B$499,B25)</f>
        <v/>
      </c>
      <c r="U25" s="14">
        <f>COUNTIF($I$2:$I$499,I25)</f>
        <v/>
      </c>
      <c r="V25" s="14">
        <f>IF(ISNA(MATCH(B25,'Metabase Lookup'!$A:$A,0)),"Not found",IF(INDEX('Metabase Lookup'!$B:$B,MATCH(B25,'Metabase Lookup'!$A:$A,0))="","Pending",INDEX('Metabase Lookup'!$B:$B,MATCH(B25,'Metabase Lookup'!$A:$A,0))))</f>
        <v/>
      </c>
      <c r="W25" s="14">
        <f>IF(ISNA(MATCH(B25,'Metabase Lookup'!$A:$A,0)),"Not found",IF(INDEX('Metabase Lookup'!$C:$C,MATCH(B25,'Metabase Lookup'!$A:$A,0))="","Pending",INDEX('Metabase Lookup'!$C:$C,MATCH(B25,'Metabase Lookup'!$A:$A,0))))</f>
        <v/>
      </c>
      <c r="X25" s="14">
        <f>IF(ISNA(MATCH(B25,'Metabase Lookup'!$A:$A,0)),"",IF(INDEX('Metabase Lookup'!$D:$D,MATCH(B25,'Metabase Lookup'!$A:$A,0))="","",INDEX('Metabase Lookup'!$D:$D,MATCH(B25,'Metabase Lookup'!$A:$A,0))))</f>
        <v/>
      </c>
      <c r="Y25" s="14">
        <f>IF(ISNUMBER(W25),IF(W25&gt;0,"Yes","No"),"Pending")</f>
        <v/>
      </c>
      <c r="Z25" s="14" t="inlineStr">
        <is>
          <t>Multiple route IDs</t>
        </is>
      </c>
    </row>
    <row r="26">
      <c r="A26" s="14" t="n">
        <v>25</v>
      </c>
      <c r="B26" s="14" t="inlineStr">
        <is>
          <t>ZNV946823440-8240-BKS</t>
        </is>
      </c>
      <c r="C26" s="15" t="inlineStr">
        <is>
          <t>260352624803</t>
        </is>
      </c>
      <c r="D26" s="16" t="n">
        <v>46286.4615625</v>
      </c>
      <c r="E26" s="17" t="n">
        <v>46286</v>
      </c>
      <c r="F26" s="14" t="inlineStr">
        <is>
          <t>Mon</t>
        </is>
      </c>
      <c r="G26" s="14" t="inlineStr">
        <is>
          <t>Southern</t>
        </is>
      </c>
      <c r="H26" s="14" t="inlineStr">
        <is>
          <t>NSJ</t>
        </is>
      </c>
      <c r="I26" s="14" t="inlineStr">
        <is>
          <t>OPS - NSJ</t>
        </is>
      </c>
      <c r="J26" s="14" t="inlineStr">
        <is>
          <t>OPS (generic hub account)</t>
        </is>
      </c>
      <c r="K26" s="14" t="inlineStr">
        <is>
          <t>91844859</t>
        </is>
      </c>
      <c r="L26" s="14" t="n">
        <v>1</v>
      </c>
      <c r="M26" s="14" t="inlineStr">
        <is>
          <t>LM</t>
        </is>
      </c>
      <c r="N26" s="14" t="inlineStr">
        <is>
          <t>Fake Fail</t>
        </is>
      </c>
      <c r="O26" s="14" t="inlineStr">
        <is>
          <t>No call / call log missing</t>
        </is>
      </c>
      <c r="P26" s="14" t="inlineStr">
        <is>
          <t>No</t>
        </is>
      </c>
      <c r="Q26" s="14" t="inlineStr">
        <is>
          <t>No</t>
        </is>
      </c>
      <c r="R26" s="14" t="inlineStr">
        <is>
          <t>no call log attach and pod is invalid</t>
        </is>
      </c>
      <c r="S26" s="14" t="inlineStr">
        <is>
          <t>Zati</t>
        </is>
      </c>
      <c r="T26" s="14">
        <f>COUNTIF($B$2:$B$499,B26)</f>
        <v/>
      </c>
      <c r="U26" s="14">
        <f>COUNTIF($I$2:$I$499,I26)</f>
        <v/>
      </c>
      <c r="V26" s="14">
        <f>IF(ISNA(MATCH(B26,'Metabase Lookup'!$A:$A,0)),"Not found",IF(INDEX('Metabase Lookup'!$B:$B,MATCH(B26,'Metabase Lookup'!$A:$A,0))="","Pending",INDEX('Metabase Lookup'!$B:$B,MATCH(B26,'Metabase Lookup'!$A:$A,0))))</f>
        <v/>
      </c>
      <c r="W26" s="14">
        <f>IF(ISNA(MATCH(B26,'Metabase Lookup'!$A:$A,0)),"Not found",IF(INDEX('Metabase Lookup'!$C:$C,MATCH(B26,'Metabase Lookup'!$A:$A,0))="","Pending",INDEX('Metabase Lookup'!$C:$C,MATCH(B26,'Metabase Lookup'!$A:$A,0))))</f>
        <v/>
      </c>
      <c r="X26" s="14">
        <f>IF(ISNA(MATCH(B26,'Metabase Lookup'!$A:$A,0)),"",IF(INDEX('Metabase Lookup'!$D:$D,MATCH(B26,'Metabase Lookup'!$A:$A,0))="","",INDEX('Metabase Lookup'!$D:$D,MATCH(B26,'Metabase Lookup'!$A:$A,0))))</f>
        <v/>
      </c>
      <c r="Y26" s="14">
        <f>IF(ISNUMBER(W26),IF(W26&gt;0,"Yes","No"),"Pending")</f>
        <v/>
      </c>
      <c r="Z26" s="14" t="inlineStr">
        <is>
          <t>Driver not identified (OPS account)</t>
        </is>
      </c>
    </row>
    <row r="27">
      <c r="A27" s="14" t="n">
        <v>26</v>
      </c>
      <c r="B27" s="14" t="inlineStr">
        <is>
          <t>ZMYITJ6MMPDS-2777789</t>
        </is>
      </c>
      <c r="C27" s="15" t="inlineStr">
        <is>
          <t>265032622937</t>
        </is>
      </c>
      <c r="D27" s="16" t="n">
        <v>46286.46355324074</v>
      </c>
      <c r="E27" s="17" t="n">
        <v>46286</v>
      </c>
      <c r="F27" s="14" t="inlineStr">
        <is>
          <t>Mon</t>
        </is>
      </c>
      <c r="G27" s="14" t="inlineStr">
        <is>
          <t>KV</t>
        </is>
      </c>
      <c r="H27" s="14" t="inlineStr">
        <is>
          <t>OUG</t>
        </is>
      </c>
      <c r="I27" s="14" t="inlineStr">
        <is>
          <t>OPS - OUG</t>
        </is>
      </c>
      <c r="J27" s="14" t="inlineStr">
        <is>
          <t>OPS (generic hub account)</t>
        </is>
      </c>
      <c r="K27" s="14" t="inlineStr">
        <is>
          <t>91836449</t>
        </is>
      </c>
      <c r="L27" s="14" t="n">
        <v>1</v>
      </c>
      <c r="M27" s="14" t="inlineStr">
        <is>
          <t>LM</t>
        </is>
      </c>
      <c r="N27" s="14" t="inlineStr">
        <is>
          <t>Fake Fail</t>
        </is>
      </c>
      <c r="O27" s="14" t="inlineStr">
        <is>
          <t>Wrong number called</t>
        </is>
      </c>
      <c r="P27" s="14" t="inlineStr">
        <is>
          <t>No</t>
        </is>
      </c>
      <c r="Q27" s="14" t="inlineStr">
        <is>
          <t>No</t>
        </is>
      </c>
      <c r="R27" s="14" t="inlineStr">
        <is>
          <t>Call log attach not show customer contact number</t>
        </is>
      </c>
      <c r="S27" s="14" t="inlineStr">
        <is>
          <t>Zati</t>
        </is>
      </c>
      <c r="T27" s="14">
        <f>COUNTIF($B$2:$B$499,B27)</f>
        <v/>
      </c>
      <c r="U27" s="14">
        <f>COUNTIF($I$2:$I$499,I27)</f>
        <v/>
      </c>
      <c r="V27" s="14">
        <f>IF(ISNA(MATCH(B27,'Metabase Lookup'!$A:$A,0)),"Not found",IF(INDEX('Metabase Lookup'!$B:$B,MATCH(B27,'Metabase Lookup'!$A:$A,0))="","Pending",INDEX('Metabase Lookup'!$B:$B,MATCH(B27,'Metabase Lookup'!$A:$A,0))))</f>
        <v/>
      </c>
      <c r="W27" s="14">
        <f>IF(ISNA(MATCH(B27,'Metabase Lookup'!$A:$A,0)),"Not found",IF(INDEX('Metabase Lookup'!$C:$C,MATCH(B27,'Metabase Lookup'!$A:$A,0))="","Pending",INDEX('Metabase Lookup'!$C:$C,MATCH(B27,'Metabase Lookup'!$A:$A,0))))</f>
        <v/>
      </c>
      <c r="X27" s="14">
        <f>IF(ISNA(MATCH(B27,'Metabase Lookup'!$A:$A,0)),"",IF(INDEX('Metabase Lookup'!$D:$D,MATCH(B27,'Metabase Lookup'!$A:$A,0))="","",INDEX('Metabase Lookup'!$D:$D,MATCH(B27,'Metabase Lookup'!$A:$A,0))))</f>
        <v/>
      </c>
      <c r="Y27" s="14">
        <f>IF(ISNUMBER(W27),IF(W27&gt;0,"Yes","No"),"Pending")</f>
        <v/>
      </c>
      <c r="Z27" s="14" t="inlineStr">
        <is>
          <t>Driver not identified (OPS account)</t>
        </is>
      </c>
    </row>
    <row r="28">
      <c r="A28" s="14" t="n">
        <v>27</v>
      </c>
      <c r="B28" s="14" t="inlineStr">
        <is>
          <t>ZNV946832382-8599</t>
        </is>
      </c>
      <c r="C28" s="15" t="inlineStr">
        <is>
          <t>268002630146</t>
        </is>
      </c>
      <c r="D28" s="16" t="n">
        <v>46286.46486111111</v>
      </c>
      <c r="E28" s="17" t="n">
        <v>46286</v>
      </c>
      <c r="F28" s="14" t="inlineStr">
        <is>
          <t>Mon</t>
        </is>
      </c>
      <c r="G28" s="14" t="inlineStr">
        <is>
          <t>KV</t>
        </is>
      </c>
      <c r="H28" s="14" t="inlineStr">
        <is>
          <t>DSA</t>
        </is>
      </c>
      <c r="I28" s="14" t="inlineStr">
        <is>
          <t>OPS - DSA</t>
        </is>
      </c>
      <c r="J28" s="14" t="inlineStr">
        <is>
          <t>OPS (generic hub account)</t>
        </is>
      </c>
      <c r="K28" s="14" t="inlineStr">
        <is>
          <t>91844986</t>
        </is>
      </c>
      <c r="L28" s="14" t="n">
        <v>1</v>
      </c>
      <c r="M28" s="14" t="inlineStr">
        <is>
          <t>LM</t>
        </is>
      </c>
      <c r="N28" s="14" t="inlineStr">
        <is>
          <t>Fake Fail</t>
        </is>
      </c>
      <c r="O28" s="14" t="inlineStr">
        <is>
          <t>Invalid POD (no detail)</t>
        </is>
      </c>
      <c r="P28" s="14" t="inlineStr">
        <is>
          <t>No</t>
        </is>
      </c>
      <c r="Q28" s="14" t="inlineStr">
        <is>
          <t>Yes</t>
        </is>
      </c>
      <c r="R28" s="14" t="inlineStr">
        <is>
          <t>invalid POD, failed under ops</t>
        </is>
      </c>
      <c r="S28" s="14" t="inlineStr">
        <is>
          <t>Yana</t>
        </is>
      </c>
      <c r="T28" s="14">
        <f>COUNTIF($B$2:$B$499,B28)</f>
        <v/>
      </c>
      <c r="U28" s="14">
        <f>COUNTIF($I$2:$I$499,I28)</f>
        <v/>
      </c>
      <c r="V28" s="14">
        <f>IF(ISNA(MATCH(B28,'Metabase Lookup'!$A:$A,0)),"Not found",IF(INDEX('Metabase Lookup'!$B:$B,MATCH(B28,'Metabase Lookup'!$A:$A,0))="","Pending",INDEX('Metabase Lookup'!$B:$B,MATCH(B28,'Metabase Lookup'!$A:$A,0))))</f>
        <v/>
      </c>
      <c r="W28" s="14">
        <f>IF(ISNA(MATCH(B28,'Metabase Lookup'!$A:$A,0)),"Not found",IF(INDEX('Metabase Lookup'!$C:$C,MATCH(B28,'Metabase Lookup'!$A:$A,0))="","Pending",INDEX('Metabase Lookup'!$C:$C,MATCH(B28,'Metabase Lookup'!$A:$A,0))))</f>
        <v/>
      </c>
      <c r="X28" s="14">
        <f>IF(ISNA(MATCH(B28,'Metabase Lookup'!$A:$A,0)),"",IF(INDEX('Metabase Lookup'!$D:$D,MATCH(B28,'Metabase Lookup'!$A:$A,0))="","",INDEX('Metabase Lookup'!$D:$D,MATCH(B28,'Metabase Lookup'!$A:$A,0))))</f>
        <v/>
      </c>
      <c r="Y28" s="14">
        <f>IF(ISNUMBER(W28),IF(W28&gt;0,"Yes","No"),"Pending")</f>
        <v/>
      </c>
      <c r="Z28" s="14" t="inlineStr">
        <is>
          <t>Driver not identified (OPS account)</t>
        </is>
      </c>
    </row>
    <row r="29">
      <c r="A29" s="14" t="n">
        <v>28</v>
      </c>
      <c r="B29" s="14" t="inlineStr">
        <is>
          <t>TNGDV2609136945139660</t>
        </is>
      </c>
      <c r="C29" s="15" t="inlineStr">
        <is>
          <t>264052642446</t>
        </is>
      </c>
      <c r="D29" s="16" t="n">
        <v>46286.46532407407</v>
      </c>
      <c r="E29" s="17" t="n">
        <v>46286</v>
      </c>
      <c r="F29" s="14" t="inlineStr">
        <is>
          <t>Mon</t>
        </is>
      </c>
      <c r="G29" s="14" t="inlineStr">
        <is>
          <t>KV</t>
        </is>
      </c>
      <c r="H29" s="14" t="inlineStr">
        <is>
          <t>SHM</t>
        </is>
      </c>
      <c r="I29" s="14" t="inlineStr">
        <is>
          <t>OPS - SHM</t>
        </is>
      </c>
      <c r="J29" s="14" t="inlineStr">
        <is>
          <t>OPS (generic hub account)</t>
        </is>
      </c>
      <c r="K29" s="14" t="inlineStr">
        <is>
          <t>91836515</t>
        </is>
      </c>
      <c r="L29" s="14" t="n">
        <v>1</v>
      </c>
      <c r="M29" s="14" t="inlineStr">
        <is>
          <t>LM</t>
        </is>
      </c>
      <c r="N29" s="14" t="inlineStr">
        <is>
          <t>Fake Fail</t>
        </is>
      </c>
      <c r="O29" s="14" t="inlineStr">
        <is>
          <t>No call / call log missing</t>
        </is>
      </c>
      <c r="P29" s="14" t="inlineStr">
        <is>
          <t>No</t>
        </is>
      </c>
      <c r="Q29" s="14" t="inlineStr">
        <is>
          <t>No</t>
        </is>
      </c>
      <c r="R29" s="14" t="inlineStr">
        <is>
          <t>no call log attach and pod is invalid</t>
        </is>
      </c>
      <c r="S29" s="14" t="inlineStr">
        <is>
          <t>Zati</t>
        </is>
      </c>
      <c r="T29" s="14">
        <f>COUNTIF($B$2:$B$499,B29)</f>
        <v/>
      </c>
      <c r="U29" s="14">
        <f>COUNTIF($I$2:$I$499,I29)</f>
        <v/>
      </c>
      <c r="V29" s="14">
        <f>IF(ISNA(MATCH(B29,'Metabase Lookup'!$A:$A,0)),"Not found",IF(INDEX('Metabase Lookup'!$B:$B,MATCH(B29,'Metabase Lookup'!$A:$A,0))="","Pending",INDEX('Metabase Lookup'!$B:$B,MATCH(B29,'Metabase Lookup'!$A:$A,0))))</f>
        <v/>
      </c>
      <c r="W29" s="14">
        <f>IF(ISNA(MATCH(B29,'Metabase Lookup'!$A:$A,0)),"Not found",IF(INDEX('Metabase Lookup'!$C:$C,MATCH(B29,'Metabase Lookup'!$A:$A,0))="","Pending",INDEX('Metabase Lookup'!$C:$C,MATCH(B29,'Metabase Lookup'!$A:$A,0))))</f>
        <v/>
      </c>
      <c r="X29" s="14">
        <f>IF(ISNA(MATCH(B29,'Metabase Lookup'!$A:$A,0)),"",IF(INDEX('Metabase Lookup'!$D:$D,MATCH(B29,'Metabase Lookup'!$A:$A,0))="","",INDEX('Metabase Lookup'!$D:$D,MATCH(B29,'Metabase Lookup'!$A:$A,0))))</f>
        <v/>
      </c>
      <c r="Y29" s="14">
        <f>IF(ISNUMBER(W29),IF(W29&gt;0,"Yes","No"),"Pending")</f>
        <v/>
      </c>
      <c r="Z29" s="14" t="inlineStr">
        <is>
          <t>Driver not identified (OPS account)</t>
        </is>
      </c>
    </row>
    <row r="30">
      <c r="A30" s="14" t="n">
        <v>29</v>
      </c>
      <c r="B30" s="14" t="inlineStr">
        <is>
          <t>NVMYHILAL00HL23336</t>
        </is>
      </c>
      <c r="C30" s="15" t="inlineStr">
        <is>
          <t>267652647673</t>
        </is>
      </c>
      <c r="D30" s="16" t="n">
        <v>46286.46684027778</v>
      </c>
      <c r="E30" s="17" t="n">
        <v>46286</v>
      </c>
      <c r="F30" s="14" t="inlineStr">
        <is>
          <t>Mon</t>
        </is>
      </c>
      <c r="G30" s="14" t="inlineStr">
        <is>
          <t>KV</t>
        </is>
      </c>
      <c r="H30" s="14" t="inlineStr">
        <is>
          <t>SHA</t>
        </is>
      </c>
      <c r="I30" s="14" t="inlineStr">
        <is>
          <t>SHA - OPS - SHA</t>
        </is>
      </c>
      <c r="J30" s="14" t="inlineStr">
        <is>
          <t>OPS (generic hub account)</t>
        </is>
      </c>
      <c r="K30" s="14" t="inlineStr">
        <is>
          <t>91848706</t>
        </is>
      </c>
      <c r="L30" s="14" t="n">
        <v>1</v>
      </c>
      <c r="M30" s="14" t="inlineStr">
        <is>
          <t>LM</t>
        </is>
      </c>
      <c r="N30" s="14" t="inlineStr">
        <is>
          <t>Fake Fail</t>
        </is>
      </c>
      <c r="O30" s="14" t="inlineStr">
        <is>
          <t>Wrong number called</t>
        </is>
      </c>
      <c r="P30" s="14" t="inlineStr">
        <is>
          <t>No</t>
        </is>
      </c>
      <c r="Q30" s="14" t="inlineStr">
        <is>
          <t>No</t>
        </is>
      </c>
      <c r="R30" s="14" t="inlineStr">
        <is>
          <t>call log attach is not belong to customer</t>
        </is>
      </c>
      <c r="S30" s="14" t="inlineStr">
        <is>
          <t>Zati</t>
        </is>
      </c>
      <c r="T30" s="14">
        <f>COUNTIF($B$2:$B$499,B30)</f>
        <v/>
      </c>
      <c r="U30" s="14">
        <f>COUNTIF($I$2:$I$499,I30)</f>
        <v/>
      </c>
      <c r="V30" s="14">
        <f>IF(ISNA(MATCH(B30,'Metabase Lookup'!$A:$A,0)),"Not found",IF(INDEX('Metabase Lookup'!$B:$B,MATCH(B30,'Metabase Lookup'!$A:$A,0))="","Pending",INDEX('Metabase Lookup'!$B:$B,MATCH(B30,'Metabase Lookup'!$A:$A,0))))</f>
        <v/>
      </c>
      <c r="W30" s="14">
        <f>IF(ISNA(MATCH(B30,'Metabase Lookup'!$A:$A,0)),"Not found",IF(INDEX('Metabase Lookup'!$C:$C,MATCH(B30,'Metabase Lookup'!$A:$A,0))="","Pending",INDEX('Metabase Lookup'!$C:$C,MATCH(B30,'Metabase Lookup'!$A:$A,0))))</f>
        <v/>
      </c>
      <c r="X30" s="14">
        <f>IF(ISNA(MATCH(B30,'Metabase Lookup'!$A:$A,0)),"",IF(INDEX('Metabase Lookup'!$D:$D,MATCH(B30,'Metabase Lookup'!$A:$A,0))="","",INDEX('Metabase Lookup'!$D:$D,MATCH(B30,'Metabase Lookup'!$A:$A,0))))</f>
        <v/>
      </c>
      <c r="Y30" s="14">
        <f>IF(ISNUMBER(W30),IF(W30&gt;0,"Yes","No"),"Pending")</f>
        <v/>
      </c>
      <c r="Z30" s="14" t="inlineStr">
        <is>
          <t>Driver not identified (OPS account)</t>
        </is>
      </c>
    </row>
    <row r="31">
      <c r="A31" s="14" t="n">
        <v>30</v>
      </c>
      <c r="B31" s="14" t="inlineStr">
        <is>
          <t>NLMYWA04659534</t>
        </is>
      </c>
      <c r="C31" s="15" t="inlineStr">
        <is>
          <t>263882645868</t>
        </is>
      </c>
      <c r="D31" s="16" t="n">
        <v>46286.46914351852</v>
      </c>
      <c r="E31" s="17" t="n">
        <v>46286</v>
      </c>
      <c r="F31" s="14" t="inlineStr">
        <is>
          <t>Mon</t>
        </is>
      </c>
      <c r="G31" s="14" t="inlineStr">
        <is>
          <t>KV</t>
        </is>
      </c>
      <c r="H31" s="14" t="inlineStr">
        <is>
          <t>BTR</t>
        </is>
      </c>
      <c r="I31" s="14" t="inlineStr">
        <is>
          <t>Norman Razak</t>
        </is>
      </c>
      <c r="J31" s="14" t="inlineStr">
        <is>
          <t>Name only (no hub/code)</t>
        </is>
      </c>
      <c r="K31" s="14" t="inlineStr">
        <is>
          <t>91847382</t>
        </is>
      </c>
      <c r="L31" s="14" t="n">
        <v>1</v>
      </c>
      <c r="M31" s="14" t="inlineStr">
        <is>
          <t>LM</t>
        </is>
      </c>
      <c r="N31" s="14" t="inlineStr">
        <is>
          <t>Pull Out Route (POR)</t>
        </is>
      </c>
      <c r="O31" s="14" t="inlineStr"/>
      <c r="P31" s="14" t="inlineStr"/>
      <c r="Q31" s="14" t="inlineStr"/>
      <c r="R31" s="14" t="inlineStr">
        <is>
          <t>PULL OUT OF ROUTE by Norman Razak on 2026-09-20 23:40:50</t>
        </is>
      </c>
      <c r="S31" s="14" t="inlineStr">
        <is>
          <t>Zati</t>
        </is>
      </c>
      <c r="T31" s="14">
        <f>COUNTIF($B$2:$B$499,B31)</f>
        <v/>
      </c>
      <c r="U31" s="14">
        <f>COUNTIF($I$2:$I$499,I31)</f>
        <v/>
      </c>
      <c r="V31" s="14">
        <f>IF(ISNA(MATCH(B31,'Metabase Lookup'!$A:$A,0)),"Not found",IF(INDEX('Metabase Lookup'!$B:$B,MATCH(B31,'Metabase Lookup'!$A:$A,0))="","Pending",INDEX('Metabase Lookup'!$B:$B,MATCH(B31,'Metabase Lookup'!$A:$A,0))))</f>
        <v/>
      </c>
      <c r="W31" s="14">
        <f>IF(ISNA(MATCH(B31,'Metabase Lookup'!$A:$A,0)),"Not found",IF(INDEX('Metabase Lookup'!$C:$C,MATCH(B31,'Metabase Lookup'!$A:$A,0))="","Pending",INDEX('Metabase Lookup'!$C:$C,MATCH(B31,'Metabase Lookup'!$A:$A,0))))</f>
        <v/>
      </c>
      <c r="X31" s="14">
        <f>IF(ISNA(MATCH(B31,'Metabase Lookup'!$A:$A,0)),"",IF(INDEX('Metabase Lookup'!$D:$D,MATCH(B31,'Metabase Lookup'!$A:$A,0))="","",INDEX('Metabase Lookup'!$D:$D,MATCH(B31,'Metabase Lookup'!$A:$A,0))))</f>
        <v/>
      </c>
      <c r="Y31" s="14">
        <f>IF(ISNUMBER(W31),IF(W31&gt;0,"Yes","No"),"Pending")</f>
        <v/>
      </c>
      <c r="Z31" s="14" t="inlineStr"/>
    </row>
    <row r="32">
      <c r="A32" s="14" t="n">
        <v>31</v>
      </c>
      <c r="B32" s="14" t="inlineStr">
        <is>
          <t>NVMYKILATWK0076807</t>
        </is>
      </c>
      <c r="C32" s="15" t="inlineStr">
        <is>
          <t>260612649160</t>
        </is>
      </c>
      <c r="D32" s="16" t="n">
        <v>46286.47452546296</v>
      </c>
      <c r="E32" s="17" t="n">
        <v>46286</v>
      </c>
      <c r="F32" s="14" t="inlineStr">
        <is>
          <t>Mon</t>
        </is>
      </c>
      <c r="G32" s="14" t="inlineStr">
        <is>
          <t>Southern</t>
        </is>
      </c>
      <c r="H32" s="14" t="inlineStr">
        <is>
          <t>LKN</t>
        </is>
      </c>
      <c r="I32" s="14" t="inlineStr">
        <is>
          <t>Hanzholah Hasani</t>
        </is>
      </c>
      <c r="J32" s="14" t="inlineStr">
        <is>
          <t>Name only (no hub/code)</t>
        </is>
      </c>
      <c r="K32" s="14" t="inlineStr">
        <is>
          <t>91845093</t>
        </is>
      </c>
      <c r="L32" s="14" t="n">
        <v>1</v>
      </c>
      <c r="M32" s="14" t="inlineStr">
        <is>
          <t>LM</t>
        </is>
      </c>
      <c r="N32" s="14" t="inlineStr">
        <is>
          <t>Pull Out Route (POR)</t>
        </is>
      </c>
      <c r="O32" s="14" t="inlineStr"/>
      <c r="P32" s="14" t="inlineStr"/>
      <c r="Q32" s="14" t="inlineStr"/>
      <c r="R32" s="14" t="inlineStr">
        <is>
          <t>PULL OUT OF ROUTE by Hanzholah Hasani on 2026-09-20 10:15:01</t>
        </is>
      </c>
      <c r="S32" s="14" t="inlineStr">
        <is>
          <t>Zati</t>
        </is>
      </c>
      <c r="T32" s="14">
        <f>COUNTIF($B$2:$B$499,B32)</f>
        <v/>
      </c>
      <c r="U32" s="14">
        <f>COUNTIF($I$2:$I$499,I32)</f>
        <v/>
      </c>
      <c r="V32" s="14">
        <f>IF(ISNA(MATCH(B32,'Metabase Lookup'!$A:$A,0)),"Not found",IF(INDEX('Metabase Lookup'!$B:$B,MATCH(B32,'Metabase Lookup'!$A:$A,0))="","Pending",INDEX('Metabase Lookup'!$B:$B,MATCH(B32,'Metabase Lookup'!$A:$A,0))))</f>
        <v/>
      </c>
      <c r="W32" s="14">
        <f>IF(ISNA(MATCH(B32,'Metabase Lookup'!$A:$A,0)),"Not found",IF(INDEX('Metabase Lookup'!$C:$C,MATCH(B32,'Metabase Lookup'!$A:$A,0))="","Pending",INDEX('Metabase Lookup'!$C:$C,MATCH(B32,'Metabase Lookup'!$A:$A,0))))</f>
        <v/>
      </c>
      <c r="X32" s="14">
        <f>IF(ISNA(MATCH(B32,'Metabase Lookup'!$A:$A,0)),"",IF(INDEX('Metabase Lookup'!$D:$D,MATCH(B32,'Metabase Lookup'!$A:$A,0))="","",INDEX('Metabase Lookup'!$D:$D,MATCH(B32,'Metabase Lookup'!$A:$A,0))))</f>
        <v/>
      </c>
      <c r="Y32" s="14">
        <f>IF(ISNUMBER(W32),IF(W32&gt;0,"Yes","No"),"Pending")</f>
        <v/>
      </c>
      <c r="Z32" s="14" t="inlineStr"/>
    </row>
    <row r="33">
      <c r="A33" s="14" t="n">
        <v>32</v>
      </c>
      <c r="B33" s="14" t="inlineStr">
        <is>
          <t>AMNV005963959</t>
        </is>
      </c>
      <c r="C33" s="15" t="inlineStr">
        <is>
          <t>269502643639</t>
        </is>
      </c>
      <c r="D33" s="16" t="n">
        <v>46286.476875</v>
      </c>
      <c r="E33" s="17" t="n">
        <v>46286</v>
      </c>
      <c r="F33" s="14" t="inlineStr">
        <is>
          <t>Mon</t>
        </is>
      </c>
      <c r="G33" s="14" t="inlineStr">
        <is>
          <t>Northern</t>
        </is>
      </c>
      <c r="H33" s="14" t="inlineStr">
        <is>
          <t>AOR</t>
        </is>
      </c>
      <c r="I33" s="14" t="inlineStr">
        <is>
          <t>AOR - FM - Ihsan Rashid</t>
        </is>
      </c>
      <c r="J33" s="14" t="inlineStr">
        <is>
          <t>FM (first-mile)</t>
        </is>
      </c>
      <c r="K33" s="14" t="inlineStr">
        <is>
          <t>91844628</t>
        </is>
      </c>
      <c r="L33" s="14" t="n">
        <v>1</v>
      </c>
      <c r="M33" s="14" t="inlineStr">
        <is>
          <t>LM</t>
        </is>
      </c>
      <c r="N33" s="14" t="inlineStr">
        <is>
          <t>Fake Fail</t>
        </is>
      </c>
      <c r="O33" s="14" t="inlineStr">
        <is>
          <t>Invalid POD (no detail)</t>
        </is>
      </c>
      <c r="P33" s="14" t="inlineStr">
        <is>
          <t>No</t>
        </is>
      </c>
      <c r="Q33" s="14" t="inlineStr">
        <is>
          <t>No</t>
        </is>
      </c>
      <c r="R33" s="14" t="inlineStr">
        <is>
          <t>Invalid POD</t>
        </is>
      </c>
      <c r="S33" s="14" t="inlineStr">
        <is>
          <t>Naveen</t>
        </is>
      </c>
      <c r="T33" s="14">
        <f>COUNTIF($B$2:$B$499,B33)</f>
        <v/>
      </c>
      <c r="U33" s="14">
        <f>COUNTIF($I$2:$I$499,I33)</f>
        <v/>
      </c>
      <c r="V33" s="14">
        <f>IF(ISNA(MATCH(B33,'Metabase Lookup'!$A:$A,0)),"Not found",IF(INDEX('Metabase Lookup'!$B:$B,MATCH(B33,'Metabase Lookup'!$A:$A,0))="","Pending",INDEX('Metabase Lookup'!$B:$B,MATCH(B33,'Metabase Lookup'!$A:$A,0))))</f>
        <v/>
      </c>
      <c r="W33" s="14">
        <f>IF(ISNA(MATCH(B33,'Metabase Lookup'!$A:$A,0)),"Not found",IF(INDEX('Metabase Lookup'!$C:$C,MATCH(B33,'Metabase Lookup'!$A:$A,0))="","Pending",INDEX('Metabase Lookup'!$C:$C,MATCH(B33,'Metabase Lookup'!$A:$A,0))))</f>
        <v/>
      </c>
      <c r="X33" s="14">
        <f>IF(ISNA(MATCH(B33,'Metabase Lookup'!$A:$A,0)),"",IF(INDEX('Metabase Lookup'!$D:$D,MATCH(B33,'Metabase Lookup'!$A:$A,0))="","",INDEX('Metabase Lookup'!$D:$D,MATCH(B33,'Metabase Lookup'!$A:$A,0))))</f>
        <v/>
      </c>
      <c r="Y33" s="14">
        <f>IF(ISNUMBER(W33),IF(W33&gt;0,"Yes","No"),"Pending")</f>
        <v/>
      </c>
      <c r="Z33" s="14" t="inlineStr"/>
    </row>
    <row r="34">
      <c r="A34" s="14" t="n">
        <v>33</v>
      </c>
      <c r="B34" s="14" t="inlineStr">
        <is>
          <t>ADI111550482187476107264</t>
        </is>
      </c>
      <c r="C34" s="15" t="inlineStr">
        <is>
          <t>260452642580</t>
        </is>
      </c>
      <c r="D34" s="16" t="n">
        <v>46286.47996527778</v>
      </c>
      <c r="E34" s="17" t="n">
        <v>46286</v>
      </c>
      <c r="F34" s="14" t="inlineStr">
        <is>
          <t>Mon</t>
        </is>
      </c>
      <c r="G34" s="14" t="inlineStr">
        <is>
          <t>KV</t>
        </is>
      </c>
      <c r="H34" s="14" t="inlineStr">
        <is>
          <t>SHA</t>
        </is>
      </c>
      <c r="I34" s="14" t="inlineStr">
        <is>
          <t>SHA - OPS - SHA</t>
        </is>
      </c>
      <c r="J34" s="14" t="inlineStr">
        <is>
          <t>OPS (generic hub account)</t>
        </is>
      </c>
      <c r="K34" s="14" t="inlineStr">
        <is>
          <t>91848706</t>
        </is>
      </c>
      <c r="L34" s="14" t="n">
        <v>1</v>
      </c>
      <c r="M34" s="14" t="inlineStr">
        <is>
          <t>LM</t>
        </is>
      </c>
      <c r="N34" s="14" t="inlineStr">
        <is>
          <t>Fake Fail</t>
        </is>
      </c>
      <c r="O34" s="14" t="inlineStr">
        <is>
          <t>Wrong number called</t>
        </is>
      </c>
      <c r="P34" s="14" t="inlineStr">
        <is>
          <t>No</t>
        </is>
      </c>
      <c r="Q34" s="14" t="inlineStr">
        <is>
          <t>No</t>
        </is>
      </c>
      <c r="R34" s="14" t="inlineStr">
        <is>
          <t>driver attach wrong call log not belong customer</t>
        </is>
      </c>
      <c r="S34" s="14" t="inlineStr">
        <is>
          <t>Zati</t>
        </is>
      </c>
      <c r="T34" s="14">
        <f>COUNTIF($B$2:$B$499,B34)</f>
        <v/>
      </c>
      <c r="U34" s="14">
        <f>COUNTIF($I$2:$I$499,I34)</f>
        <v/>
      </c>
      <c r="V34" s="14">
        <f>IF(ISNA(MATCH(B34,'Metabase Lookup'!$A:$A,0)),"Not found",IF(INDEX('Metabase Lookup'!$B:$B,MATCH(B34,'Metabase Lookup'!$A:$A,0))="","Pending",INDEX('Metabase Lookup'!$B:$B,MATCH(B34,'Metabase Lookup'!$A:$A,0))))</f>
        <v/>
      </c>
      <c r="W34" s="14">
        <f>IF(ISNA(MATCH(B34,'Metabase Lookup'!$A:$A,0)),"Not found",IF(INDEX('Metabase Lookup'!$C:$C,MATCH(B34,'Metabase Lookup'!$A:$A,0))="","Pending",INDEX('Metabase Lookup'!$C:$C,MATCH(B34,'Metabase Lookup'!$A:$A,0))))</f>
        <v/>
      </c>
      <c r="X34" s="14">
        <f>IF(ISNA(MATCH(B34,'Metabase Lookup'!$A:$A,0)),"",IF(INDEX('Metabase Lookup'!$D:$D,MATCH(B34,'Metabase Lookup'!$A:$A,0))="","",INDEX('Metabase Lookup'!$D:$D,MATCH(B34,'Metabase Lookup'!$A:$A,0))))</f>
        <v/>
      </c>
      <c r="Y34" s="14">
        <f>IF(ISNUMBER(W34),IF(W34&gt;0,"Yes","No"),"Pending")</f>
        <v/>
      </c>
      <c r="Z34" s="14" t="inlineStr">
        <is>
          <t>Driver not identified (OPS account)</t>
        </is>
      </c>
    </row>
    <row r="35">
      <c r="A35" s="14" t="n">
        <v>34</v>
      </c>
      <c r="B35" s="14" t="inlineStr">
        <is>
          <t>MAILB1549313460283060224</t>
        </is>
      </c>
      <c r="C35" s="15" t="inlineStr">
        <is>
          <t>265662644805</t>
        </is>
      </c>
      <c r="D35" s="16" t="n">
        <v>46286.48065972222</v>
      </c>
      <c r="E35" s="17" t="n">
        <v>46286</v>
      </c>
      <c r="F35" s="14" t="inlineStr">
        <is>
          <t>Mon</t>
        </is>
      </c>
      <c r="G35" s="14" t="inlineStr">
        <is>
          <t>KV</t>
        </is>
      </c>
      <c r="H35" s="14" t="inlineStr">
        <is>
          <t>STL</t>
        </is>
      </c>
      <c r="I35" s="14" t="inlineStr">
        <is>
          <t>Najib Halif</t>
        </is>
      </c>
      <c r="J35" s="14" t="inlineStr">
        <is>
          <t>Name only (no hub/code)</t>
        </is>
      </c>
      <c r="K35" s="14" t="inlineStr">
        <is>
          <t>91836491</t>
        </is>
      </c>
      <c r="L35" s="14" t="n">
        <v>1</v>
      </c>
      <c r="M35" s="14" t="inlineStr">
        <is>
          <t>LM</t>
        </is>
      </c>
      <c r="N35" s="14" t="inlineStr">
        <is>
          <t>Pull Out Route (POR)</t>
        </is>
      </c>
      <c r="O35" s="14" t="inlineStr"/>
      <c r="P35" s="14" t="inlineStr"/>
      <c r="Q35" s="14" t="inlineStr"/>
      <c r="R35" s="14" t="inlineStr">
        <is>
          <t>DRIVER INBOUND SCAN &gt; 2026-09-18 17:36:40 PULL OUT OF ROUTE &gt; 2026-09-21 08:53:44</t>
        </is>
      </c>
      <c r="S35" s="14" t="inlineStr">
        <is>
          <t>Naveen</t>
        </is>
      </c>
      <c r="T35" s="14">
        <f>COUNTIF($B$2:$B$499,B35)</f>
        <v/>
      </c>
      <c r="U35" s="14">
        <f>COUNTIF($I$2:$I$499,I35)</f>
        <v/>
      </c>
      <c r="V35" s="14">
        <f>IF(ISNA(MATCH(B35,'Metabase Lookup'!$A:$A,0)),"Not found",IF(INDEX('Metabase Lookup'!$B:$B,MATCH(B35,'Metabase Lookup'!$A:$A,0))="","Pending",INDEX('Metabase Lookup'!$B:$B,MATCH(B35,'Metabase Lookup'!$A:$A,0))))</f>
        <v/>
      </c>
      <c r="W35" s="14">
        <f>IF(ISNA(MATCH(B35,'Metabase Lookup'!$A:$A,0)),"Not found",IF(INDEX('Metabase Lookup'!$C:$C,MATCH(B35,'Metabase Lookup'!$A:$A,0))="","Pending",INDEX('Metabase Lookup'!$C:$C,MATCH(B35,'Metabase Lookup'!$A:$A,0))))</f>
        <v/>
      </c>
      <c r="X35" s="14">
        <f>IF(ISNA(MATCH(B35,'Metabase Lookup'!$A:$A,0)),"",IF(INDEX('Metabase Lookup'!$D:$D,MATCH(B35,'Metabase Lookup'!$A:$A,0))="","",INDEX('Metabase Lookup'!$D:$D,MATCH(B35,'Metabase Lookup'!$A:$A,0))))</f>
        <v/>
      </c>
      <c r="Y35" s="14">
        <f>IF(ISNUMBER(W35),IF(W35&gt;0,"Yes","No"),"Pending")</f>
        <v/>
      </c>
      <c r="Z35" s="14" t="inlineStr">
        <is>
          <t>TID had stray spaces/line breaks (cleaned)</t>
        </is>
      </c>
    </row>
    <row r="36">
      <c r="A36" s="14" t="n">
        <v>35</v>
      </c>
      <c r="B36" s="14" t="inlineStr">
        <is>
          <t>TAIN1546068998241939456</t>
        </is>
      </c>
      <c r="C36" s="15" t="inlineStr">
        <is>
          <t>265572649548</t>
        </is>
      </c>
      <c r="D36" s="16" t="n">
        <v>46286.48164351852</v>
      </c>
      <c r="E36" s="17" t="n">
        <v>46286</v>
      </c>
      <c r="F36" s="14" t="inlineStr">
        <is>
          <t>Mon</t>
        </is>
      </c>
      <c r="G36" s="14" t="inlineStr">
        <is>
          <t>Northern</t>
        </is>
      </c>
      <c r="H36" s="14" t="inlineStr">
        <is>
          <t>BTS</t>
        </is>
      </c>
      <c r="I36" s="14" t="inlineStr">
        <is>
          <t>BTS - OPS - PENAGA</t>
        </is>
      </c>
      <c r="J36" s="14" t="inlineStr">
        <is>
          <t>OPS (generic hub account)</t>
        </is>
      </c>
      <c r="K36" s="14" t="inlineStr">
        <is>
          <t>91836653</t>
        </is>
      </c>
      <c r="L36" s="14" t="n">
        <v>1</v>
      </c>
      <c r="M36" s="14" t="inlineStr">
        <is>
          <t>LM</t>
        </is>
      </c>
      <c r="N36" s="14" t="inlineStr">
        <is>
          <t>Fake Fail</t>
        </is>
      </c>
      <c r="O36" s="14" t="inlineStr">
        <is>
          <t>Wrong number called</t>
        </is>
      </c>
      <c r="P36" s="14" t="inlineStr">
        <is>
          <t>No</t>
        </is>
      </c>
      <c r="Q36" s="14" t="inlineStr">
        <is>
          <t>No</t>
        </is>
      </c>
      <c r="R36" s="14" t="inlineStr">
        <is>
          <t>driver contact different number</t>
        </is>
      </c>
      <c r="S36" s="14" t="inlineStr">
        <is>
          <t>Hartini</t>
        </is>
      </c>
      <c r="T36" s="14">
        <f>COUNTIF($B$2:$B$499,B36)</f>
        <v/>
      </c>
      <c r="U36" s="14">
        <f>COUNTIF($I$2:$I$499,I36)</f>
        <v/>
      </c>
      <c r="V36" s="14">
        <f>IF(ISNA(MATCH(B36,'Metabase Lookup'!$A:$A,0)),"Not found",IF(INDEX('Metabase Lookup'!$B:$B,MATCH(B36,'Metabase Lookup'!$A:$A,0))="","Pending",INDEX('Metabase Lookup'!$B:$B,MATCH(B36,'Metabase Lookup'!$A:$A,0))))</f>
        <v/>
      </c>
      <c r="W36" s="14">
        <f>IF(ISNA(MATCH(B36,'Metabase Lookup'!$A:$A,0)),"Not found",IF(INDEX('Metabase Lookup'!$C:$C,MATCH(B36,'Metabase Lookup'!$A:$A,0))="","Pending",INDEX('Metabase Lookup'!$C:$C,MATCH(B36,'Metabase Lookup'!$A:$A,0))))</f>
        <v/>
      </c>
      <c r="X36" s="14">
        <f>IF(ISNA(MATCH(B36,'Metabase Lookup'!$A:$A,0)),"",IF(INDEX('Metabase Lookup'!$D:$D,MATCH(B36,'Metabase Lookup'!$A:$A,0))="","",INDEX('Metabase Lookup'!$D:$D,MATCH(B36,'Metabase Lookup'!$A:$A,0))))</f>
        <v/>
      </c>
      <c r="Y36" s="14">
        <f>IF(ISNUMBER(W36),IF(W36&gt;0,"Yes","No"),"Pending")</f>
        <v/>
      </c>
      <c r="Z36" s="14" t="inlineStr">
        <is>
          <t>Driver not identified (OPS account)</t>
        </is>
      </c>
    </row>
    <row r="37">
      <c r="A37" s="14" t="n">
        <v>36</v>
      </c>
      <c r="B37" s="14" t="inlineStr">
        <is>
          <t>NVMYTNAMR000000532</t>
        </is>
      </c>
      <c r="C37" s="15" t="inlineStr">
        <is>
          <t>260362647323</t>
        </is>
      </c>
      <c r="D37" s="16" t="n">
        <v>46286.48277777778</v>
      </c>
      <c r="E37" s="17" t="n">
        <v>46286</v>
      </c>
      <c r="F37" s="14" t="inlineStr">
        <is>
          <t>Mon</t>
        </is>
      </c>
      <c r="G37" s="14" t="inlineStr">
        <is>
          <t>Southern</t>
        </is>
      </c>
      <c r="H37" s="14" t="inlineStr">
        <is>
          <t>HTM</t>
        </is>
      </c>
      <c r="I37" s="14" t="inlineStr">
        <is>
          <t>HTM - ID - OPS</t>
        </is>
      </c>
      <c r="J37" s="14" t="inlineStr">
        <is>
          <t>OPS (generic hub account)</t>
        </is>
      </c>
      <c r="K37" s="14" t="inlineStr">
        <is>
          <t>91843077</t>
        </is>
      </c>
      <c r="L37" s="14" t="n">
        <v>1</v>
      </c>
      <c r="M37" s="14" t="inlineStr">
        <is>
          <t>LM</t>
        </is>
      </c>
      <c r="N37" s="14" t="inlineStr">
        <is>
          <t>Fake Fail</t>
        </is>
      </c>
      <c r="O37" s="14" t="inlineStr">
        <is>
          <t>Invalid location / site photo</t>
        </is>
      </c>
      <c r="P37" s="14" t="inlineStr">
        <is>
          <t>Yes</t>
        </is>
      </c>
      <c r="Q37" s="14" t="inlineStr">
        <is>
          <t>No</t>
        </is>
      </c>
      <c r="R37" s="14" t="inlineStr">
        <is>
          <t>Cust claim pod is not cust place</t>
        </is>
      </c>
      <c r="S37" s="14" t="inlineStr">
        <is>
          <t>Naveen</t>
        </is>
      </c>
      <c r="T37" s="14">
        <f>COUNTIF($B$2:$B$499,B37)</f>
        <v/>
      </c>
      <c r="U37" s="14">
        <f>COUNTIF($I$2:$I$499,I37)</f>
        <v/>
      </c>
      <c r="V37" s="14">
        <f>IF(ISNA(MATCH(B37,'Metabase Lookup'!$A:$A,0)),"Not found",IF(INDEX('Metabase Lookup'!$B:$B,MATCH(B37,'Metabase Lookup'!$A:$A,0))="","Pending",INDEX('Metabase Lookup'!$B:$B,MATCH(B37,'Metabase Lookup'!$A:$A,0))))</f>
        <v/>
      </c>
      <c r="W37" s="14">
        <f>IF(ISNA(MATCH(B37,'Metabase Lookup'!$A:$A,0)),"Not found",IF(INDEX('Metabase Lookup'!$C:$C,MATCH(B37,'Metabase Lookup'!$A:$A,0))="","Pending",INDEX('Metabase Lookup'!$C:$C,MATCH(B37,'Metabase Lookup'!$A:$A,0))))</f>
        <v/>
      </c>
      <c r="X37" s="14">
        <f>IF(ISNA(MATCH(B37,'Metabase Lookup'!$A:$A,0)),"",IF(INDEX('Metabase Lookup'!$D:$D,MATCH(B37,'Metabase Lookup'!$A:$A,0))="","",INDEX('Metabase Lookup'!$D:$D,MATCH(B37,'Metabase Lookup'!$A:$A,0))))</f>
        <v/>
      </c>
      <c r="Y37" s="14">
        <f>IF(ISNUMBER(W37),IF(W37&gt;0,"Yes","No"),"Pending")</f>
        <v/>
      </c>
      <c r="Z37" s="14" t="inlineStr">
        <is>
          <t>Driver not identified (OPS account)</t>
        </is>
      </c>
    </row>
    <row r="38">
      <c r="A38" s="14" t="n">
        <v>37</v>
      </c>
      <c r="B38" s="14" t="inlineStr">
        <is>
          <t>MOOK1550361206561648640</t>
        </is>
      </c>
      <c r="C38" s="15" t="inlineStr">
        <is>
          <t>263382649683</t>
        </is>
      </c>
      <c r="D38" s="16" t="n">
        <v>46286.48725694444</v>
      </c>
      <c r="E38" s="17" t="n">
        <v>46286</v>
      </c>
      <c r="F38" s="14" t="inlineStr">
        <is>
          <t>Mon</t>
        </is>
      </c>
      <c r="G38" s="14" t="inlineStr">
        <is>
          <t>Northern</t>
        </is>
      </c>
      <c r="H38" s="14" t="inlineStr">
        <is>
          <t>KLM</t>
        </is>
      </c>
      <c r="I38" s="14" t="inlineStr">
        <is>
          <t>KLM - ID - HAFIZI HABIBON | KLM - ID - ONG WEI</t>
        </is>
      </c>
      <c r="J38" s="14" t="inlineStr">
        <is>
          <t>Multiple drivers</t>
        </is>
      </c>
      <c r="K38" s="14" t="inlineStr">
        <is>
          <t>91841281, 91849300</t>
        </is>
      </c>
      <c r="L38" s="14" t="n">
        <v>2</v>
      </c>
      <c r="M38" s="14" t="inlineStr">
        <is>
          <t>LM</t>
        </is>
      </c>
      <c r="N38" s="14" t="inlineStr">
        <is>
          <t>Fake Fail</t>
        </is>
      </c>
      <c r="O38" s="14" t="inlineStr">
        <is>
          <t>Invalid location / site photo</t>
        </is>
      </c>
      <c r="P38" s="14" t="inlineStr">
        <is>
          <t>Yes</t>
        </is>
      </c>
      <c r="Q38" s="14" t="inlineStr">
        <is>
          <t>No</t>
        </is>
      </c>
      <c r="R38" s="14" t="inlineStr">
        <is>
          <t>driver attach wrong location and not customer house</t>
        </is>
      </c>
      <c r="S38" s="14" t="inlineStr">
        <is>
          <t>Zati</t>
        </is>
      </c>
      <c r="T38" s="14">
        <f>COUNTIF($B$2:$B$499,B38)</f>
        <v/>
      </c>
      <c r="U38" s="14">
        <f>COUNTIF($I$2:$I$499,I38)</f>
        <v/>
      </c>
      <c r="V38" s="14">
        <f>IF(ISNA(MATCH(B38,'Metabase Lookup'!$A:$A,0)),"Not found",IF(INDEX('Metabase Lookup'!$B:$B,MATCH(B38,'Metabase Lookup'!$A:$A,0))="","Pending",INDEX('Metabase Lookup'!$B:$B,MATCH(B38,'Metabase Lookup'!$A:$A,0))))</f>
        <v/>
      </c>
      <c r="W38" s="14">
        <f>IF(ISNA(MATCH(B38,'Metabase Lookup'!$A:$A,0)),"Not found",IF(INDEX('Metabase Lookup'!$C:$C,MATCH(B38,'Metabase Lookup'!$A:$A,0))="","Pending",INDEX('Metabase Lookup'!$C:$C,MATCH(B38,'Metabase Lookup'!$A:$A,0))))</f>
        <v/>
      </c>
      <c r="X38" s="14">
        <f>IF(ISNA(MATCH(B38,'Metabase Lookup'!$A:$A,0)),"",IF(INDEX('Metabase Lookup'!$D:$D,MATCH(B38,'Metabase Lookup'!$A:$A,0))="","",INDEX('Metabase Lookup'!$D:$D,MATCH(B38,'Metabase Lookup'!$A:$A,0))))</f>
        <v/>
      </c>
      <c r="Y38" s="14">
        <f>IF(ISNUMBER(W38),IF(W38&gt;0,"Yes","No"),"Pending")</f>
        <v/>
      </c>
      <c r="Z38" s="14" t="inlineStr">
        <is>
          <t>Multiple drivers in one row; Multiple route IDs</t>
        </is>
      </c>
    </row>
    <row r="39">
      <c r="A39" s="14" t="n">
        <v>38</v>
      </c>
      <c r="B39" s="14" t="inlineStr">
        <is>
          <t>MYNJV70045865378/MYNJV70035605218</t>
        </is>
      </c>
      <c r="C39" s="15" t="inlineStr">
        <is>
          <t>265422646611</t>
        </is>
      </c>
      <c r="D39" s="16" t="n">
        <v>46286.48927083334</v>
      </c>
      <c r="E39" s="17" t="n">
        <v>46286</v>
      </c>
      <c r="F39" s="14" t="inlineStr">
        <is>
          <t>Mon</t>
        </is>
      </c>
      <c r="G39" s="14" t="inlineStr">
        <is>
          <t>KV</t>
        </is>
      </c>
      <c r="H39" s="14" t="inlineStr">
        <is>
          <t>SHA</t>
        </is>
      </c>
      <c r="I39" s="14" t="inlineStr">
        <is>
          <t>SHA - OPS - SHA</t>
        </is>
      </c>
      <c r="J39" s="14" t="inlineStr">
        <is>
          <t>OPS (generic hub account)</t>
        </is>
      </c>
      <c r="K39" s="14" t="inlineStr">
        <is>
          <t>91826821</t>
        </is>
      </c>
      <c r="L39" s="14" t="n">
        <v>1</v>
      </c>
      <c r="M39" s="14" t="inlineStr">
        <is>
          <t>LM</t>
        </is>
      </c>
      <c r="N39" s="14" t="inlineStr">
        <is>
          <t>Fake Fail</t>
        </is>
      </c>
      <c r="O39" s="14" t="inlineStr">
        <is>
          <t>Invalid POD (no detail)</t>
        </is>
      </c>
      <c r="P39" s="14" t="inlineStr">
        <is>
          <t>No</t>
        </is>
      </c>
      <c r="Q39" s="14" t="inlineStr">
        <is>
          <t>No</t>
        </is>
      </c>
      <c r="R39" s="14" t="inlineStr">
        <is>
          <t>POD invalid</t>
        </is>
      </c>
      <c r="S39" s="14" t="inlineStr">
        <is>
          <t>Naveen</t>
        </is>
      </c>
      <c r="T39" s="14">
        <f>COUNTIF($B$2:$B$499,B39)</f>
        <v/>
      </c>
      <c r="U39" s="14">
        <f>COUNTIF($I$2:$I$499,I39)</f>
        <v/>
      </c>
      <c r="V39" s="14">
        <f>IF(ISNA(MATCH(B39,'Metabase Lookup'!$A:$A,0)),"Not found",IF(INDEX('Metabase Lookup'!$B:$B,MATCH(B39,'Metabase Lookup'!$A:$A,0))="","Pending",INDEX('Metabase Lookup'!$B:$B,MATCH(B39,'Metabase Lookup'!$A:$A,0))))</f>
        <v/>
      </c>
      <c r="W39" s="14">
        <f>IF(ISNA(MATCH(B39,'Metabase Lookup'!$A:$A,0)),"Not found",IF(INDEX('Metabase Lookup'!$C:$C,MATCH(B39,'Metabase Lookup'!$A:$A,0))="","Pending",INDEX('Metabase Lookup'!$C:$C,MATCH(B39,'Metabase Lookup'!$A:$A,0))))</f>
        <v/>
      </c>
      <c r="X39" s="14">
        <f>IF(ISNA(MATCH(B39,'Metabase Lookup'!$A:$A,0)),"",IF(INDEX('Metabase Lookup'!$D:$D,MATCH(B39,'Metabase Lookup'!$A:$A,0))="","",INDEX('Metabase Lookup'!$D:$D,MATCH(B39,'Metabase Lookup'!$A:$A,0))))</f>
        <v/>
      </c>
      <c r="Y39" s="14">
        <f>IF(ISNUMBER(W39),IF(W39&gt;0,"Yes","No"),"Pending")</f>
        <v/>
      </c>
      <c r="Z39" s="14" t="inlineStr">
        <is>
          <t>TID had stray spaces/line breaks (cleaned); Driver not identified (OPS account)</t>
        </is>
      </c>
    </row>
    <row r="40">
      <c r="A40" s="14" t="n">
        <v>39</v>
      </c>
      <c r="B40" s="14" t="inlineStr">
        <is>
          <t>NVMYNINJA002510859</t>
        </is>
      </c>
      <c r="C40" s="15" t="inlineStr">
        <is>
          <t>260812644722</t>
        </is>
      </c>
      <c r="D40" s="16" t="n">
        <v>46286.49487268519</v>
      </c>
      <c r="E40" s="17" t="n">
        <v>46286</v>
      </c>
      <c r="F40" s="14" t="inlineStr">
        <is>
          <t>Mon</t>
        </is>
      </c>
      <c r="G40" s="14" t="inlineStr">
        <is>
          <t>North West</t>
        </is>
      </c>
      <c r="H40" s="14" t="inlineStr">
        <is>
          <t>BAG</t>
        </is>
      </c>
      <c r="I40" s="14" t="inlineStr">
        <is>
          <t>Adam Haris</t>
        </is>
      </c>
      <c r="J40" s="14" t="inlineStr">
        <is>
          <t>Name only (no hub/code)</t>
        </is>
      </c>
      <c r="K40" s="14" t="inlineStr">
        <is>
          <t>91851544</t>
        </is>
      </c>
      <c r="L40" s="14" t="n">
        <v>1</v>
      </c>
      <c r="M40" s="14" t="inlineStr">
        <is>
          <t>LM</t>
        </is>
      </c>
      <c r="N40" s="14" t="inlineStr">
        <is>
          <t>Pull Out Route (POR)</t>
        </is>
      </c>
      <c r="O40" s="14" t="inlineStr"/>
      <c r="P40" s="14" t="inlineStr"/>
      <c r="Q40" s="14" t="inlineStr"/>
      <c r="R40" s="14" t="inlineStr">
        <is>
          <t>PULL OUT OF ROUTE by Adam Haris on 2026-09-21 09:21:55</t>
        </is>
      </c>
      <c r="S40" s="14" t="inlineStr">
        <is>
          <t>Zati</t>
        </is>
      </c>
      <c r="T40" s="14">
        <f>COUNTIF($B$2:$B$499,B40)</f>
        <v/>
      </c>
      <c r="U40" s="14">
        <f>COUNTIF($I$2:$I$499,I40)</f>
        <v/>
      </c>
      <c r="V40" s="14">
        <f>IF(ISNA(MATCH(B40,'Metabase Lookup'!$A:$A,0)),"Not found",IF(INDEX('Metabase Lookup'!$B:$B,MATCH(B40,'Metabase Lookup'!$A:$A,0))="","Pending",INDEX('Metabase Lookup'!$B:$B,MATCH(B40,'Metabase Lookup'!$A:$A,0))))</f>
        <v/>
      </c>
      <c r="W40" s="14">
        <f>IF(ISNA(MATCH(B40,'Metabase Lookup'!$A:$A,0)),"Not found",IF(INDEX('Metabase Lookup'!$C:$C,MATCH(B40,'Metabase Lookup'!$A:$A,0))="","Pending",INDEX('Metabase Lookup'!$C:$C,MATCH(B40,'Metabase Lookup'!$A:$A,0))))</f>
        <v/>
      </c>
      <c r="X40" s="14">
        <f>IF(ISNA(MATCH(B40,'Metabase Lookup'!$A:$A,0)),"",IF(INDEX('Metabase Lookup'!$D:$D,MATCH(B40,'Metabase Lookup'!$A:$A,0))="","",INDEX('Metabase Lookup'!$D:$D,MATCH(B40,'Metabase Lookup'!$A:$A,0))))</f>
        <v/>
      </c>
      <c r="Y40" s="14">
        <f>IF(ISNUMBER(W40),IF(W40&gt;0,"Yes","No"),"Pending")</f>
        <v/>
      </c>
      <c r="Z40" s="14" t="inlineStr">
        <is>
          <t>TID logged more than once</t>
        </is>
      </c>
    </row>
    <row r="41">
      <c r="A41" s="14" t="n">
        <v>40</v>
      </c>
      <c r="B41" s="14" t="inlineStr">
        <is>
          <t>NVMYSOUPE000000919</t>
        </is>
      </c>
      <c r="C41" s="15" t="inlineStr">
        <is>
          <t>268792648241</t>
        </is>
      </c>
      <c r="D41" s="16" t="n">
        <v>46286.49539351852</v>
      </c>
      <c r="E41" s="17" t="n">
        <v>46286</v>
      </c>
      <c r="F41" s="14" t="inlineStr">
        <is>
          <t>Mon</t>
        </is>
      </c>
      <c r="G41" s="14" t="inlineStr">
        <is>
          <t>KV</t>
        </is>
      </c>
      <c r="H41" s="14" t="inlineStr">
        <is>
          <t>DSA</t>
        </is>
      </c>
      <c r="I41" s="14" t="inlineStr">
        <is>
          <t>OPS - DSA</t>
        </is>
      </c>
      <c r="J41" s="14" t="inlineStr">
        <is>
          <t>OPS (generic hub account)</t>
        </is>
      </c>
      <c r="K41" s="14" t="inlineStr">
        <is>
          <t>91844986</t>
        </is>
      </c>
      <c r="L41" s="14" t="n">
        <v>1</v>
      </c>
      <c r="M41" s="14" t="inlineStr">
        <is>
          <t>LM</t>
        </is>
      </c>
      <c r="N41" s="14" t="inlineStr">
        <is>
          <t>Fake Fail</t>
        </is>
      </c>
      <c r="O41" s="14" t="inlineStr">
        <is>
          <t>No call / call log missing</t>
        </is>
      </c>
      <c r="P41" s="14" t="inlineStr">
        <is>
          <t>Yes</t>
        </is>
      </c>
      <c r="Q41" s="14" t="inlineStr">
        <is>
          <t>No</t>
        </is>
      </c>
      <c r="R41" s="14" t="inlineStr">
        <is>
          <t>no call log, invalid location pod</t>
        </is>
      </c>
      <c r="S41" s="14" t="inlineStr">
        <is>
          <t>Ninja Hadif</t>
        </is>
      </c>
      <c r="T41" s="14">
        <f>COUNTIF($B$2:$B$499,B41)</f>
        <v/>
      </c>
      <c r="U41" s="14">
        <f>COUNTIF($I$2:$I$499,I41)</f>
        <v/>
      </c>
      <c r="V41" s="14">
        <f>IF(ISNA(MATCH(B41,'Metabase Lookup'!$A:$A,0)),"Not found",IF(INDEX('Metabase Lookup'!$B:$B,MATCH(B41,'Metabase Lookup'!$A:$A,0))="","Pending",INDEX('Metabase Lookup'!$B:$B,MATCH(B41,'Metabase Lookup'!$A:$A,0))))</f>
        <v/>
      </c>
      <c r="W41" s="14">
        <f>IF(ISNA(MATCH(B41,'Metabase Lookup'!$A:$A,0)),"Not found",IF(INDEX('Metabase Lookup'!$C:$C,MATCH(B41,'Metabase Lookup'!$A:$A,0))="","Pending",INDEX('Metabase Lookup'!$C:$C,MATCH(B41,'Metabase Lookup'!$A:$A,0))))</f>
        <v/>
      </c>
      <c r="X41" s="14">
        <f>IF(ISNA(MATCH(B41,'Metabase Lookup'!$A:$A,0)),"",IF(INDEX('Metabase Lookup'!$D:$D,MATCH(B41,'Metabase Lookup'!$A:$A,0))="","",INDEX('Metabase Lookup'!$D:$D,MATCH(B41,'Metabase Lookup'!$A:$A,0))))</f>
        <v/>
      </c>
      <c r="Y41" s="14">
        <f>IF(ISNUMBER(W41),IF(W41&gt;0,"Yes","No"),"Pending")</f>
        <v/>
      </c>
      <c r="Z41" s="14" t="inlineStr">
        <is>
          <t>Driver not identified (OPS account)</t>
        </is>
      </c>
    </row>
    <row r="42">
      <c r="A42" s="14" t="n">
        <v>41</v>
      </c>
      <c r="B42" s="14" t="inlineStr">
        <is>
          <t>AEMYA000630786</t>
        </is>
      </c>
      <c r="C42" s="15" t="inlineStr">
        <is>
          <t>266462642254</t>
        </is>
      </c>
      <c r="D42" s="16" t="n">
        <v>46286.49642361111</v>
      </c>
      <c r="E42" s="17" t="n">
        <v>46286</v>
      </c>
      <c r="F42" s="14" t="inlineStr">
        <is>
          <t>Mon</t>
        </is>
      </c>
      <c r="G42" s="14" t="inlineStr">
        <is>
          <t>KV</t>
        </is>
      </c>
      <c r="H42" s="14" t="inlineStr">
        <is>
          <t>OUG</t>
        </is>
      </c>
      <c r="I42" s="14" t="inlineStr">
        <is>
          <t>OPS - OUG</t>
        </is>
      </c>
      <c r="J42" s="14" t="inlineStr">
        <is>
          <t>OPS (generic hub account)</t>
        </is>
      </c>
      <c r="K42" s="14" t="inlineStr">
        <is>
          <t>91845014</t>
        </is>
      </c>
      <c r="L42" s="14" t="n">
        <v>1</v>
      </c>
      <c r="M42" s="14" t="inlineStr">
        <is>
          <t>LM</t>
        </is>
      </c>
      <c r="N42" s="14" t="inlineStr">
        <is>
          <t>Fake Fail</t>
        </is>
      </c>
      <c r="O42" s="14" t="inlineStr">
        <is>
          <t>Invalid POD (no detail)</t>
        </is>
      </c>
      <c r="P42" s="14" t="inlineStr">
        <is>
          <t>No</t>
        </is>
      </c>
      <c r="Q42" s="14" t="inlineStr">
        <is>
          <t>No</t>
        </is>
      </c>
      <c r="R42" s="14" t="inlineStr">
        <is>
          <t>invalid POD</t>
        </is>
      </c>
      <c r="S42" s="14" t="inlineStr">
        <is>
          <t>Naveen</t>
        </is>
      </c>
      <c r="T42" s="14">
        <f>COUNTIF($B$2:$B$499,B42)</f>
        <v/>
      </c>
      <c r="U42" s="14">
        <f>COUNTIF($I$2:$I$499,I42)</f>
        <v/>
      </c>
      <c r="V42" s="14">
        <f>IF(ISNA(MATCH(B42,'Metabase Lookup'!$A:$A,0)),"Not found",IF(INDEX('Metabase Lookup'!$B:$B,MATCH(B42,'Metabase Lookup'!$A:$A,0))="","Pending",INDEX('Metabase Lookup'!$B:$B,MATCH(B42,'Metabase Lookup'!$A:$A,0))))</f>
        <v/>
      </c>
      <c r="W42" s="14">
        <f>IF(ISNA(MATCH(B42,'Metabase Lookup'!$A:$A,0)),"Not found",IF(INDEX('Metabase Lookup'!$C:$C,MATCH(B42,'Metabase Lookup'!$A:$A,0))="","Pending",INDEX('Metabase Lookup'!$C:$C,MATCH(B42,'Metabase Lookup'!$A:$A,0))))</f>
        <v/>
      </c>
      <c r="X42" s="14">
        <f>IF(ISNA(MATCH(B42,'Metabase Lookup'!$A:$A,0)),"",IF(INDEX('Metabase Lookup'!$D:$D,MATCH(B42,'Metabase Lookup'!$A:$A,0))="","",INDEX('Metabase Lookup'!$D:$D,MATCH(B42,'Metabase Lookup'!$A:$A,0))))</f>
        <v/>
      </c>
      <c r="Y42" s="14">
        <f>IF(ISNUMBER(W42),IF(W42&gt;0,"Yes","No"),"Pending")</f>
        <v/>
      </c>
      <c r="Z42" s="14" t="inlineStr">
        <is>
          <t>Driver not identified (OPS account)</t>
        </is>
      </c>
    </row>
    <row r="43">
      <c r="A43" s="14" t="n">
        <v>42</v>
      </c>
      <c r="B43" s="14" t="inlineStr">
        <is>
          <t>NVMYHNMHN00316406S</t>
        </is>
      </c>
      <c r="C43" s="15" t="inlineStr">
        <is>
          <t>265082648089</t>
        </is>
      </c>
      <c r="D43" s="16" t="n">
        <v>46286.49721064815</v>
      </c>
      <c r="E43" s="17" t="n">
        <v>46286</v>
      </c>
      <c r="F43" s="14" t="inlineStr">
        <is>
          <t>Mon</t>
        </is>
      </c>
      <c r="G43" s="14" t="inlineStr">
        <is>
          <t>KV</t>
        </is>
      </c>
      <c r="H43" s="14" t="inlineStr">
        <is>
          <t>RBY</t>
        </is>
      </c>
      <c r="I43" s="14" t="inlineStr">
        <is>
          <t>OPS - NAIM FIKRI</t>
        </is>
      </c>
      <c r="J43" s="14" t="inlineStr">
        <is>
          <t>OPS (generic hub account)</t>
        </is>
      </c>
      <c r="K43" s="14" t="inlineStr">
        <is>
          <t>91851750</t>
        </is>
      </c>
      <c r="L43" s="14" t="n">
        <v>1</v>
      </c>
      <c r="M43" s="14" t="inlineStr">
        <is>
          <t>LM</t>
        </is>
      </c>
      <c r="N43" s="14" t="inlineStr">
        <is>
          <t>Fake Fail</t>
        </is>
      </c>
      <c r="O43" s="14" t="inlineStr">
        <is>
          <t>Wrong number called</t>
        </is>
      </c>
      <c r="P43" s="14" t="inlineStr">
        <is>
          <t>No</t>
        </is>
      </c>
      <c r="Q43" s="14" t="inlineStr">
        <is>
          <t>No</t>
        </is>
      </c>
      <c r="R43" s="14" t="inlineStr">
        <is>
          <t>driver attach wrong call log not belong to customer</t>
        </is>
      </c>
      <c r="S43" s="14" t="inlineStr">
        <is>
          <t>Zati</t>
        </is>
      </c>
      <c r="T43" s="14">
        <f>COUNTIF($B$2:$B$499,B43)</f>
        <v/>
      </c>
      <c r="U43" s="14">
        <f>COUNTIF($I$2:$I$499,I43)</f>
        <v/>
      </c>
      <c r="V43" s="14">
        <f>IF(ISNA(MATCH(B43,'Metabase Lookup'!$A:$A,0)),"Not found",IF(INDEX('Metabase Lookup'!$B:$B,MATCH(B43,'Metabase Lookup'!$A:$A,0))="","Pending",INDEX('Metabase Lookup'!$B:$B,MATCH(B43,'Metabase Lookup'!$A:$A,0))))</f>
        <v/>
      </c>
      <c r="W43" s="14">
        <f>IF(ISNA(MATCH(B43,'Metabase Lookup'!$A:$A,0)),"Not found",IF(INDEX('Metabase Lookup'!$C:$C,MATCH(B43,'Metabase Lookup'!$A:$A,0))="","Pending",INDEX('Metabase Lookup'!$C:$C,MATCH(B43,'Metabase Lookup'!$A:$A,0))))</f>
        <v/>
      </c>
      <c r="X43" s="14">
        <f>IF(ISNA(MATCH(B43,'Metabase Lookup'!$A:$A,0)),"",IF(INDEX('Metabase Lookup'!$D:$D,MATCH(B43,'Metabase Lookup'!$A:$A,0))="","",INDEX('Metabase Lookup'!$D:$D,MATCH(B43,'Metabase Lookup'!$A:$A,0))))</f>
        <v/>
      </c>
      <c r="Y43" s="14">
        <f>IF(ISNUMBER(W43),IF(W43&gt;0,"Yes","No"),"Pending")</f>
        <v/>
      </c>
      <c r="Z43" s="14" t="inlineStr">
        <is>
          <t>Driver not identified (OPS account)</t>
        </is>
      </c>
    </row>
    <row r="44">
      <c r="A44" s="14" t="n">
        <v>43</v>
      </c>
      <c r="B44" s="14" t="inlineStr">
        <is>
          <t>NVMYKQURN000013676</t>
        </is>
      </c>
      <c r="C44" s="15" t="inlineStr">
        <is>
          <t>265702648865</t>
        </is>
      </c>
      <c r="D44" s="16" t="n">
        <v>46286.49873842593</v>
      </c>
      <c r="E44" s="17" t="n">
        <v>46286</v>
      </c>
      <c r="F44" s="14" t="inlineStr">
        <is>
          <t>Mon</t>
        </is>
      </c>
      <c r="G44" s="14" t="inlineStr">
        <is>
          <t>Northern</t>
        </is>
      </c>
      <c r="H44" s="14" t="inlineStr">
        <is>
          <t>JIT</t>
        </is>
      </c>
      <c r="I44" s="14" t="inlineStr">
        <is>
          <t>JIT - OPS - HUBJITRA</t>
        </is>
      </c>
      <c r="J44" s="14" t="inlineStr">
        <is>
          <t>OPS (generic hub account)</t>
        </is>
      </c>
      <c r="K44" s="14" t="inlineStr">
        <is>
          <t>91845196</t>
        </is>
      </c>
      <c r="L44" s="14" t="n">
        <v>1</v>
      </c>
      <c r="M44" s="14" t="inlineStr">
        <is>
          <t>LM</t>
        </is>
      </c>
      <c r="N44" s="14" t="inlineStr">
        <is>
          <t>Fake Fail</t>
        </is>
      </c>
      <c r="O44" s="14" t="inlineStr">
        <is>
          <t>Invalid call log (unspecified)</t>
        </is>
      </c>
      <c r="P44" s="14" t="inlineStr">
        <is>
          <t>No</t>
        </is>
      </c>
      <c r="Q44" s="14" t="inlineStr">
        <is>
          <t>No</t>
        </is>
      </c>
      <c r="R44" s="14" t="inlineStr">
        <is>
          <t>invalid call provided for failed delivery reason</t>
        </is>
      </c>
      <c r="S44" s="14" t="inlineStr">
        <is>
          <t>Aimenn Aiyad</t>
        </is>
      </c>
      <c r="T44" s="14">
        <f>COUNTIF($B$2:$B$499,B44)</f>
        <v/>
      </c>
      <c r="U44" s="14">
        <f>COUNTIF($I$2:$I$499,I44)</f>
        <v/>
      </c>
      <c r="V44" s="14">
        <f>IF(ISNA(MATCH(B44,'Metabase Lookup'!$A:$A,0)),"Not found",IF(INDEX('Metabase Lookup'!$B:$B,MATCH(B44,'Metabase Lookup'!$A:$A,0))="","Pending",INDEX('Metabase Lookup'!$B:$B,MATCH(B44,'Metabase Lookup'!$A:$A,0))))</f>
        <v/>
      </c>
      <c r="W44" s="14">
        <f>IF(ISNA(MATCH(B44,'Metabase Lookup'!$A:$A,0)),"Not found",IF(INDEX('Metabase Lookup'!$C:$C,MATCH(B44,'Metabase Lookup'!$A:$A,0))="","Pending",INDEX('Metabase Lookup'!$C:$C,MATCH(B44,'Metabase Lookup'!$A:$A,0))))</f>
        <v/>
      </c>
      <c r="X44" s="14">
        <f>IF(ISNA(MATCH(B44,'Metabase Lookup'!$A:$A,0)),"",IF(INDEX('Metabase Lookup'!$D:$D,MATCH(B44,'Metabase Lookup'!$A:$A,0))="","",INDEX('Metabase Lookup'!$D:$D,MATCH(B44,'Metabase Lookup'!$A:$A,0))))</f>
        <v/>
      </c>
      <c r="Y44" s="14">
        <f>IF(ISNUMBER(W44),IF(W44&gt;0,"Yes","No"),"Pending")</f>
        <v/>
      </c>
      <c r="Z44" s="14" t="inlineStr">
        <is>
          <t>Driver not identified (OPS account)</t>
        </is>
      </c>
    </row>
    <row r="45">
      <c r="A45" s="14" t="n">
        <v>44</v>
      </c>
      <c r="B45" s="14" t="inlineStr">
        <is>
          <t>ESHP003312074</t>
        </is>
      </c>
      <c r="C45" s="15" t="inlineStr">
        <is>
          <t>260872647805</t>
        </is>
      </c>
      <c r="D45" s="16" t="n">
        <v>46286.50021990741</v>
      </c>
      <c r="E45" s="17" t="n">
        <v>46286</v>
      </c>
      <c r="F45" s="14" t="inlineStr">
        <is>
          <t>Mon</t>
        </is>
      </c>
      <c r="G45" s="14" t="inlineStr">
        <is>
          <t>KV</t>
        </is>
      </c>
      <c r="H45" s="14" t="inlineStr">
        <is>
          <t>DSA</t>
        </is>
      </c>
      <c r="I45" s="14" t="inlineStr">
        <is>
          <t>OPS - DSA</t>
        </is>
      </c>
      <c r="J45" s="14" t="inlineStr">
        <is>
          <t>OPS (generic hub account)</t>
        </is>
      </c>
      <c r="K45" s="14" t="inlineStr">
        <is>
          <t>91844986</t>
        </is>
      </c>
      <c r="L45" s="14" t="n">
        <v>1</v>
      </c>
      <c r="M45" s="14" t="inlineStr">
        <is>
          <t>LM</t>
        </is>
      </c>
      <c r="N45" s="14" t="inlineStr">
        <is>
          <t>Fake Fail</t>
        </is>
      </c>
      <c r="O45" s="14" t="inlineStr">
        <is>
          <t>No call / call log missing</t>
        </is>
      </c>
      <c r="P45" s="14" t="inlineStr">
        <is>
          <t>No</t>
        </is>
      </c>
      <c r="Q45" s="14" t="inlineStr">
        <is>
          <t>Yes</t>
        </is>
      </c>
      <c r="R45" s="14" t="inlineStr">
        <is>
          <t>fail by OPS. invalid POD no call log provided</t>
        </is>
      </c>
      <c r="S45" s="14" t="inlineStr">
        <is>
          <t>Aimenn Aiyad</t>
        </is>
      </c>
      <c r="T45" s="14">
        <f>COUNTIF($B$2:$B$499,B45)</f>
        <v/>
      </c>
      <c r="U45" s="14">
        <f>COUNTIF($I$2:$I$499,I45)</f>
        <v/>
      </c>
      <c r="V45" s="14">
        <f>IF(ISNA(MATCH(B45,'Metabase Lookup'!$A:$A,0)),"Not found",IF(INDEX('Metabase Lookup'!$B:$B,MATCH(B45,'Metabase Lookup'!$A:$A,0))="","Pending",INDEX('Metabase Lookup'!$B:$B,MATCH(B45,'Metabase Lookup'!$A:$A,0))))</f>
        <v/>
      </c>
      <c r="W45" s="14">
        <f>IF(ISNA(MATCH(B45,'Metabase Lookup'!$A:$A,0)),"Not found",IF(INDEX('Metabase Lookup'!$C:$C,MATCH(B45,'Metabase Lookup'!$A:$A,0))="","Pending",INDEX('Metabase Lookup'!$C:$C,MATCH(B45,'Metabase Lookup'!$A:$A,0))))</f>
        <v/>
      </c>
      <c r="X45" s="14">
        <f>IF(ISNA(MATCH(B45,'Metabase Lookup'!$A:$A,0)),"",IF(INDEX('Metabase Lookup'!$D:$D,MATCH(B45,'Metabase Lookup'!$A:$A,0))="","",INDEX('Metabase Lookup'!$D:$D,MATCH(B45,'Metabase Lookup'!$A:$A,0))))</f>
        <v/>
      </c>
      <c r="Y45" s="14">
        <f>IF(ISNUMBER(W45),IF(W45&gt;0,"Yes","No"),"Pending")</f>
        <v/>
      </c>
      <c r="Z45" s="14" t="inlineStr">
        <is>
          <t>Driver not identified (OPS account)</t>
        </is>
      </c>
    </row>
    <row r="46">
      <c r="A46" s="14" t="n">
        <v>45</v>
      </c>
      <c r="B46" s="14" t="inlineStr">
        <is>
          <t>LSGMY5905428</t>
        </is>
      </c>
      <c r="C46" s="15" t="inlineStr">
        <is>
          <t>261342649595</t>
        </is>
      </c>
      <c r="D46" s="16" t="n">
        <v>46286.50116898148</v>
      </c>
      <c r="E46" s="17" t="n">
        <v>46286</v>
      </c>
      <c r="F46" s="14" t="inlineStr">
        <is>
          <t>Mon</t>
        </is>
      </c>
      <c r="G46" s="14" t="inlineStr">
        <is>
          <t>KV</t>
        </is>
      </c>
      <c r="H46" s="14" t="inlineStr">
        <is>
          <t>KLG</t>
        </is>
      </c>
      <c r="I46" s="14" t="inlineStr">
        <is>
          <t>KLG -OPS -MUZAFFAR</t>
        </is>
      </c>
      <c r="J46" s="14" t="inlineStr">
        <is>
          <t>OPS (generic hub account)</t>
        </is>
      </c>
      <c r="K46" s="14" t="inlineStr">
        <is>
          <t>91844261</t>
        </is>
      </c>
      <c r="L46" s="14" t="n">
        <v>1</v>
      </c>
      <c r="M46" s="14" t="inlineStr">
        <is>
          <t>LM</t>
        </is>
      </c>
      <c r="N46" s="14" t="inlineStr">
        <is>
          <t>Fake Fail</t>
        </is>
      </c>
      <c r="O46" s="14" t="inlineStr">
        <is>
          <t>Recycled / manipulated POD</t>
        </is>
      </c>
      <c r="P46" s="14" t="inlineStr">
        <is>
          <t>No</t>
        </is>
      </c>
      <c r="Q46" s="14" t="inlineStr">
        <is>
          <t>No</t>
        </is>
      </c>
      <c r="R46" s="14" t="inlineStr">
        <is>
          <t>driver attach invalid pod no call log attach and fake whasatpp</t>
        </is>
      </c>
      <c r="S46" s="14" t="inlineStr">
        <is>
          <t>Zati</t>
        </is>
      </c>
      <c r="T46" s="14">
        <f>COUNTIF($B$2:$B$499,B46)</f>
        <v/>
      </c>
      <c r="U46" s="14">
        <f>COUNTIF($I$2:$I$499,I46)</f>
        <v/>
      </c>
      <c r="V46" s="14">
        <f>IF(ISNA(MATCH(B46,'Metabase Lookup'!$A:$A,0)),"Not found",IF(INDEX('Metabase Lookup'!$B:$B,MATCH(B46,'Metabase Lookup'!$A:$A,0))="","Pending",INDEX('Metabase Lookup'!$B:$B,MATCH(B46,'Metabase Lookup'!$A:$A,0))))</f>
        <v/>
      </c>
      <c r="W46" s="14">
        <f>IF(ISNA(MATCH(B46,'Metabase Lookup'!$A:$A,0)),"Not found",IF(INDEX('Metabase Lookup'!$C:$C,MATCH(B46,'Metabase Lookup'!$A:$A,0))="","Pending",INDEX('Metabase Lookup'!$C:$C,MATCH(B46,'Metabase Lookup'!$A:$A,0))))</f>
        <v/>
      </c>
      <c r="X46" s="14">
        <f>IF(ISNA(MATCH(B46,'Metabase Lookup'!$A:$A,0)),"",IF(INDEX('Metabase Lookup'!$D:$D,MATCH(B46,'Metabase Lookup'!$A:$A,0))="","",INDEX('Metabase Lookup'!$D:$D,MATCH(B46,'Metabase Lookup'!$A:$A,0))))</f>
        <v/>
      </c>
      <c r="Y46" s="14">
        <f>IF(ISNUMBER(W46),IF(W46&gt;0,"Yes","No"),"Pending")</f>
        <v/>
      </c>
      <c r="Z46" s="14" t="inlineStr">
        <is>
          <t>Driver not identified (OPS account)</t>
        </is>
      </c>
    </row>
    <row r="47">
      <c r="A47" s="14" t="n">
        <v>46</v>
      </c>
      <c r="B47" s="14" t="inlineStr">
        <is>
          <t>AEMYA000627832</t>
        </is>
      </c>
      <c r="C47" s="15" t="inlineStr">
        <is>
          <t>267052647992</t>
        </is>
      </c>
      <c r="D47" s="16" t="n">
        <v>46286.50159722222</v>
      </c>
      <c r="E47" s="17" t="n">
        <v>46286</v>
      </c>
      <c r="F47" s="14" t="inlineStr">
        <is>
          <t>Mon</t>
        </is>
      </c>
      <c r="G47" s="14" t="inlineStr">
        <is>
          <t>KV</t>
        </is>
      </c>
      <c r="H47" s="14" t="inlineStr">
        <is>
          <t>PJY</t>
        </is>
      </c>
      <c r="I47" s="14" t="inlineStr">
        <is>
          <t>OPS - PJY</t>
        </is>
      </c>
      <c r="J47" s="14" t="inlineStr">
        <is>
          <t>OPS (generic hub account)</t>
        </is>
      </c>
      <c r="K47" s="14" t="inlineStr">
        <is>
          <t>91832170</t>
        </is>
      </c>
      <c r="L47" s="14" t="n">
        <v>1</v>
      </c>
      <c r="M47" s="14" t="inlineStr">
        <is>
          <t>LM</t>
        </is>
      </c>
      <c r="N47" s="14" t="inlineStr">
        <is>
          <t>Fake Fail</t>
        </is>
      </c>
      <c r="O47" s="14" t="inlineStr">
        <is>
          <t>Wrong number called</t>
        </is>
      </c>
      <c r="P47" s="14" t="inlineStr">
        <is>
          <t>No</t>
        </is>
      </c>
      <c r="Q47" s="14" t="inlineStr">
        <is>
          <t>Yes</t>
        </is>
      </c>
      <c r="R47" s="14" t="inlineStr">
        <is>
          <t>fail by OPS. Invalid call log provided. Wrong number</t>
        </is>
      </c>
      <c r="S47" s="14" t="inlineStr">
        <is>
          <t>Aimenn Aiyad</t>
        </is>
      </c>
      <c r="T47" s="14">
        <f>COUNTIF($B$2:$B$499,B47)</f>
        <v/>
      </c>
      <c r="U47" s="14">
        <f>COUNTIF($I$2:$I$499,I47)</f>
        <v/>
      </c>
      <c r="V47" s="14">
        <f>IF(ISNA(MATCH(B47,'Metabase Lookup'!$A:$A,0)),"Not found",IF(INDEX('Metabase Lookup'!$B:$B,MATCH(B47,'Metabase Lookup'!$A:$A,0))="","Pending",INDEX('Metabase Lookup'!$B:$B,MATCH(B47,'Metabase Lookup'!$A:$A,0))))</f>
        <v/>
      </c>
      <c r="W47" s="14">
        <f>IF(ISNA(MATCH(B47,'Metabase Lookup'!$A:$A,0)),"Not found",IF(INDEX('Metabase Lookup'!$C:$C,MATCH(B47,'Metabase Lookup'!$A:$A,0))="","Pending",INDEX('Metabase Lookup'!$C:$C,MATCH(B47,'Metabase Lookup'!$A:$A,0))))</f>
        <v/>
      </c>
      <c r="X47" s="14">
        <f>IF(ISNA(MATCH(B47,'Metabase Lookup'!$A:$A,0)),"",IF(INDEX('Metabase Lookup'!$D:$D,MATCH(B47,'Metabase Lookup'!$A:$A,0))="","",INDEX('Metabase Lookup'!$D:$D,MATCH(B47,'Metabase Lookup'!$A:$A,0))))</f>
        <v/>
      </c>
      <c r="Y47" s="14">
        <f>IF(ISNUMBER(W47),IF(W47&gt;0,"Yes","No"),"Pending")</f>
        <v/>
      </c>
      <c r="Z47" s="14" t="inlineStr">
        <is>
          <t>Driver not identified (OPS account)</t>
        </is>
      </c>
    </row>
    <row r="48">
      <c r="A48" s="14" t="n">
        <v>47</v>
      </c>
      <c r="B48" s="14" t="inlineStr">
        <is>
          <t>AEMYA000627254</t>
        </is>
      </c>
      <c r="C48" s="15" t="inlineStr">
        <is>
          <t>263072641602</t>
        </is>
      </c>
      <c r="D48" s="16" t="n">
        <v>46286.50346064815</v>
      </c>
      <c r="E48" s="17" t="n">
        <v>46286</v>
      </c>
      <c r="F48" s="14" t="inlineStr">
        <is>
          <t>Mon</t>
        </is>
      </c>
      <c r="G48" s="14" t="inlineStr">
        <is>
          <t>Southern</t>
        </is>
      </c>
      <c r="H48" s="14" t="inlineStr">
        <is>
          <t>GLG</t>
        </is>
      </c>
      <c r="I48" s="14" t="inlineStr">
        <is>
          <t>GLG - OPS - ENGKU</t>
        </is>
      </c>
      <c r="J48" s="14" t="inlineStr">
        <is>
          <t>OPS (generic hub account)</t>
        </is>
      </c>
      <c r="K48" s="14" t="inlineStr">
        <is>
          <t>91836278</t>
        </is>
      </c>
      <c r="L48" s="14" t="n">
        <v>1</v>
      </c>
      <c r="M48" s="14" t="inlineStr">
        <is>
          <t>LM</t>
        </is>
      </c>
      <c r="N48" s="14" t="inlineStr">
        <is>
          <t>Fake Fail</t>
        </is>
      </c>
      <c r="O48" s="14" t="inlineStr">
        <is>
          <t>No call / call log missing</t>
        </is>
      </c>
      <c r="P48" s="14" t="inlineStr">
        <is>
          <t>No</t>
        </is>
      </c>
      <c r="Q48" s="14" t="inlineStr">
        <is>
          <t>No</t>
        </is>
      </c>
      <c r="R48" s="14" t="inlineStr">
        <is>
          <t>no call upon failing. No call log provided</t>
        </is>
      </c>
      <c r="S48" s="14" t="inlineStr">
        <is>
          <t>Aimenn Aiyad</t>
        </is>
      </c>
      <c r="T48" s="14">
        <f>COUNTIF($B$2:$B$499,B48)</f>
        <v/>
      </c>
      <c r="U48" s="14">
        <f>COUNTIF($I$2:$I$499,I48)</f>
        <v/>
      </c>
      <c r="V48" s="14">
        <f>IF(ISNA(MATCH(B48,'Metabase Lookup'!$A:$A,0)),"Not found",IF(INDEX('Metabase Lookup'!$B:$B,MATCH(B48,'Metabase Lookup'!$A:$A,0))="","Pending",INDEX('Metabase Lookup'!$B:$B,MATCH(B48,'Metabase Lookup'!$A:$A,0))))</f>
        <v/>
      </c>
      <c r="W48" s="14">
        <f>IF(ISNA(MATCH(B48,'Metabase Lookup'!$A:$A,0)),"Not found",IF(INDEX('Metabase Lookup'!$C:$C,MATCH(B48,'Metabase Lookup'!$A:$A,0))="","Pending",INDEX('Metabase Lookup'!$C:$C,MATCH(B48,'Metabase Lookup'!$A:$A,0))))</f>
        <v/>
      </c>
      <c r="X48" s="14">
        <f>IF(ISNA(MATCH(B48,'Metabase Lookup'!$A:$A,0)),"",IF(INDEX('Metabase Lookup'!$D:$D,MATCH(B48,'Metabase Lookup'!$A:$A,0))="","",INDEX('Metabase Lookup'!$D:$D,MATCH(B48,'Metabase Lookup'!$A:$A,0))))</f>
        <v/>
      </c>
      <c r="Y48" s="14">
        <f>IF(ISNUMBER(W48),IF(W48&gt;0,"Yes","No"),"Pending")</f>
        <v/>
      </c>
      <c r="Z48" s="14" t="inlineStr">
        <is>
          <t>Driver not identified (OPS account)</t>
        </is>
      </c>
    </row>
    <row r="49">
      <c r="A49" s="14" t="n">
        <v>48</v>
      </c>
      <c r="B49" s="14" t="inlineStr">
        <is>
          <t>NVMYPZXMS000047975</t>
        </is>
      </c>
      <c r="C49" s="15" t="inlineStr">
        <is>
          <t>261352644965</t>
        </is>
      </c>
      <c r="D49" s="16" t="n">
        <v>46286.50925925926</v>
      </c>
      <c r="E49" s="17" t="n">
        <v>46286</v>
      </c>
      <c r="F49" s="14" t="inlineStr">
        <is>
          <t>Mon</t>
        </is>
      </c>
      <c r="G49" s="14" t="inlineStr">
        <is>
          <t>Southern</t>
        </is>
      </c>
      <c r="H49" s="14" t="inlineStr">
        <is>
          <t>MAS</t>
        </is>
      </c>
      <c r="I49" s="14" t="inlineStr">
        <is>
          <t>MAS - ID - EZLYANA | MAS - ID - SALMA</t>
        </is>
      </c>
      <c r="J49" s="14" t="inlineStr">
        <is>
          <t>Multiple drivers</t>
        </is>
      </c>
      <c r="K49" s="14" t="inlineStr">
        <is>
          <t>91826068, 91842527</t>
        </is>
      </c>
      <c r="L49" s="14" t="n">
        <v>2</v>
      </c>
      <c r="M49" s="14" t="inlineStr">
        <is>
          <t>LM</t>
        </is>
      </c>
      <c r="N49" s="14" t="inlineStr">
        <is>
          <t>Fake Fail</t>
        </is>
      </c>
      <c r="O49" s="14" t="inlineStr">
        <is>
          <t>Recycled / manipulated POD</t>
        </is>
      </c>
      <c r="P49" s="14" t="inlineStr">
        <is>
          <t>Yes</t>
        </is>
      </c>
      <c r="Q49" s="14" t="inlineStr">
        <is>
          <t>No</t>
        </is>
      </c>
      <c r="R49" s="14" t="inlineStr">
        <is>
          <t>91826068 - invalid call log &amp; no dite photo 91842527 - recycle POD on 18/9</t>
        </is>
      </c>
      <c r="S49" s="14" t="inlineStr">
        <is>
          <t>Yana</t>
        </is>
      </c>
      <c r="T49" s="14">
        <f>COUNTIF($B$2:$B$499,B49)</f>
        <v/>
      </c>
      <c r="U49" s="14">
        <f>COUNTIF($I$2:$I$499,I49)</f>
        <v/>
      </c>
      <c r="V49" s="14">
        <f>IF(ISNA(MATCH(B49,'Metabase Lookup'!$A:$A,0)),"Not found",IF(INDEX('Metabase Lookup'!$B:$B,MATCH(B49,'Metabase Lookup'!$A:$A,0))="","Pending",INDEX('Metabase Lookup'!$B:$B,MATCH(B49,'Metabase Lookup'!$A:$A,0))))</f>
        <v/>
      </c>
      <c r="W49" s="14">
        <f>IF(ISNA(MATCH(B49,'Metabase Lookup'!$A:$A,0)),"Not found",IF(INDEX('Metabase Lookup'!$C:$C,MATCH(B49,'Metabase Lookup'!$A:$A,0))="","Pending",INDEX('Metabase Lookup'!$C:$C,MATCH(B49,'Metabase Lookup'!$A:$A,0))))</f>
        <v/>
      </c>
      <c r="X49" s="14">
        <f>IF(ISNA(MATCH(B49,'Metabase Lookup'!$A:$A,0)),"",IF(INDEX('Metabase Lookup'!$D:$D,MATCH(B49,'Metabase Lookup'!$A:$A,0))="","",INDEX('Metabase Lookup'!$D:$D,MATCH(B49,'Metabase Lookup'!$A:$A,0))))</f>
        <v/>
      </c>
      <c r="Y49" s="14">
        <f>IF(ISNUMBER(W49),IF(W49&gt;0,"Yes","No"),"Pending")</f>
        <v/>
      </c>
      <c r="Z49" s="14" t="inlineStr">
        <is>
          <t>TID logged more than once; Multiple drivers in one row; Multiple route IDs</t>
        </is>
      </c>
    </row>
    <row r="50">
      <c r="A50" s="14" t="n">
        <v>49</v>
      </c>
      <c r="B50" s="14" t="inlineStr">
        <is>
          <t>TNGE126047263325076000</t>
        </is>
      </c>
      <c r="C50" s="15" t="inlineStr">
        <is>
          <t>268982649215</t>
        </is>
      </c>
      <c r="D50" s="16" t="n">
        <v>46286.51084490741</v>
      </c>
      <c r="E50" s="17" t="n">
        <v>46286</v>
      </c>
      <c r="F50" s="14" t="inlineStr">
        <is>
          <t>Mon</t>
        </is>
      </c>
      <c r="G50" s="14" t="inlineStr">
        <is>
          <t>KV</t>
        </is>
      </c>
      <c r="H50" s="14" t="inlineStr">
        <is>
          <t>OUG</t>
        </is>
      </c>
      <c r="I50" s="14" t="inlineStr">
        <is>
          <t>OPS - OUG</t>
        </is>
      </c>
      <c r="J50" s="14" t="inlineStr">
        <is>
          <t>OPS (generic hub account)</t>
        </is>
      </c>
      <c r="K50" s="14" t="inlineStr">
        <is>
          <t>91851659</t>
        </is>
      </c>
      <c r="L50" s="14" t="n">
        <v>1</v>
      </c>
      <c r="M50" s="14" t="inlineStr">
        <is>
          <t>LM</t>
        </is>
      </c>
      <c r="N50" s="14" t="inlineStr">
        <is>
          <t>Fake Fail</t>
        </is>
      </c>
      <c r="O50" s="14" t="inlineStr">
        <is>
          <t>Invalid call log (unspecified)</t>
        </is>
      </c>
      <c r="P50" s="14" t="inlineStr">
        <is>
          <t>No</t>
        </is>
      </c>
      <c r="Q50" s="14" t="inlineStr">
        <is>
          <t>Yes</t>
        </is>
      </c>
      <c r="R50" s="14" t="inlineStr">
        <is>
          <t>Fail by Ops - invalid call log provided</t>
        </is>
      </c>
      <c r="S50" s="14" t="inlineStr">
        <is>
          <t>Aimenn Aiyad</t>
        </is>
      </c>
      <c r="T50" s="14">
        <f>COUNTIF($B$2:$B$499,B50)</f>
        <v/>
      </c>
      <c r="U50" s="14">
        <f>COUNTIF($I$2:$I$499,I50)</f>
        <v/>
      </c>
      <c r="V50" s="14">
        <f>IF(ISNA(MATCH(B50,'Metabase Lookup'!$A:$A,0)),"Not found",IF(INDEX('Metabase Lookup'!$B:$B,MATCH(B50,'Metabase Lookup'!$A:$A,0))="","Pending",INDEX('Metabase Lookup'!$B:$B,MATCH(B50,'Metabase Lookup'!$A:$A,0))))</f>
        <v/>
      </c>
      <c r="W50" s="14">
        <f>IF(ISNA(MATCH(B50,'Metabase Lookup'!$A:$A,0)),"Not found",IF(INDEX('Metabase Lookup'!$C:$C,MATCH(B50,'Metabase Lookup'!$A:$A,0))="","Pending",INDEX('Metabase Lookup'!$C:$C,MATCH(B50,'Metabase Lookup'!$A:$A,0))))</f>
        <v/>
      </c>
      <c r="X50" s="14">
        <f>IF(ISNA(MATCH(B50,'Metabase Lookup'!$A:$A,0)),"",IF(INDEX('Metabase Lookup'!$D:$D,MATCH(B50,'Metabase Lookup'!$A:$A,0))="","",INDEX('Metabase Lookup'!$D:$D,MATCH(B50,'Metabase Lookup'!$A:$A,0))))</f>
        <v/>
      </c>
      <c r="Y50" s="14">
        <f>IF(ISNUMBER(W50),IF(W50&gt;0,"Yes","No"),"Pending")</f>
        <v/>
      </c>
      <c r="Z50" s="14" t="inlineStr">
        <is>
          <t>Driver not identified (OPS account)</t>
        </is>
      </c>
    </row>
    <row r="51">
      <c r="A51" s="14" t="n">
        <v>50</v>
      </c>
      <c r="B51" s="14" t="inlineStr">
        <is>
          <t>AJDHU1550037634185019392</t>
        </is>
      </c>
      <c r="C51" s="15" t="inlineStr">
        <is>
          <t>266692646505</t>
        </is>
      </c>
      <c r="D51" s="16" t="n">
        <v>46286.51087962963</v>
      </c>
      <c r="E51" s="17" t="n">
        <v>46286</v>
      </c>
      <c r="F51" s="14" t="inlineStr">
        <is>
          <t>Mon</t>
        </is>
      </c>
      <c r="G51" s="14" t="inlineStr">
        <is>
          <t>KV</t>
        </is>
      </c>
      <c r="H51" s="14" t="inlineStr">
        <is>
          <t>KEP</t>
        </is>
      </c>
      <c r="I51" s="14" t="inlineStr">
        <is>
          <t>Fairuz Yaacob</t>
        </is>
      </c>
      <c r="J51" s="14" t="inlineStr">
        <is>
          <t>Name only (no hub/code)</t>
        </is>
      </c>
      <c r="K51" s="14" t="inlineStr">
        <is>
          <t>91838643</t>
        </is>
      </c>
      <c r="L51" s="14" t="n">
        <v>1</v>
      </c>
      <c r="M51" s="14" t="inlineStr">
        <is>
          <t>LM</t>
        </is>
      </c>
      <c r="N51" s="14" t="inlineStr">
        <is>
          <t>Pull Out Route (POR)</t>
        </is>
      </c>
      <c r="O51" s="14" t="inlineStr"/>
      <c r="P51" s="14" t="inlineStr"/>
      <c r="Q51" s="14" t="inlineStr"/>
      <c r="R51" s="14" t="inlineStr">
        <is>
          <t>PULL OUT OF ROUTE on aziz khan at 2026-09-19 18:46:02</t>
        </is>
      </c>
      <c r="S51" s="14" t="inlineStr">
        <is>
          <t>Yana</t>
        </is>
      </c>
      <c r="T51" s="14">
        <f>COUNTIF($B$2:$B$499,B51)</f>
        <v/>
      </c>
      <c r="U51" s="14">
        <f>COUNTIF($I$2:$I$499,I51)</f>
        <v/>
      </c>
      <c r="V51" s="14">
        <f>IF(ISNA(MATCH(B51,'Metabase Lookup'!$A:$A,0)),"Not found",IF(INDEX('Metabase Lookup'!$B:$B,MATCH(B51,'Metabase Lookup'!$A:$A,0))="","Pending",INDEX('Metabase Lookup'!$B:$B,MATCH(B51,'Metabase Lookup'!$A:$A,0))))</f>
        <v/>
      </c>
      <c r="W51" s="14">
        <f>IF(ISNA(MATCH(B51,'Metabase Lookup'!$A:$A,0)),"Not found",IF(INDEX('Metabase Lookup'!$C:$C,MATCH(B51,'Metabase Lookup'!$A:$A,0))="","Pending",INDEX('Metabase Lookup'!$C:$C,MATCH(B51,'Metabase Lookup'!$A:$A,0))))</f>
        <v/>
      </c>
      <c r="X51" s="14">
        <f>IF(ISNA(MATCH(B51,'Metabase Lookup'!$A:$A,0)),"",IF(INDEX('Metabase Lookup'!$D:$D,MATCH(B51,'Metabase Lookup'!$A:$A,0))="","",INDEX('Metabase Lookup'!$D:$D,MATCH(B51,'Metabase Lookup'!$A:$A,0))))</f>
        <v/>
      </c>
      <c r="Y51" s="14">
        <f>IF(ISNUMBER(W51),IF(W51&gt;0,"Yes","No"),"Pending")</f>
        <v/>
      </c>
      <c r="Z51" s="14" t="inlineStr"/>
    </row>
    <row r="52">
      <c r="A52" s="14" t="n">
        <v>51</v>
      </c>
      <c r="B52" s="14" t="inlineStr">
        <is>
          <t>COTONW00041396747</t>
        </is>
      </c>
      <c r="C52" s="15" t="inlineStr">
        <is>
          <t>266972648106</t>
        </is>
      </c>
      <c r="D52" s="16" t="n">
        <v>46286.51373842593</v>
      </c>
      <c r="E52" s="17" t="n">
        <v>46286</v>
      </c>
      <c r="F52" s="14" t="inlineStr">
        <is>
          <t>Mon</t>
        </is>
      </c>
      <c r="G52" s="14" t="inlineStr">
        <is>
          <t>KV</t>
        </is>
      </c>
      <c r="H52" s="14" t="inlineStr">
        <is>
          <t>OUG</t>
        </is>
      </c>
      <c r="I52" s="14" t="inlineStr">
        <is>
          <t>OPS - OUG</t>
        </is>
      </c>
      <c r="J52" s="14" t="inlineStr">
        <is>
          <t>OPS (generic hub account)</t>
        </is>
      </c>
      <c r="K52" s="14" t="inlineStr">
        <is>
          <t>91845008</t>
        </is>
      </c>
      <c r="L52" s="14" t="n">
        <v>1</v>
      </c>
      <c r="M52" s="14" t="inlineStr">
        <is>
          <t>LM</t>
        </is>
      </c>
      <c r="N52" s="14" t="inlineStr">
        <is>
          <t>Fake Fail</t>
        </is>
      </c>
      <c r="O52" s="14" t="inlineStr">
        <is>
          <t>Invalid location / site photo</t>
        </is>
      </c>
      <c r="P52" s="14" t="inlineStr">
        <is>
          <t>Yes</t>
        </is>
      </c>
      <c r="Q52" s="14" t="inlineStr">
        <is>
          <t>No</t>
        </is>
      </c>
      <c r="R52" s="14" t="inlineStr">
        <is>
          <t>pod is not cust place</t>
        </is>
      </c>
      <c r="S52" s="14" t="inlineStr">
        <is>
          <t>Naveen</t>
        </is>
      </c>
      <c r="T52" s="14">
        <f>COUNTIF($B$2:$B$499,B52)</f>
        <v/>
      </c>
      <c r="U52" s="14">
        <f>COUNTIF($I$2:$I$499,I52)</f>
        <v/>
      </c>
      <c r="V52" s="14">
        <f>IF(ISNA(MATCH(B52,'Metabase Lookup'!$A:$A,0)),"Not found",IF(INDEX('Metabase Lookup'!$B:$B,MATCH(B52,'Metabase Lookup'!$A:$A,0))="","Pending",INDEX('Metabase Lookup'!$B:$B,MATCH(B52,'Metabase Lookup'!$A:$A,0))))</f>
        <v/>
      </c>
      <c r="W52" s="14">
        <f>IF(ISNA(MATCH(B52,'Metabase Lookup'!$A:$A,0)),"Not found",IF(INDEX('Metabase Lookup'!$C:$C,MATCH(B52,'Metabase Lookup'!$A:$A,0))="","Pending",INDEX('Metabase Lookup'!$C:$C,MATCH(B52,'Metabase Lookup'!$A:$A,0))))</f>
        <v/>
      </c>
      <c r="X52" s="14">
        <f>IF(ISNA(MATCH(B52,'Metabase Lookup'!$A:$A,0)),"",IF(INDEX('Metabase Lookup'!$D:$D,MATCH(B52,'Metabase Lookup'!$A:$A,0))="","",INDEX('Metabase Lookup'!$D:$D,MATCH(B52,'Metabase Lookup'!$A:$A,0))))</f>
        <v/>
      </c>
      <c r="Y52" s="14">
        <f>IF(ISNUMBER(W52),IF(W52&gt;0,"Yes","No"),"Pending")</f>
        <v/>
      </c>
      <c r="Z52" s="14" t="inlineStr">
        <is>
          <t>Driver not identified (OPS account)</t>
        </is>
      </c>
    </row>
    <row r="53">
      <c r="A53" s="14" t="n">
        <v>52</v>
      </c>
      <c r="B53" s="14" t="inlineStr">
        <is>
          <t>MASTR1548469847196155904</t>
        </is>
      </c>
      <c r="C53" s="15" t="inlineStr">
        <is>
          <t>267402647262</t>
        </is>
      </c>
      <c r="D53" s="16" t="n">
        <v>46286.51737268519</v>
      </c>
      <c r="E53" s="17" t="n">
        <v>46286</v>
      </c>
      <c r="F53" s="14" t="inlineStr">
        <is>
          <t>Mon</t>
        </is>
      </c>
      <c r="G53" s="14" t="inlineStr">
        <is>
          <t>South West</t>
        </is>
      </c>
      <c r="H53" s="14" t="inlineStr">
        <is>
          <t>SBN</t>
        </is>
      </c>
      <c r="I53" s="14" t="inlineStr">
        <is>
          <t>ZAMRILL - OPS - SBN | DAARSHAN - OPS - SBN</t>
        </is>
      </c>
      <c r="J53" s="14" t="inlineStr">
        <is>
          <t>Multiple drivers</t>
        </is>
      </c>
      <c r="K53" s="14" t="inlineStr">
        <is>
          <t>91823196, 91845019</t>
        </is>
      </c>
      <c r="L53" s="14" t="n">
        <v>2</v>
      </c>
      <c r="M53" s="14" t="inlineStr">
        <is>
          <t>LM</t>
        </is>
      </c>
      <c r="N53" s="14" t="inlineStr">
        <is>
          <t>Fake Fail</t>
        </is>
      </c>
      <c r="O53" s="14" t="inlineStr">
        <is>
          <t>Invalid POD (no detail)</t>
        </is>
      </c>
      <c r="P53" s="14" t="inlineStr">
        <is>
          <t>No</t>
        </is>
      </c>
      <c r="Q53" s="14" t="inlineStr">
        <is>
          <t>No</t>
        </is>
      </c>
      <c r="R53" s="14" t="inlineStr">
        <is>
          <t>POD invalid and picture is not cx office for the 2nd attempt</t>
        </is>
      </c>
      <c r="S53" s="14" t="inlineStr">
        <is>
          <t>Naveen</t>
        </is>
      </c>
      <c r="T53" s="14">
        <f>COUNTIF($B$2:$B$499,B53)</f>
        <v/>
      </c>
      <c r="U53" s="14">
        <f>COUNTIF($I$2:$I$499,I53)</f>
        <v/>
      </c>
      <c r="V53" s="14">
        <f>IF(ISNA(MATCH(B53,'Metabase Lookup'!$A:$A,0)),"Not found",IF(INDEX('Metabase Lookup'!$B:$B,MATCH(B53,'Metabase Lookup'!$A:$A,0))="","Pending",INDEX('Metabase Lookup'!$B:$B,MATCH(B53,'Metabase Lookup'!$A:$A,0))))</f>
        <v/>
      </c>
      <c r="W53" s="14">
        <f>IF(ISNA(MATCH(B53,'Metabase Lookup'!$A:$A,0)),"Not found",IF(INDEX('Metabase Lookup'!$C:$C,MATCH(B53,'Metabase Lookup'!$A:$A,0))="","Pending",INDEX('Metabase Lookup'!$C:$C,MATCH(B53,'Metabase Lookup'!$A:$A,0))))</f>
        <v/>
      </c>
      <c r="X53" s="14">
        <f>IF(ISNA(MATCH(B53,'Metabase Lookup'!$A:$A,0)),"",IF(INDEX('Metabase Lookup'!$D:$D,MATCH(B53,'Metabase Lookup'!$A:$A,0))="","",INDEX('Metabase Lookup'!$D:$D,MATCH(B53,'Metabase Lookup'!$A:$A,0))))</f>
        <v/>
      </c>
      <c r="Y53" s="14">
        <f>IF(ISNUMBER(W53),IF(W53&gt;0,"Yes","No"),"Pending")</f>
        <v/>
      </c>
      <c r="Z53" s="14" t="inlineStr">
        <is>
          <t>Multiple drivers in one row; Multiple route IDs</t>
        </is>
      </c>
    </row>
    <row r="54">
      <c r="A54" s="14" t="n">
        <v>53</v>
      </c>
      <c r="B54" s="14" t="inlineStr">
        <is>
          <t>TNGDV2609036836185310</t>
        </is>
      </c>
      <c r="C54" s="15" t="inlineStr">
        <is>
          <t>261252618267</t>
        </is>
      </c>
      <c r="D54" s="16" t="n">
        <v>46286.51997685185</v>
      </c>
      <c r="E54" s="17" t="n">
        <v>46286</v>
      </c>
      <c r="F54" s="14" t="inlineStr">
        <is>
          <t>Mon</t>
        </is>
      </c>
      <c r="G54" s="14" t="inlineStr">
        <is>
          <t>KV</t>
        </is>
      </c>
      <c r="H54" s="14" t="inlineStr">
        <is>
          <t>RBY</t>
        </is>
      </c>
      <c r="I54" s="14" t="inlineStr">
        <is>
          <t>RBY - ID - HARIZ FITRI</t>
        </is>
      </c>
      <c r="J54" s="14" t="inlineStr">
        <is>
          <t>ID (named driver)</t>
        </is>
      </c>
      <c r="K54" s="14" t="inlineStr">
        <is>
          <t>91757064</t>
        </is>
      </c>
      <c r="L54" s="14" t="n">
        <v>1</v>
      </c>
      <c r="M54" s="14" t="inlineStr">
        <is>
          <t>LM</t>
        </is>
      </c>
      <c r="N54" s="14" t="inlineStr">
        <is>
          <t>Fake Success</t>
        </is>
      </c>
      <c r="O54" s="14" t="inlineStr"/>
      <c r="P54" s="14" t="inlineStr"/>
      <c r="Q54" s="14" t="inlineStr"/>
      <c r="R54" s="14" t="inlineStr">
        <is>
          <t>invalid pod, no show unit</t>
        </is>
      </c>
      <c r="S54" s="14" t="inlineStr">
        <is>
          <t>Abdul</t>
        </is>
      </c>
      <c r="T54" s="14">
        <f>COUNTIF($B$2:$B$499,B54)</f>
        <v/>
      </c>
      <c r="U54" s="14">
        <f>COUNTIF($I$2:$I$499,I54)</f>
        <v/>
      </c>
      <c r="V54" s="14">
        <f>IF(ISNA(MATCH(B54,'Metabase Lookup'!$A:$A,0)),"Not found",IF(INDEX('Metabase Lookup'!$B:$B,MATCH(B54,'Metabase Lookup'!$A:$A,0))="","Pending",INDEX('Metabase Lookup'!$B:$B,MATCH(B54,'Metabase Lookup'!$A:$A,0))))</f>
        <v/>
      </c>
      <c r="W54" s="14">
        <f>IF(ISNA(MATCH(B54,'Metabase Lookup'!$A:$A,0)),"Not found",IF(INDEX('Metabase Lookup'!$C:$C,MATCH(B54,'Metabase Lookup'!$A:$A,0))="","Pending",INDEX('Metabase Lookup'!$C:$C,MATCH(B54,'Metabase Lookup'!$A:$A,0))))</f>
        <v/>
      </c>
      <c r="X54" s="14">
        <f>IF(ISNA(MATCH(B54,'Metabase Lookup'!$A:$A,0)),"",IF(INDEX('Metabase Lookup'!$D:$D,MATCH(B54,'Metabase Lookup'!$A:$A,0))="","",INDEX('Metabase Lookup'!$D:$D,MATCH(B54,'Metabase Lookup'!$A:$A,0))))</f>
        <v/>
      </c>
      <c r="Y54" s="14">
        <f>IF(ISNUMBER(W54),IF(W54&gt;0,"Yes","No"),"Pending")</f>
        <v/>
      </c>
      <c r="Z54" s="14" t="inlineStr"/>
    </row>
    <row r="55">
      <c r="A55" s="14" t="n">
        <v>54</v>
      </c>
      <c r="B55" s="14" t="inlineStr">
        <is>
          <t>NVMYPZXMS000047968</t>
        </is>
      </c>
      <c r="C55" s="15" t="inlineStr">
        <is>
          <t>268642646742</t>
        </is>
      </c>
      <c r="D55" s="16" t="n">
        <v>46286.52298611111</v>
      </c>
      <c r="E55" s="17" t="n">
        <v>46286</v>
      </c>
      <c r="F55" s="14" t="inlineStr">
        <is>
          <t>Mon</t>
        </is>
      </c>
      <c r="G55" s="14" t="inlineStr">
        <is>
          <t>North West</t>
        </is>
      </c>
      <c r="H55" s="14" t="inlineStr">
        <is>
          <t>SAR</t>
        </is>
      </c>
      <c r="I55" s="14" t="inlineStr">
        <is>
          <t>SAR - OPS - ROUTE OPS</t>
        </is>
      </c>
      <c r="J55" s="14" t="inlineStr">
        <is>
          <t>OPS (generic hub account)</t>
        </is>
      </c>
      <c r="K55" s="14" t="inlineStr">
        <is>
          <t>91827333</t>
        </is>
      </c>
      <c r="L55" s="14" t="n">
        <v>1</v>
      </c>
      <c r="M55" s="14" t="inlineStr">
        <is>
          <t>LM</t>
        </is>
      </c>
      <c r="N55" s="14" t="inlineStr">
        <is>
          <t>Fake Fail</t>
        </is>
      </c>
      <c r="O55" s="14" t="inlineStr">
        <is>
          <t>Invalid POD (no detail)</t>
        </is>
      </c>
      <c r="P55" s="14" t="inlineStr">
        <is>
          <t>No</t>
        </is>
      </c>
      <c r="Q55" s="14" t="inlineStr">
        <is>
          <t>No</t>
        </is>
      </c>
      <c r="R55" s="14" t="inlineStr">
        <is>
          <t>Invalid POD</t>
        </is>
      </c>
      <c r="S55" s="14" t="inlineStr">
        <is>
          <t>Naveen</t>
        </is>
      </c>
      <c r="T55" s="14">
        <f>COUNTIF($B$2:$B$499,B55)</f>
        <v/>
      </c>
      <c r="U55" s="14">
        <f>COUNTIF($I$2:$I$499,I55)</f>
        <v/>
      </c>
      <c r="V55" s="14">
        <f>IF(ISNA(MATCH(B55,'Metabase Lookup'!$A:$A,0)),"Not found",IF(INDEX('Metabase Lookup'!$B:$B,MATCH(B55,'Metabase Lookup'!$A:$A,0))="","Pending",INDEX('Metabase Lookup'!$B:$B,MATCH(B55,'Metabase Lookup'!$A:$A,0))))</f>
        <v/>
      </c>
      <c r="W55" s="14">
        <f>IF(ISNA(MATCH(B55,'Metabase Lookup'!$A:$A,0)),"Not found",IF(INDEX('Metabase Lookup'!$C:$C,MATCH(B55,'Metabase Lookup'!$A:$A,0))="","Pending",INDEX('Metabase Lookup'!$C:$C,MATCH(B55,'Metabase Lookup'!$A:$A,0))))</f>
        <v/>
      </c>
      <c r="X55" s="14">
        <f>IF(ISNA(MATCH(B55,'Metabase Lookup'!$A:$A,0)),"",IF(INDEX('Metabase Lookup'!$D:$D,MATCH(B55,'Metabase Lookup'!$A:$A,0))="","",INDEX('Metabase Lookup'!$D:$D,MATCH(B55,'Metabase Lookup'!$A:$A,0))))</f>
        <v/>
      </c>
      <c r="Y55" s="14">
        <f>IF(ISNUMBER(W55),IF(W55&gt;0,"Yes","No"),"Pending")</f>
        <v/>
      </c>
      <c r="Z55" s="14" t="inlineStr">
        <is>
          <t>Driver not identified (OPS account)</t>
        </is>
      </c>
    </row>
    <row r="56">
      <c r="A56" s="14" t="n">
        <v>55</v>
      </c>
      <c r="B56" s="14" t="inlineStr">
        <is>
          <t>NVMYNINJA002509240</t>
        </is>
      </c>
      <c r="C56" s="15" t="inlineStr">
        <is>
          <t>265562641307</t>
        </is>
      </c>
      <c r="D56" s="16" t="n">
        <v>46286.52518518519</v>
      </c>
      <c r="E56" s="17" t="n">
        <v>46286</v>
      </c>
      <c r="F56" s="14" t="inlineStr">
        <is>
          <t>Mon</t>
        </is>
      </c>
      <c r="G56" s="14" t="inlineStr">
        <is>
          <t>Northern</t>
        </is>
      </c>
      <c r="H56" s="14" t="inlineStr">
        <is>
          <t>JIT</t>
        </is>
      </c>
      <c r="I56" s="14" t="inlineStr">
        <is>
          <t>JIT - OPS - HUBJITRA</t>
        </is>
      </c>
      <c r="J56" s="14" t="inlineStr">
        <is>
          <t>OPS (generic hub account)</t>
        </is>
      </c>
      <c r="K56" s="14" t="inlineStr">
        <is>
          <t>91836574</t>
        </is>
      </c>
      <c r="L56" s="14" t="n">
        <v>1</v>
      </c>
      <c r="M56" s="14" t="inlineStr">
        <is>
          <t>LM</t>
        </is>
      </c>
      <c r="N56" s="14" t="inlineStr">
        <is>
          <t>Fake Fail</t>
        </is>
      </c>
      <c r="O56" s="14" t="inlineStr">
        <is>
          <t>Invalid call log (unspecified)</t>
        </is>
      </c>
      <c r="P56" s="14" t="inlineStr">
        <is>
          <t>No</t>
        </is>
      </c>
      <c r="Q56" s="14" t="inlineStr">
        <is>
          <t>No</t>
        </is>
      </c>
      <c r="R56" s="14" t="inlineStr">
        <is>
          <t>invalid call log provided</t>
        </is>
      </c>
      <c r="S56" s="14" t="inlineStr">
        <is>
          <t>Hartini</t>
        </is>
      </c>
      <c r="T56" s="14">
        <f>COUNTIF($B$2:$B$499,B56)</f>
        <v/>
      </c>
      <c r="U56" s="14">
        <f>COUNTIF($I$2:$I$499,I56)</f>
        <v/>
      </c>
      <c r="V56" s="14">
        <f>IF(ISNA(MATCH(B56,'Metabase Lookup'!$A:$A,0)),"Not found",IF(INDEX('Metabase Lookup'!$B:$B,MATCH(B56,'Metabase Lookup'!$A:$A,0))="","Pending",INDEX('Metabase Lookup'!$B:$B,MATCH(B56,'Metabase Lookup'!$A:$A,0))))</f>
        <v/>
      </c>
      <c r="W56" s="14">
        <f>IF(ISNA(MATCH(B56,'Metabase Lookup'!$A:$A,0)),"Not found",IF(INDEX('Metabase Lookup'!$C:$C,MATCH(B56,'Metabase Lookup'!$A:$A,0))="","Pending",INDEX('Metabase Lookup'!$C:$C,MATCH(B56,'Metabase Lookup'!$A:$A,0))))</f>
        <v/>
      </c>
      <c r="X56" s="14">
        <f>IF(ISNA(MATCH(B56,'Metabase Lookup'!$A:$A,0)),"",IF(INDEX('Metabase Lookup'!$D:$D,MATCH(B56,'Metabase Lookup'!$A:$A,0))="","",INDEX('Metabase Lookup'!$D:$D,MATCH(B56,'Metabase Lookup'!$A:$A,0))))</f>
        <v/>
      </c>
      <c r="Y56" s="14">
        <f>IF(ISNUMBER(W56),IF(W56&gt;0,"Yes","No"),"Pending")</f>
        <v/>
      </c>
      <c r="Z56" s="14" t="inlineStr">
        <is>
          <t>Driver not identified (OPS account)</t>
        </is>
      </c>
    </row>
    <row r="57">
      <c r="A57" s="14" t="n">
        <v>56</v>
      </c>
      <c r="B57" s="14" t="inlineStr">
        <is>
          <t>RYTDBZVLUL38BLH</t>
        </is>
      </c>
      <c r="C57" s="15" t="inlineStr">
        <is>
          <t>269312618813</t>
        </is>
      </c>
      <c r="D57" s="16" t="n">
        <v>46286.52625</v>
      </c>
      <c r="E57" s="17" t="n">
        <v>46286</v>
      </c>
      <c r="F57" s="14" t="inlineStr">
        <is>
          <t>Mon</t>
        </is>
      </c>
      <c r="G57" s="14" t="inlineStr">
        <is>
          <t>East MY</t>
        </is>
      </c>
      <c r="H57" s="14" t="inlineStr">
        <is>
          <t>SMM</t>
        </is>
      </c>
      <c r="I57" s="14" t="inlineStr">
        <is>
          <t>SMM - ID - NAZREI</t>
        </is>
      </c>
      <c r="J57" s="14" t="inlineStr">
        <is>
          <t>ID (named driver)</t>
        </is>
      </c>
      <c r="K57" s="14" t="inlineStr">
        <is>
          <t>91794491</t>
        </is>
      </c>
      <c r="L57" s="14" t="n">
        <v>1</v>
      </c>
      <c r="M57" s="14" t="inlineStr">
        <is>
          <t>LM</t>
        </is>
      </c>
      <c r="N57" s="14" t="inlineStr">
        <is>
          <t>Fake Success</t>
        </is>
      </c>
      <c r="O57" s="14" t="inlineStr"/>
      <c r="P57" s="14" t="inlineStr"/>
      <c r="Q57" s="14" t="inlineStr"/>
      <c r="R57" s="14" t="inlineStr">
        <is>
          <t>cust didnt received</t>
        </is>
      </c>
      <c r="S57" s="14" t="inlineStr">
        <is>
          <t>Abdul</t>
        </is>
      </c>
      <c r="T57" s="14">
        <f>COUNTIF($B$2:$B$499,B57)</f>
        <v/>
      </c>
      <c r="U57" s="14">
        <f>COUNTIF($I$2:$I$499,I57)</f>
        <v/>
      </c>
      <c r="V57" s="14">
        <f>IF(ISNA(MATCH(B57,'Metabase Lookup'!$A:$A,0)),"Not found",IF(INDEX('Metabase Lookup'!$B:$B,MATCH(B57,'Metabase Lookup'!$A:$A,0))="","Pending",INDEX('Metabase Lookup'!$B:$B,MATCH(B57,'Metabase Lookup'!$A:$A,0))))</f>
        <v/>
      </c>
      <c r="W57" s="14">
        <f>IF(ISNA(MATCH(B57,'Metabase Lookup'!$A:$A,0)),"Not found",IF(INDEX('Metabase Lookup'!$C:$C,MATCH(B57,'Metabase Lookup'!$A:$A,0))="","Pending",INDEX('Metabase Lookup'!$C:$C,MATCH(B57,'Metabase Lookup'!$A:$A,0))))</f>
        <v/>
      </c>
      <c r="X57" s="14">
        <f>IF(ISNA(MATCH(B57,'Metabase Lookup'!$A:$A,0)),"",IF(INDEX('Metabase Lookup'!$D:$D,MATCH(B57,'Metabase Lookup'!$A:$A,0))="","",INDEX('Metabase Lookup'!$D:$D,MATCH(B57,'Metabase Lookup'!$A:$A,0))))</f>
        <v/>
      </c>
      <c r="Y57" s="14">
        <f>IF(ISNUMBER(W57),IF(W57&gt;0,"Yes","No"),"Pending")</f>
        <v/>
      </c>
      <c r="Z57" s="14" t="inlineStr"/>
    </row>
    <row r="58">
      <c r="A58" s="14" t="n">
        <v>57</v>
      </c>
      <c r="B58" s="14" t="inlineStr">
        <is>
          <t>TNGEO202608261001243193</t>
        </is>
      </c>
      <c r="C58" s="15" t="inlineStr">
        <is>
          <t>263432601312</t>
        </is>
      </c>
      <c r="D58" s="16" t="n">
        <v>46286.5296875</v>
      </c>
      <c r="E58" s="17" t="n">
        <v>46286</v>
      </c>
      <c r="F58" s="14" t="inlineStr">
        <is>
          <t>Mon</t>
        </is>
      </c>
      <c r="G58" s="14" t="inlineStr">
        <is>
          <t>KV</t>
        </is>
      </c>
      <c r="H58" s="14" t="inlineStr">
        <is>
          <t>RWG</t>
        </is>
      </c>
      <c r="I58" s="14" t="inlineStr">
        <is>
          <t>RWG - HR - NUR ZULAIKHA</t>
        </is>
      </c>
      <c r="J58" s="14" t="inlineStr">
        <is>
          <t>HR (named)</t>
        </is>
      </c>
      <c r="K58" s="14" t="inlineStr">
        <is>
          <t>91783744</t>
        </is>
      </c>
      <c r="L58" s="14" t="n">
        <v>1</v>
      </c>
      <c r="M58" s="14" t="inlineStr">
        <is>
          <t>LM</t>
        </is>
      </c>
      <c r="N58" s="14" t="inlineStr">
        <is>
          <t>Fake Success</t>
        </is>
      </c>
      <c r="O58" s="14" t="inlineStr"/>
      <c r="P58" s="14" t="inlineStr"/>
      <c r="Q58" s="14" t="inlineStr"/>
      <c r="R58" s="14" t="inlineStr">
        <is>
          <t>cus receives parcel on 20/9 after made a complaint</t>
        </is>
      </c>
      <c r="S58" s="14" t="inlineStr">
        <is>
          <t>Yana</t>
        </is>
      </c>
      <c r="T58" s="14">
        <f>COUNTIF($B$2:$B$499,B58)</f>
        <v/>
      </c>
      <c r="U58" s="14">
        <f>COUNTIF($I$2:$I$499,I58)</f>
        <v/>
      </c>
      <c r="V58" s="14">
        <f>IF(ISNA(MATCH(B58,'Metabase Lookup'!$A:$A,0)),"Not found",IF(INDEX('Metabase Lookup'!$B:$B,MATCH(B58,'Metabase Lookup'!$A:$A,0))="","Pending",INDEX('Metabase Lookup'!$B:$B,MATCH(B58,'Metabase Lookup'!$A:$A,0))))</f>
        <v/>
      </c>
      <c r="W58" s="14">
        <f>IF(ISNA(MATCH(B58,'Metabase Lookup'!$A:$A,0)),"Not found",IF(INDEX('Metabase Lookup'!$C:$C,MATCH(B58,'Metabase Lookup'!$A:$A,0))="","Pending",INDEX('Metabase Lookup'!$C:$C,MATCH(B58,'Metabase Lookup'!$A:$A,0))))</f>
        <v/>
      </c>
      <c r="X58" s="14">
        <f>IF(ISNA(MATCH(B58,'Metabase Lookup'!$A:$A,0)),"",IF(INDEX('Metabase Lookup'!$D:$D,MATCH(B58,'Metabase Lookup'!$A:$A,0))="","",INDEX('Metabase Lookup'!$D:$D,MATCH(B58,'Metabase Lookup'!$A:$A,0))))</f>
        <v/>
      </c>
      <c r="Y58" s="14">
        <f>IF(ISNUMBER(W58),IF(W58&gt;0,"Yes","No"),"Pending")</f>
        <v/>
      </c>
      <c r="Z58" s="14" t="inlineStr"/>
    </row>
    <row r="59">
      <c r="A59" s="14" t="n">
        <v>58</v>
      </c>
      <c r="B59" s="14" t="inlineStr">
        <is>
          <t>NVMYZAFES000476028</t>
        </is>
      </c>
      <c r="C59" s="15" t="inlineStr">
        <is>
          <t>268732647378</t>
        </is>
      </c>
      <c r="D59" s="16" t="n">
        <v>46286.53064814815</v>
      </c>
      <c r="E59" s="17" t="n">
        <v>46286</v>
      </c>
      <c r="F59" s="14" t="inlineStr">
        <is>
          <t>Mon</t>
        </is>
      </c>
      <c r="G59" s="14" t="inlineStr">
        <is>
          <t>Southern</t>
        </is>
      </c>
      <c r="H59" s="14" t="inlineStr">
        <is>
          <t>AUS</t>
        </is>
      </c>
      <c r="I59" s="14" t="inlineStr">
        <is>
          <t>IZRAFIL KADIR</t>
        </is>
      </c>
      <c r="J59" s="14" t="inlineStr">
        <is>
          <t>Name only (no hub/code)</t>
        </is>
      </c>
      <c r="K59" s="14" t="inlineStr">
        <is>
          <t>91765015</t>
        </is>
      </c>
      <c r="L59" s="14" t="n">
        <v>1</v>
      </c>
      <c r="M59" s="14" t="inlineStr">
        <is>
          <t>LM</t>
        </is>
      </c>
      <c r="N59" s="14" t="inlineStr">
        <is>
          <t>CMI (Can't Make It)</t>
        </is>
      </c>
      <c r="O59" s="14" t="inlineStr"/>
      <c r="P59" s="14" t="inlineStr"/>
      <c r="Q59" s="14" t="inlineStr"/>
      <c r="R59" s="14" t="inlineStr">
        <is>
          <t>FORCED FAILURE</t>
        </is>
      </c>
      <c r="S59" s="14" t="inlineStr">
        <is>
          <t>Naveen</t>
        </is>
      </c>
      <c r="T59" s="14">
        <f>COUNTIF($B$2:$B$499,B59)</f>
        <v/>
      </c>
      <c r="U59" s="14">
        <f>COUNTIF($I$2:$I$499,I59)</f>
        <v/>
      </c>
      <c r="V59" s="14">
        <f>IF(ISNA(MATCH(B59,'Metabase Lookup'!$A:$A,0)),"Not found",IF(INDEX('Metabase Lookup'!$B:$B,MATCH(B59,'Metabase Lookup'!$A:$A,0))="","Pending",INDEX('Metabase Lookup'!$B:$B,MATCH(B59,'Metabase Lookup'!$A:$A,0))))</f>
        <v/>
      </c>
      <c r="W59" s="14">
        <f>IF(ISNA(MATCH(B59,'Metabase Lookup'!$A:$A,0)),"Not found",IF(INDEX('Metabase Lookup'!$C:$C,MATCH(B59,'Metabase Lookup'!$A:$A,0))="","Pending",INDEX('Metabase Lookup'!$C:$C,MATCH(B59,'Metabase Lookup'!$A:$A,0))))</f>
        <v/>
      </c>
      <c r="X59" s="14">
        <f>IF(ISNA(MATCH(B59,'Metabase Lookup'!$A:$A,0)),"",IF(INDEX('Metabase Lookup'!$D:$D,MATCH(B59,'Metabase Lookup'!$A:$A,0))="","",INDEX('Metabase Lookup'!$D:$D,MATCH(B59,'Metabase Lookup'!$A:$A,0))))</f>
        <v/>
      </c>
      <c r="Y59" s="14">
        <f>IF(ISNUMBER(W59),IF(W59&gt;0,"Yes","No"),"Pending")</f>
        <v/>
      </c>
      <c r="Z59" s="14" t="inlineStr">
        <is>
          <t>TID logged more than once</t>
        </is>
      </c>
    </row>
    <row r="60">
      <c r="A60" s="14" t="n">
        <v>59</v>
      </c>
      <c r="B60" s="14" t="inlineStr">
        <is>
          <t>NVMYDOCMY000088025</t>
        </is>
      </c>
      <c r="C60" s="15" t="inlineStr">
        <is>
          <t>264822646933</t>
        </is>
      </c>
      <c r="D60" s="16" t="n">
        <v>46286.53552083333</v>
      </c>
      <c r="E60" s="17" t="n">
        <v>46286</v>
      </c>
      <c r="F60" s="14" t="inlineStr">
        <is>
          <t>Mon</t>
        </is>
      </c>
      <c r="G60" s="14" t="inlineStr">
        <is>
          <t>South West</t>
        </is>
      </c>
      <c r="H60" s="14" t="inlineStr">
        <is>
          <t>BHU</t>
        </is>
      </c>
      <c r="I60" s="14" t="inlineStr">
        <is>
          <t>BHU - OPS - IMAN</t>
        </is>
      </c>
      <c r="J60" s="14" t="inlineStr">
        <is>
          <t>OPS (generic hub account)</t>
        </is>
      </c>
      <c r="K60" s="14" t="inlineStr">
        <is>
          <t>91835659</t>
        </is>
      </c>
      <c r="L60" s="14" t="n">
        <v>1</v>
      </c>
      <c r="M60" s="14" t="inlineStr">
        <is>
          <t>LM</t>
        </is>
      </c>
      <c r="N60" s="14" t="inlineStr">
        <is>
          <t>Fake Fail</t>
        </is>
      </c>
      <c r="O60" s="14" t="inlineStr">
        <is>
          <t>Invalid POD (no detail)</t>
        </is>
      </c>
      <c r="P60" s="14" t="inlineStr">
        <is>
          <t>No</t>
        </is>
      </c>
      <c r="Q60" s="14" t="inlineStr">
        <is>
          <t>No</t>
        </is>
      </c>
      <c r="R60" s="14" t="inlineStr">
        <is>
          <t>Invalid POD</t>
        </is>
      </c>
      <c r="S60" s="14" t="inlineStr">
        <is>
          <t>Naveen</t>
        </is>
      </c>
      <c r="T60" s="14">
        <f>COUNTIF($B$2:$B$499,B60)</f>
        <v/>
      </c>
      <c r="U60" s="14">
        <f>COUNTIF($I$2:$I$499,I60)</f>
        <v/>
      </c>
      <c r="V60" s="14">
        <f>IF(ISNA(MATCH(B60,'Metabase Lookup'!$A:$A,0)),"Not found",IF(INDEX('Metabase Lookup'!$B:$B,MATCH(B60,'Metabase Lookup'!$A:$A,0))="","Pending",INDEX('Metabase Lookup'!$B:$B,MATCH(B60,'Metabase Lookup'!$A:$A,0))))</f>
        <v/>
      </c>
      <c r="W60" s="14">
        <f>IF(ISNA(MATCH(B60,'Metabase Lookup'!$A:$A,0)),"Not found",IF(INDEX('Metabase Lookup'!$C:$C,MATCH(B60,'Metabase Lookup'!$A:$A,0))="","Pending",INDEX('Metabase Lookup'!$C:$C,MATCH(B60,'Metabase Lookup'!$A:$A,0))))</f>
        <v/>
      </c>
      <c r="X60" s="14">
        <f>IF(ISNA(MATCH(B60,'Metabase Lookup'!$A:$A,0)),"",IF(INDEX('Metabase Lookup'!$D:$D,MATCH(B60,'Metabase Lookup'!$A:$A,0))="","",INDEX('Metabase Lookup'!$D:$D,MATCH(B60,'Metabase Lookup'!$A:$A,0))))</f>
        <v/>
      </c>
      <c r="Y60" s="14">
        <f>IF(ISNUMBER(W60),IF(W60&gt;0,"Yes","No"),"Pending")</f>
        <v/>
      </c>
      <c r="Z60" s="14" t="inlineStr">
        <is>
          <t>Driver not identified (OPS account)</t>
        </is>
      </c>
    </row>
    <row r="61">
      <c r="A61" s="14" t="n">
        <v>60</v>
      </c>
      <c r="B61" s="14" t="inlineStr">
        <is>
          <t>TNGDV2609046829976170</t>
        </is>
      </c>
      <c r="C61" s="15" t="inlineStr">
        <is>
          <t>266532600357</t>
        </is>
      </c>
      <c r="D61" s="16" t="n">
        <v>46286.53690972222</v>
      </c>
      <c r="E61" s="17" t="n">
        <v>46286</v>
      </c>
      <c r="F61" s="14" t="inlineStr">
        <is>
          <t>Mon</t>
        </is>
      </c>
      <c r="G61" s="14" t="inlineStr">
        <is>
          <t>East MY</t>
        </is>
      </c>
      <c r="H61" s="14" t="inlineStr">
        <is>
          <t>BKW</t>
        </is>
      </c>
      <c r="I61" s="14" t="inlineStr">
        <is>
          <t>KAMARUL BIN AWANG HARUN</t>
        </is>
      </c>
      <c r="J61" s="14" t="inlineStr">
        <is>
          <t>Name only (no hub/code)</t>
        </is>
      </c>
      <c r="K61" s="14" t="inlineStr">
        <is>
          <t>91781626</t>
        </is>
      </c>
      <c r="L61" s="14" t="n">
        <v>1</v>
      </c>
      <c r="M61" s="14" t="inlineStr">
        <is>
          <t>LM</t>
        </is>
      </c>
      <c r="N61" s="14" t="inlineStr">
        <is>
          <t>Deliver to Wrong Address</t>
        </is>
      </c>
      <c r="O61" s="14" t="inlineStr"/>
      <c r="P61" s="14" t="inlineStr"/>
      <c r="Q61" s="14" t="inlineStr"/>
      <c r="R61" s="14" t="inlineStr">
        <is>
          <t>driver del to wrong address, revert completed on 2026-09-21 10:00:07</t>
        </is>
      </c>
      <c r="S61" s="14" t="inlineStr">
        <is>
          <t>Yana</t>
        </is>
      </c>
      <c r="T61" s="14">
        <f>COUNTIF($B$2:$B$499,B61)</f>
        <v/>
      </c>
      <c r="U61" s="14">
        <f>COUNTIF($I$2:$I$499,I61)</f>
        <v/>
      </c>
      <c r="V61" s="14">
        <f>IF(ISNA(MATCH(B61,'Metabase Lookup'!$A:$A,0)),"Not found",IF(INDEX('Metabase Lookup'!$B:$B,MATCH(B61,'Metabase Lookup'!$A:$A,0))="","Pending",INDEX('Metabase Lookup'!$B:$B,MATCH(B61,'Metabase Lookup'!$A:$A,0))))</f>
        <v/>
      </c>
      <c r="W61" s="14">
        <f>IF(ISNA(MATCH(B61,'Metabase Lookup'!$A:$A,0)),"Not found",IF(INDEX('Metabase Lookup'!$C:$C,MATCH(B61,'Metabase Lookup'!$A:$A,0))="","Pending",INDEX('Metabase Lookup'!$C:$C,MATCH(B61,'Metabase Lookup'!$A:$A,0))))</f>
        <v/>
      </c>
      <c r="X61" s="14">
        <f>IF(ISNA(MATCH(B61,'Metabase Lookup'!$A:$A,0)),"",IF(INDEX('Metabase Lookup'!$D:$D,MATCH(B61,'Metabase Lookup'!$A:$A,0))="","",INDEX('Metabase Lookup'!$D:$D,MATCH(B61,'Metabase Lookup'!$A:$A,0))))</f>
        <v/>
      </c>
      <c r="Y61" s="14">
        <f>IF(ISNUMBER(W61),IF(W61&gt;0,"Yes","No"),"Pending")</f>
        <v/>
      </c>
      <c r="Z61" s="14" t="inlineStr"/>
    </row>
    <row r="62">
      <c r="A62" s="14" t="n">
        <v>61</v>
      </c>
      <c r="B62" s="14" t="inlineStr">
        <is>
          <t>NVMY47403000011228</t>
        </is>
      </c>
      <c r="C62" s="15" t="inlineStr">
        <is>
          <t>263752649404</t>
        </is>
      </c>
      <c r="D62" s="16" t="n">
        <v>46286.54114583333</v>
      </c>
      <c r="E62" s="17" t="n">
        <v>46286</v>
      </c>
      <c r="F62" s="14" t="inlineStr">
        <is>
          <t>Mon</t>
        </is>
      </c>
      <c r="G62" s="14" t="inlineStr">
        <is>
          <t>Northern</t>
        </is>
      </c>
      <c r="H62" s="14" t="inlineStr">
        <is>
          <t>BTS</t>
        </is>
      </c>
      <c r="I62" s="14" t="inlineStr">
        <is>
          <t>SELF COLLECT BERTAM PUTRA | BTS - OPS - PINANG TUNGGAL</t>
        </is>
      </c>
      <c r="J62" s="14" t="inlineStr">
        <is>
          <t>Multiple drivers</t>
        </is>
      </c>
      <c r="K62" s="14" t="inlineStr">
        <is>
          <t>91781905, 91845173</t>
        </is>
      </c>
      <c r="L62" s="14" t="n">
        <v>2</v>
      </c>
      <c r="M62" s="14" t="inlineStr">
        <is>
          <t>LM</t>
        </is>
      </c>
      <c r="N62" s="14" t="inlineStr">
        <is>
          <t>Fake Fail</t>
        </is>
      </c>
      <c r="O62" s="14" t="inlineStr">
        <is>
          <t>Customer disputes attempt</t>
        </is>
      </c>
      <c r="P62" s="14" t="inlineStr">
        <is>
          <t>No</t>
        </is>
      </c>
      <c r="Q62" s="14" t="inlineStr">
        <is>
          <t>No</t>
        </is>
      </c>
      <c r="R62" s="14" t="inlineStr">
        <is>
          <t>cust claim did not receive any call/ws from driver</t>
        </is>
      </c>
      <c r="S62" s="14" t="inlineStr">
        <is>
          <t>Naveen</t>
        </is>
      </c>
      <c r="T62" s="14">
        <f>COUNTIF($B$2:$B$499,B62)</f>
        <v/>
      </c>
      <c r="U62" s="14">
        <f>COUNTIF($I$2:$I$499,I62)</f>
        <v/>
      </c>
      <c r="V62" s="14">
        <f>IF(ISNA(MATCH(B62,'Metabase Lookup'!$A:$A,0)),"Not found",IF(INDEX('Metabase Lookup'!$B:$B,MATCH(B62,'Metabase Lookup'!$A:$A,0))="","Pending",INDEX('Metabase Lookup'!$B:$B,MATCH(B62,'Metabase Lookup'!$A:$A,0))))</f>
        <v/>
      </c>
      <c r="W62" s="14">
        <f>IF(ISNA(MATCH(B62,'Metabase Lookup'!$A:$A,0)),"Not found",IF(INDEX('Metabase Lookup'!$C:$C,MATCH(B62,'Metabase Lookup'!$A:$A,0))="","Pending",INDEX('Metabase Lookup'!$C:$C,MATCH(B62,'Metabase Lookup'!$A:$A,0))))</f>
        <v/>
      </c>
      <c r="X62" s="14">
        <f>IF(ISNA(MATCH(B62,'Metabase Lookup'!$A:$A,0)),"",IF(INDEX('Metabase Lookup'!$D:$D,MATCH(B62,'Metabase Lookup'!$A:$A,0))="","",INDEX('Metabase Lookup'!$D:$D,MATCH(B62,'Metabase Lookup'!$A:$A,0))))</f>
        <v/>
      </c>
      <c r="Y62" s="14">
        <f>IF(ISNUMBER(W62),IF(W62&gt;0,"Yes","No"),"Pending")</f>
        <v/>
      </c>
      <c r="Z62" s="14" t="inlineStr">
        <is>
          <t>Multiple drivers in one row; Multiple route IDs</t>
        </is>
      </c>
    </row>
    <row r="63">
      <c r="A63" s="14" t="n">
        <v>62</v>
      </c>
      <c r="B63" s="14" t="inlineStr">
        <is>
          <t>PETSMPTC243536</t>
        </is>
      </c>
      <c r="C63" s="15" t="inlineStr">
        <is>
          <t>264502648076</t>
        </is>
      </c>
      <c r="D63" s="16" t="n">
        <v>46286.5440625</v>
      </c>
      <c r="E63" s="17" t="n">
        <v>46286</v>
      </c>
      <c r="F63" s="14" t="inlineStr">
        <is>
          <t>Mon</t>
        </is>
      </c>
      <c r="G63" s="14" t="inlineStr">
        <is>
          <t>Southern</t>
        </is>
      </c>
      <c r="H63" s="14" t="inlineStr">
        <is>
          <t>NSJ</t>
        </is>
      </c>
      <c r="I63" s="14" t="inlineStr">
        <is>
          <t>OPS - NSJ</t>
        </is>
      </c>
      <c r="J63" s="14" t="inlineStr">
        <is>
          <t>OPS (generic hub account)</t>
        </is>
      </c>
      <c r="K63" s="14" t="inlineStr">
        <is>
          <t>91844859</t>
        </is>
      </c>
      <c r="L63" s="14" t="n">
        <v>1</v>
      </c>
      <c r="M63" s="14" t="inlineStr">
        <is>
          <t>LM</t>
        </is>
      </c>
      <c r="N63" s="14" t="inlineStr">
        <is>
          <t>Fake Fail</t>
        </is>
      </c>
      <c r="O63" s="14" t="inlineStr">
        <is>
          <t>Invalid POD (no detail)</t>
        </is>
      </c>
      <c r="P63" s="14" t="inlineStr">
        <is>
          <t>No</t>
        </is>
      </c>
      <c r="Q63" s="14" t="inlineStr">
        <is>
          <t>No</t>
        </is>
      </c>
      <c r="R63" s="14" t="inlineStr">
        <is>
          <t>Cust havent rec any call and POD invalid</t>
        </is>
      </c>
      <c r="S63" s="14" t="inlineStr">
        <is>
          <t>Naveen</t>
        </is>
      </c>
      <c r="T63" s="14">
        <f>COUNTIF($B$2:$B$499,B63)</f>
        <v/>
      </c>
      <c r="U63" s="14">
        <f>COUNTIF($I$2:$I$499,I63)</f>
        <v/>
      </c>
      <c r="V63" s="14">
        <f>IF(ISNA(MATCH(B63,'Metabase Lookup'!$A:$A,0)),"Not found",IF(INDEX('Metabase Lookup'!$B:$B,MATCH(B63,'Metabase Lookup'!$A:$A,0))="","Pending",INDEX('Metabase Lookup'!$B:$B,MATCH(B63,'Metabase Lookup'!$A:$A,0))))</f>
        <v/>
      </c>
      <c r="W63" s="14">
        <f>IF(ISNA(MATCH(B63,'Metabase Lookup'!$A:$A,0)),"Not found",IF(INDEX('Metabase Lookup'!$C:$C,MATCH(B63,'Metabase Lookup'!$A:$A,0))="","Pending",INDEX('Metabase Lookup'!$C:$C,MATCH(B63,'Metabase Lookup'!$A:$A,0))))</f>
        <v/>
      </c>
      <c r="X63" s="14">
        <f>IF(ISNA(MATCH(B63,'Metabase Lookup'!$A:$A,0)),"",IF(INDEX('Metabase Lookup'!$D:$D,MATCH(B63,'Metabase Lookup'!$A:$A,0))="","",INDEX('Metabase Lookup'!$D:$D,MATCH(B63,'Metabase Lookup'!$A:$A,0))))</f>
        <v/>
      </c>
      <c r="Y63" s="14">
        <f>IF(ISNUMBER(W63),IF(W63&gt;0,"Yes","No"),"Pending")</f>
        <v/>
      </c>
      <c r="Z63" s="14" t="inlineStr">
        <is>
          <t>Driver not identified (OPS account)</t>
        </is>
      </c>
    </row>
    <row r="64">
      <c r="A64" s="14" t="n">
        <v>63</v>
      </c>
      <c r="B64" s="14" t="inlineStr">
        <is>
          <t>TNGDV2608316789446580</t>
        </is>
      </c>
      <c r="C64" s="15" t="inlineStr">
        <is>
          <t>263822641704</t>
        </is>
      </c>
      <c r="D64" s="16" t="n">
        <v>46286.54491898148</v>
      </c>
      <c r="E64" s="17" t="n">
        <v>46286</v>
      </c>
      <c r="F64" s="14" t="inlineStr">
        <is>
          <t>Mon</t>
        </is>
      </c>
      <c r="G64" s="14" t="inlineStr">
        <is>
          <t>KV</t>
        </is>
      </c>
      <c r="H64" s="14" t="inlineStr">
        <is>
          <t>CJY</t>
        </is>
      </c>
      <c r="I64" s="14" t="inlineStr">
        <is>
          <t>CJY - ID - RICHARD DASS</t>
        </is>
      </c>
      <c r="J64" s="14" t="inlineStr">
        <is>
          <t>ID (named driver)</t>
        </is>
      </c>
      <c r="K64" s="14" t="inlineStr">
        <is>
          <t>91714565</t>
        </is>
      </c>
      <c r="L64" s="14" t="n">
        <v>1</v>
      </c>
      <c r="M64" s="14" t="inlineStr">
        <is>
          <t>LM</t>
        </is>
      </c>
      <c r="N64" s="14" t="inlineStr">
        <is>
          <t>Deliver to Wrong Address</t>
        </is>
      </c>
      <c r="O64" s="14" t="inlineStr"/>
      <c r="P64" s="14" t="inlineStr"/>
      <c r="Q64" s="14" t="inlineStr"/>
      <c r="R64" s="14" t="inlineStr">
        <is>
          <t>Driver del to wrong house, cust cannot recognize the address as in POD</t>
        </is>
      </c>
      <c r="S64" s="14" t="inlineStr">
        <is>
          <t>Syak</t>
        </is>
      </c>
      <c r="T64" s="14">
        <f>COUNTIF($B$2:$B$499,B64)</f>
        <v/>
      </c>
      <c r="U64" s="14">
        <f>COUNTIF($I$2:$I$499,I64)</f>
        <v/>
      </c>
      <c r="V64" s="14">
        <f>IF(ISNA(MATCH(B64,'Metabase Lookup'!$A:$A,0)),"Not found",IF(INDEX('Metabase Lookup'!$B:$B,MATCH(B64,'Metabase Lookup'!$A:$A,0))="","Pending",INDEX('Metabase Lookup'!$B:$B,MATCH(B64,'Metabase Lookup'!$A:$A,0))))</f>
        <v/>
      </c>
      <c r="W64" s="14">
        <f>IF(ISNA(MATCH(B64,'Metabase Lookup'!$A:$A,0)),"Not found",IF(INDEX('Metabase Lookup'!$C:$C,MATCH(B64,'Metabase Lookup'!$A:$A,0))="","Pending",INDEX('Metabase Lookup'!$C:$C,MATCH(B64,'Metabase Lookup'!$A:$A,0))))</f>
        <v/>
      </c>
      <c r="X64" s="14">
        <f>IF(ISNA(MATCH(B64,'Metabase Lookup'!$A:$A,0)),"",IF(INDEX('Metabase Lookup'!$D:$D,MATCH(B64,'Metabase Lookup'!$A:$A,0))="","",INDEX('Metabase Lookup'!$D:$D,MATCH(B64,'Metabase Lookup'!$A:$A,0))))</f>
        <v/>
      </c>
      <c r="Y64" s="14">
        <f>IF(ISNUMBER(W64),IF(W64&gt;0,"Yes","No"),"Pending")</f>
        <v/>
      </c>
      <c r="Z64" s="14" t="inlineStr"/>
    </row>
    <row r="65">
      <c r="A65" s="14" t="n">
        <v>64</v>
      </c>
      <c r="B65" s="14" t="inlineStr">
        <is>
          <t>AEMYA000629320</t>
        </is>
      </c>
      <c r="C65" s="15" t="inlineStr">
        <is>
          <t>268972641628</t>
        </is>
      </c>
      <c r="D65" s="16" t="n">
        <v>46286.54605324074</v>
      </c>
      <c r="E65" s="17" t="n">
        <v>46286</v>
      </c>
      <c r="F65" s="14" t="inlineStr">
        <is>
          <t>Mon</t>
        </is>
      </c>
      <c r="G65" s="14" t="inlineStr">
        <is>
          <t>KV</t>
        </is>
      </c>
      <c r="H65" s="14" t="inlineStr">
        <is>
          <t>OUG</t>
        </is>
      </c>
      <c r="I65" s="14" t="inlineStr">
        <is>
          <t>OPS - OUG</t>
        </is>
      </c>
      <c r="J65" s="14" t="inlineStr">
        <is>
          <t>OPS (generic hub account)</t>
        </is>
      </c>
      <c r="K65" s="14" t="inlineStr">
        <is>
          <t>91845014</t>
        </is>
      </c>
      <c r="L65" s="14" t="n">
        <v>1</v>
      </c>
      <c r="M65" s="14" t="inlineStr">
        <is>
          <t>LM</t>
        </is>
      </c>
      <c r="N65" s="14" t="inlineStr">
        <is>
          <t>Fake Fail</t>
        </is>
      </c>
      <c r="O65" s="14" t="inlineStr">
        <is>
          <t>Customer disputes attempt</t>
        </is>
      </c>
      <c r="P65" s="14" t="inlineStr">
        <is>
          <t>No</t>
        </is>
      </c>
      <c r="Q65" s="14" t="inlineStr">
        <is>
          <t>No</t>
        </is>
      </c>
      <c r="R65" s="14" t="inlineStr">
        <is>
          <t>not receive any call/ws from driver</t>
        </is>
      </c>
      <c r="S65" s="14" t="inlineStr">
        <is>
          <t>Naveen</t>
        </is>
      </c>
      <c r="T65" s="14">
        <f>COUNTIF($B$2:$B$499,B65)</f>
        <v/>
      </c>
      <c r="U65" s="14">
        <f>COUNTIF($I$2:$I$499,I65)</f>
        <v/>
      </c>
      <c r="V65" s="14">
        <f>IF(ISNA(MATCH(B65,'Metabase Lookup'!$A:$A,0)),"Not found",IF(INDEX('Metabase Lookup'!$B:$B,MATCH(B65,'Metabase Lookup'!$A:$A,0))="","Pending",INDEX('Metabase Lookup'!$B:$B,MATCH(B65,'Metabase Lookup'!$A:$A,0))))</f>
        <v/>
      </c>
      <c r="W65" s="14">
        <f>IF(ISNA(MATCH(B65,'Metabase Lookup'!$A:$A,0)),"Not found",IF(INDEX('Metabase Lookup'!$C:$C,MATCH(B65,'Metabase Lookup'!$A:$A,0))="","Pending",INDEX('Metabase Lookup'!$C:$C,MATCH(B65,'Metabase Lookup'!$A:$A,0))))</f>
        <v/>
      </c>
      <c r="X65" s="14">
        <f>IF(ISNA(MATCH(B65,'Metabase Lookup'!$A:$A,0)),"",IF(INDEX('Metabase Lookup'!$D:$D,MATCH(B65,'Metabase Lookup'!$A:$A,0))="","",INDEX('Metabase Lookup'!$D:$D,MATCH(B65,'Metabase Lookup'!$A:$A,0))))</f>
        <v/>
      </c>
      <c r="Y65" s="14">
        <f>IF(ISNUMBER(W65),IF(W65&gt;0,"Yes","No"),"Pending")</f>
        <v/>
      </c>
      <c r="Z65" s="14" t="inlineStr">
        <is>
          <t>Driver not identified (OPS account)</t>
        </is>
      </c>
    </row>
    <row r="66">
      <c r="A66" s="14" t="n">
        <v>65</v>
      </c>
      <c r="B66" s="14" t="inlineStr">
        <is>
          <t>NVMY45537000029805</t>
        </is>
      </c>
      <c r="C66" s="15" t="inlineStr">
        <is>
          <t>261952642138</t>
        </is>
      </c>
      <c r="D66" s="16" t="n">
        <v>46286.54942129629</v>
      </c>
      <c r="E66" s="17" t="n">
        <v>46286</v>
      </c>
      <c r="F66" s="14" t="inlineStr">
        <is>
          <t>Mon</t>
        </is>
      </c>
      <c r="G66" s="14" t="inlineStr">
        <is>
          <t>KV</t>
        </is>
      </c>
      <c r="H66" s="14" t="inlineStr">
        <is>
          <t>CJY</t>
        </is>
      </c>
      <c r="I66" s="14" t="inlineStr">
        <is>
          <t>OPS - CJY - MUHAMMAD ARIF</t>
        </is>
      </c>
      <c r="J66" s="14" t="inlineStr">
        <is>
          <t>OPS (generic hub account)</t>
        </is>
      </c>
      <c r="K66" s="14" t="inlineStr">
        <is>
          <t>91845024</t>
        </is>
      </c>
      <c r="L66" s="14" t="n">
        <v>1</v>
      </c>
      <c r="M66" s="14" t="inlineStr">
        <is>
          <t>LM</t>
        </is>
      </c>
      <c r="N66" s="14" t="inlineStr">
        <is>
          <t>Fake Fail</t>
        </is>
      </c>
      <c r="O66" s="14" t="inlineStr">
        <is>
          <t>Call not connected / no response</t>
        </is>
      </c>
      <c r="P66" s="14" t="inlineStr">
        <is>
          <t>Yes</t>
        </is>
      </c>
      <c r="Q66" s="14" t="inlineStr">
        <is>
          <t>No</t>
        </is>
      </c>
      <c r="R66" s="14" t="inlineStr">
        <is>
          <t>invalid call log same minute invalid location</t>
        </is>
      </c>
      <c r="S66" s="14" t="inlineStr">
        <is>
          <t>Ninja Hadif</t>
        </is>
      </c>
      <c r="T66" s="14">
        <f>COUNTIF($B$2:$B$499,B66)</f>
        <v/>
      </c>
      <c r="U66" s="14">
        <f>COUNTIF($I$2:$I$499,I66)</f>
        <v/>
      </c>
      <c r="V66" s="14">
        <f>IF(ISNA(MATCH(B66,'Metabase Lookup'!$A:$A,0)),"Not found",IF(INDEX('Metabase Lookup'!$B:$B,MATCH(B66,'Metabase Lookup'!$A:$A,0))="","Pending",INDEX('Metabase Lookup'!$B:$B,MATCH(B66,'Metabase Lookup'!$A:$A,0))))</f>
        <v/>
      </c>
      <c r="W66" s="14">
        <f>IF(ISNA(MATCH(B66,'Metabase Lookup'!$A:$A,0)),"Not found",IF(INDEX('Metabase Lookup'!$C:$C,MATCH(B66,'Metabase Lookup'!$A:$A,0))="","Pending",INDEX('Metabase Lookup'!$C:$C,MATCH(B66,'Metabase Lookup'!$A:$A,0))))</f>
        <v/>
      </c>
      <c r="X66" s="14">
        <f>IF(ISNA(MATCH(B66,'Metabase Lookup'!$A:$A,0)),"",IF(INDEX('Metabase Lookup'!$D:$D,MATCH(B66,'Metabase Lookup'!$A:$A,0))="","",INDEX('Metabase Lookup'!$D:$D,MATCH(B66,'Metabase Lookup'!$A:$A,0))))</f>
        <v/>
      </c>
      <c r="Y66" s="14">
        <f>IF(ISNUMBER(W66),IF(W66&gt;0,"Yes","No"),"Pending")</f>
        <v/>
      </c>
      <c r="Z66" s="14" t="inlineStr">
        <is>
          <t>TID had stray spaces/line breaks (cleaned); Driver not identified (OPS account)</t>
        </is>
      </c>
    </row>
    <row r="67">
      <c r="A67" s="14" t="n">
        <v>66</v>
      </c>
      <c r="B67" s="14" t="inlineStr">
        <is>
          <t>NVMYCRGMABP3853537</t>
        </is>
      </c>
      <c r="C67" s="15" t="inlineStr">
        <is>
          <t>261312640905</t>
        </is>
      </c>
      <c r="D67" s="16" t="n">
        <v>46286.55310185185</v>
      </c>
      <c r="E67" s="17" t="n">
        <v>46286</v>
      </c>
      <c r="F67" s="14" t="inlineStr">
        <is>
          <t>Mon</t>
        </is>
      </c>
      <c r="G67" s="14" t="inlineStr">
        <is>
          <t>KV</t>
        </is>
      </c>
      <c r="H67" s="14" t="inlineStr">
        <is>
          <t>SHA</t>
        </is>
      </c>
      <c r="I67" s="14" t="inlineStr">
        <is>
          <t>NOOR IDAYU</t>
        </is>
      </c>
      <c r="J67" s="14" t="inlineStr">
        <is>
          <t>Name only (no hub/code)</t>
        </is>
      </c>
      <c r="K67" s="14" t="inlineStr">
        <is>
          <t>91809688</t>
        </is>
      </c>
      <c r="L67" s="14" t="n">
        <v>1</v>
      </c>
      <c r="M67" s="14" t="inlineStr">
        <is>
          <t>LM</t>
        </is>
      </c>
      <c r="N67" s="14" t="inlineStr">
        <is>
          <t>Deliver to Wrong Address</t>
        </is>
      </c>
      <c r="O67" s="14" t="inlineStr"/>
      <c r="P67" s="14" t="inlineStr"/>
      <c r="Q67" s="14" t="inlineStr"/>
      <c r="R67" s="14" t="inlineStr">
        <is>
          <t>parcel deliver to wrong mailbox - revert completed on 2026-09-21 12:11:27</t>
        </is>
      </c>
      <c r="S67" s="14" t="inlineStr">
        <is>
          <t>Yana</t>
        </is>
      </c>
      <c r="T67" s="14">
        <f>COUNTIF($B$2:$B$499,B67)</f>
        <v/>
      </c>
      <c r="U67" s="14">
        <f>COUNTIF($I$2:$I$499,I67)</f>
        <v/>
      </c>
      <c r="V67" s="14">
        <f>IF(ISNA(MATCH(B67,'Metabase Lookup'!$A:$A,0)),"Not found",IF(INDEX('Metabase Lookup'!$B:$B,MATCH(B67,'Metabase Lookup'!$A:$A,0))="","Pending",INDEX('Metabase Lookup'!$B:$B,MATCH(B67,'Metabase Lookup'!$A:$A,0))))</f>
        <v/>
      </c>
      <c r="W67" s="14">
        <f>IF(ISNA(MATCH(B67,'Metabase Lookup'!$A:$A,0)),"Not found",IF(INDEX('Metabase Lookup'!$C:$C,MATCH(B67,'Metabase Lookup'!$A:$A,0))="","Pending",INDEX('Metabase Lookup'!$C:$C,MATCH(B67,'Metabase Lookup'!$A:$A,0))))</f>
        <v/>
      </c>
      <c r="X67" s="14">
        <f>IF(ISNA(MATCH(B67,'Metabase Lookup'!$A:$A,0)),"",IF(INDEX('Metabase Lookup'!$D:$D,MATCH(B67,'Metabase Lookup'!$A:$A,0))="","",INDEX('Metabase Lookup'!$D:$D,MATCH(B67,'Metabase Lookup'!$A:$A,0))))</f>
        <v/>
      </c>
      <c r="Y67" s="14">
        <f>IF(ISNUMBER(W67),IF(W67&gt;0,"Yes","No"),"Pending")</f>
        <v/>
      </c>
      <c r="Z67" s="14" t="inlineStr"/>
    </row>
    <row r="68">
      <c r="A68" s="14" t="n">
        <v>67</v>
      </c>
      <c r="B68" s="14" t="inlineStr">
        <is>
          <t>WNJMY00535212908</t>
        </is>
      </c>
      <c r="C68" s="15" t="inlineStr">
        <is>
          <t>263842640728</t>
        </is>
      </c>
      <c r="D68" s="16" t="n">
        <v>46286.55615740741</v>
      </c>
      <c r="E68" s="17" t="n">
        <v>46286</v>
      </c>
      <c r="F68" s="14" t="inlineStr">
        <is>
          <t>Mon</t>
        </is>
      </c>
      <c r="G68" s="14" t="inlineStr">
        <is>
          <t>East MY</t>
        </is>
      </c>
      <c r="H68" s="14" t="inlineStr">
        <is>
          <t>BKW</t>
        </is>
      </c>
      <c r="I68" s="14" t="inlineStr">
        <is>
          <t>BKW - OPS - SELFCOLLECT</t>
        </is>
      </c>
      <c r="J68" s="14" t="inlineStr">
        <is>
          <t>OPS (generic hub account)</t>
        </is>
      </c>
      <c r="K68" s="14" t="inlineStr">
        <is>
          <t>91845012</t>
        </is>
      </c>
      <c r="L68" s="14" t="n">
        <v>1</v>
      </c>
      <c r="M68" s="14" t="inlineStr">
        <is>
          <t>LM</t>
        </is>
      </c>
      <c r="N68" s="14" t="inlineStr">
        <is>
          <t>Fake Fail</t>
        </is>
      </c>
      <c r="O68" s="14" t="inlineStr">
        <is>
          <t>Invalid POD (no detail)</t>
        </is>
      </c>
      <c r="P68" s="14" t="inlineStr">
        <is>
          <t>No</t>
        </is>
      </c>
      <c r="Q68" s="14" t="inlineStr">
        <is>
          <t>No</t>
        </is>
      </c>
      <c r="R68" s="14" t="inlineStr">
        <is>
          <t>invalid POD</t>
        </is>
      </c>
      <c r="S68" s="14" t="inlineStr">
        <is>
          <t>Naveen</t>
        </is>
      </c>
      <c r="T68" s="14">
        <f>COUNTIF($B$2:$B$499,B68)</f>
        <v/>
      </c>
      <c r="U68" s="14">
        <f>COUNTIF($I$2:$I$499,I68)</f>
        <v/>
      </c>
      <c r="V68" s="14">
        <f>IF(ISNA(MATCH(B68,'Metabase Lookup'!$A:$A,0)),"Not found",IF(INDEX('Metabase Lookup'!$B:$B,MATCH(B68,'Metabase Lookup'!$A:$A,0))="","Pending",INDEX('Metabase Lookup'!$B:$B,MATCH(B68,'Metabase Lookup'!$A:$A,0))))</f>
        <v/>
      </c>
      <c r="W68" s="14">
        <f>IF(ISNA(MATCH(B68,'Metabase Lookup'!$A:$A,0)),"Not found",IF(INDEX('Metabase Lookup'!$C:$C,MATCH(B68,'Metabase Lookup'!$A:$A,0))="","Pending",INDEX('Metabase Lookup'!$C:$C,MATCH(B68,'Metabase Lookup'!$A:$A,0))))</f>
        <v/>
      </c>
      <c r="X68" s="14">
        <f>IF(ISNA(MATCH(B68,'Metabase Lookup'!$A:$A,0)),"",IF(INDEX('Metabase Lookup'!$D:$D,MATCH(B68,'Metabase Lookup'!$A:$A,0))="","",INDEX('Metabase Lookup'!$D:$D,MATCH(B68,'Metabase Lookup'!$A:$A,0))))</f>
        <v/>
      </c>
      <c r="Y68" s="14">
        <f>IF(ISNUMBER(W68),IF(W68&gt;0,"Yes","No"),"Pending")</f>
        <v/>
      </c>
      <c r="Z68" s="14" t="inlineStr">
        <is>
          <t>Driver not identified (OPS account)</t>
        </is>
      </c>
    </row>
    <row r="69">
      <c r="A69" s="14" t="n">
        <v>68</v>
      </c>
      <c r="B69" s="14" t="inlineStr">
        <is>
          <t>NVMYNXG3S000023005</t>
        </is>
      </c>
      <c r="C69" s="15" t="inlineStr">
        <is>
          <t>265082580589</t>
        </is>
      </c>
      <c r="D69" s="16" t="n">
        <v>46286.56270833333</v>
      </c>
      <c r="E69" s="17" t="n">
        <v>46286</v>
      </c>
      <c r="F69" s="14" t="inlineStr">
        <is>
          <t>Mon</t>
        </is>
      </c>
      <c r="G69" s="14" t="inlineStr">
        <is>
          <t>Northern</t>
        </is>
      </c>
      <c r="H69" s="14" t="inlineStr">
        <is>
          <t>GEO</t>
        </is>
      </c>
      <c r="I69" s="14" t="inlineStr">
        <is>
          <t>GEO - ID - SHAFIEQAAL</t>
        </is>
      </c>
      <c r="J69" s="14" t="inlineStr">
        <is>
          <t>ID (named driver)</t>
        </is>
      </c>
      <c r="K69" s="14" t="inlineStr">
        <is>
          <t>91803158</t>
        </is>
      </c>
      <c r="L69" s="14" t="n">
        <v>1</v>
      </c>
      <c r="M69" s="14" t="inlineStr">
        <is>
          <t>LM</t>
        </is>
      </c>
      <c r="N69" s="14" t="inlineStr">
        <is>
          <t>Fake Success</t>
        </is>
      </c>
      <c r="O69" s="14" t="inlineStr"/>
      <c r="P69" s="14" t="inlineStr"/>
      <c r="Q69" s="14" t="inlineStr"/>
      <c r="R69" s="14" t="inlineStr">
        <is>
          <t>driver success the parcel before delivered customer</t>
        </is>
      </c>
      <c r="S69" s="14" t="inlineStr">
        <is>
          <t>Aimenn Aiyad</t>
        </is>
      </c>
      <c r="T69" s="14">
        <f>COUNTIF($B$2:$B$499,B69)</f>
        <v/>
      </c>
      <c r="U69" s="14">
        <f>COUNTIF($I$2:$I$499,I69)</f>
        <v/>
      </c>
      <c r="V69" s="14">
        <f>IF(ISNA(MATCH(B69,'Metabase Lookup'!$A:$A,0)),"Not found",IF(INDEX('Metabase Lookup'!$B:$B,MATCH(B69,'Metabase Lookup'!$A:$A,0))="","Pending",INDEX('Metabase Lookup'!$B:$B,MATCH(B69,'Metabase Lookup'!$A:$A,0))))</f>
        <v/>
      </c>
      <c r="W69" s="14">
        <f>IF(ISNA(MATCH(B69,'Metabase Lookup'!$A:$A,0)),"Not found",IF(INDEX('Metabase Lookup'!$C:$C,MATCH(B69,'Metabase Lookup'!$A:$A,0))="","Pending",INDEX('Metabase Lookup'!$C:$C,MATCH(B69,'Metabase Lookup'!$A:$A,0))))</f>
        <v/>
      </c>
      <c r="X69" s="14">
        <f>IF(ISNA(MATCH(B69,'Metabase Lookup'!$A:$A,0)),"",IF(INDEX('Metabase Lookup'!$D:$D,MATCH(B69,'Metabase Lookup'!$A:$A,0))="","",INDEX('Metabase Lookup'!$D:$D,MATCH(B69,'Metabase Lookup'!$A:$A,0))))</f>
        <v/>
      </c>
      <c r="Y69" s="14">
        <f>IF(ISNUMBER(W69),IF(W69&gt;0,"Yes","No"),"Pending")</f>
        <v/>
      </c>
      <c r="Z69" s="14" t="inlineStr"/>
    </row>
    <row r="70">
      <c r="A70" s="14" t="n">
        <v>69</v>
      </c>
      <c r="B70" s="14" t="inlineStr">
        <is>
          <t>ZRS4115713219939</t>
        </is>
      </c>
      <c r="C70" s="15" t="inlineStr">
        <is>
          <t>266862597108</t>
        </is>
      </c>
      <c r="D70" s="16" t="n">
        <v>46286.57894675926</v>
      </c>
      <c r="E70" s="17" t="n">
        <v>46286</v>
      </c>
      <c r="F70" s="14" t="inlineStr">
        <is>
          <t>Mon</t>
        </is>
      </c>
      <c r="G70" s="14" t="inlineStr">
        <is>
          <t>KV</t>
        </is>
      </c>
      <c r="H70" s="14" t="inlineStr">
        <is>
          <t>SHA</t>
        </is>
      </c>
      <c r="I70" s="14" t="inlineStr">
        <is>
          <t>Mohd Azizi</t>
        </is>
      </c>
      <c r="J70" s="14" t="inlineStr">
        <is>
          <t>Name only (no hub/code)</t>
        </is>
      </c>
      <c r="K70" s="14" t="inlineStr">
        <is>
          <t>91763992</t>
        </is>
      </c>
      <c r="L70" s="14" t="n">
        <v>1</v>
      </c>
      <c r="M70" s="14" t="inlineStr">
        <is>
          <t>LM</t>
        </is>
      </c>
      <c r="N70" s="14" t="inlineStr">
        <is>
          <t>Lost Item</t>
        </is>
      </c>
      <c r="O70" s="14" t="inlineStr"/>
      <c r="P70" s="14" t="inlineStr"/>
      <c r="Q70" s="14" t="inlineStr"/>
      <c r="R70" s="14" t="inlineStr">
        <is>
          <t>Recovery declare lost under driver</t>
        </is>
      </c>
      <c r="S70" s="14" t="inlineStr">
        <is>
          <t>Yana</t>
        </is>
      </c>
      <c r="T70" s="14">
        <f>COUNTIF($B$2:$B$499,B70)</f>
        <v/>
      </c>
      <c r="U70" s="14">
        <f>COUNTIF($I$2:$I$499,I70)</f>
        <v/>
      </c>
      <c r="V70" s="14">
        <f>IF(ISNA(MATCH(B70,'Metabase Lookup'!$A:$A,0)),"Not found",IF(INDEX('Metabase Lookup'!$B:$B,MATCH(B70,'Metabase Lookup'!$A:$A,0))="","Pending",INDEX('Metabase Lookup'!$B:$B,MATCH(B70,'Metabase Lookup'!$A:$A,0))))</f>
        <v/>
      </c>
      <c r="W70" s="14">
        <f>IF(ISNA(MATCH(B70,'Metabase Lookup'!$A:$A,0)),"Not found",IF(INDEX('Metabase Lookup'!$C:$C,MATCH(B70,'Metabase Lookup'!$A:$A,0))="","Pending",INDEX('Metabase Lookup'!$C:$C,MATCH(B70,'Metabase Lookup'!$A:$A,0))))</f>
        <v/>
      </c>
      <c r="X70" s="14">
        <f>IF(ISNA(MATCH(B70,'Metabase Lookup'!$A:$A,0)),"",IF(INDEX('Metabase Lookup'!$D:$D,MATCH(B70,'Metabase Lookup'!$A:$A,0))="","",INDEX('Metabase Lookup'!$D:$D,MATCH(B70,'Metabase Lookup'!$A:$A,0))))</f>
        <v/>
      </c>
      <c r="Y70" s="14">
        <f>IF(ISNUMBER(W70),IF(W70&gt;0,"Yes","No"),"Pending")</f>
        <v/>
      </c>
      <c r="Z70" s="14" t="inlineStr"/>
    </row>
    <row r="71">
      <c r="A71" s="14" t="n">
        <v>70</v>
      </c>
      <c r="B71" s="14" t="inlineStr">
        <is>
          <t>TNGDV2609096865669450</t>
        </is>
      </c>
      <c r="C71" s="15" t="inlineStr">
        <is>
          <t>264232600843</t>
        </is>
      </c>
      <c r="D71" s="16" t="n">
        <v>46286.58291666667</v>
      </c>
      <c r="E71" s="17" t="n">
        <v>46286</v>
      </c>
      <c r="F71" s="14" t="inlineStr">
        <is>
          <t>Mon</t>
        </is>
      </c>
      <c r="G71" s="14" t="inlineStr">
        <is>
          <t>Southern</t>
        </is>
      </c>
      <c r="H71" s="14" t="inlineStr">
        <is>
          <t>MAS</t>
        </is>
      </c>
      <c r="I71" s="14" t="inlineStr">
        <is>
          <t>MAS - ID - ZULKARNIAN</t>
        </is>
      </c>
      <c r="J71" s="14" t="inlineStr">
        <is>
          <t>ID (named driver)</t>
        </is>
      </c>
      <c r="K71" s="14" t="inlineStr">
        <is>
          <t>91788977</t>
        </is>
      </c>
      <c r="L71" s="14" t="n">
        <v>1</v>
      </c>
      <c r="M71" s="14" t="inlineStr">
        <is>
          <t>LM</t>
        </is>
      </c>
      <c r="N71" s="14" t="inlineStr">
        <is>
          <t>Lost Item</t>
        </is>
      </c>
      <c r="O71" s="14" t="inlineStr"/>
      <c r="P71" s="14" t="inlineStr"/>
      <c r="Q71" s="14" t="inlineStr"/>
      <c r="R71" s="14" t="inlineStr">
        <is>
          <t>driver fake success which leads to lost</t>
        </is>
      </c>
      <c r="S71" s="14" t="inlineStr">
        <is>
          <t>Aimenn Aiyad</t>
        </is>
      </c>
      <c r="T71" s="14">
        <f>COUNTIF($B$2:$B$499,B71)</f>
        <v/>
      </c>
      <c r="U71" s="14">
        <f>COUNTIF($I$2:$I$499,I71)</f>
        <v/>
      </c>
      <c r="V71" s="14">
        <f>IF(ISNA(MATCH(B71,'Metabase Lookup'!$A:$A,0)),"Not found",IF(INDEX('Metabase Lookup'!$B:$B,MATCH(B71,'Metabase Lookup'!$A:$A,0))="","Pending",INDEX('Metabase Lookup'!$B:$B,MATCH(B71,'Metabase Lookup'!$A:$A,0))))</f>
        <v/>
      </c>
      <c r="W71" s="14">
        <f>IF(ISNA(MATCH(B71,'Metabase Lookup'!$A:$A,0)),"Not found",IF(INDEX('Metabase Lookup'!$C:$C,MATCH(B71,'Metabase Lookup'!$A:$A,0))="","Pending",INDEX('Metabase Lookup'!$C:$C,MATCH(B71,'Metabase Lookup'!$A:$A,0))))</f>
        <v/>
      </c>
      <c r="X71" s="14">
        <f>IF(ISNA(MATCH(B71,'Metabase Lookup'!$A:$A,0)),"",IF(INDEX('Metabase Lookup'!$D:$D,MATCH(B71,'Metabase Lookup'!$A:$A,0))="","",INDEX('Metabase Lookup'!$D:$D,MATCH(B71,'Metabase Lookup'!$A:$A,0))))</f>
        <v/>
      </c>
      <c r="Y71" s="14">
        <f>IF(ISNUMBER(W71),IF(W71&gt;0,"Yes","No"),"Pending")</f>
        <v/>
      </c>
      <c r="Z71" s="14" t="inlineStr"/>
    </row>
    <row r="72">
      <c r="A72" s="14" t="n">
        <v>71</v>
      </c>
      <c r="B72" s="14" t="inlineStr">
        <is>
          <t>TNGDV2609156948986000</t>
        </is>
      </c>
      <c r="C72" s="15" t="inlineStr">
        <is>
          <t>268692640801</t>
        </is>
      </c>
      <c r="D72" s="16" t="n">
        <v>46286.58552083333</v>
      </c>
      <c r="E72" s="17" t="n">
        <v>46286</v>
      </c>
      <c r="F72" s="14" t="inlineStr">
        <is>
          <t>Mon</t>
        </is>
      </c>
      <c r="G72" s="14" t="inlineStr">
        <is>
          <t>KV</t>
        </is>
      </c>
      <c r="H72" s="14" t="inlineStr">
        <is>
          <t>BAN</t>
        </is>
      </c>
      <c r="I72" s="14" t="inlineStr">
        <is>
          <t>OPS - MUHAMMAD NOOR SYARWAN</t>
        </is>
      </c>
      <c r="J72" s="14" t="inlineStr">
        <is>
          <t>OPS (generic hub account)</t>
        </is>
      </c>
      <c r="K72" s="14" t="inlineStr">
        <is>
          <t>91845027</t>
        </is>
      </c>
      <c r="L72" s="14" t="n">
        <v>1</v>
      </c>
      <c r="M72" s="14" t="inlineStr">
        <is>
          <t>LM</t>
        </is>
      </c>
      <c r="N72" s="14" t="inlineStr">
        <is>
          <t>Fake Fail</t>
        </is>
      </c>
      <c r="O72" s="14" t="inlineStr">
        <is>
          <t>Invalid POD (no detail)</t>
        </is>
      </c>
      <c r="P72" s="14" t="inlineStr">
        <is>
          <t>No</t>
        </is>
      </c>
      <c r="Q72" s="14" t="inlineStr">
        <is>
          <t>No</t>
        </is>
      </c>
      <c r="R72" s="14" t="inlineStr">
        <is>
          <t>Invalid POD</t>
        </is>
      </c>
      <c r="S72" s="14" t="inlineStr">
        <is>
          <t>Naveen</t>
        </is>
      </c>
      <c r="T72" s="14">
        <f>COUNTIF($B$2:$B$499,B72)</f>
        <v/>
      </c>
      <c r="U72" s="14">
        <f>COUNTIF($I$2:$I$499,I72)</f>
        <v/>
      </c>
      <c r="V72" s="14">
        <f>IF(ISNA(MATCH(B72,'Metabase Lookup'!$A:$A,0)),"Not found",IF(INDEX('Metabase Lookup'!$B:$B,MATCH(B72,'Metabase Lookup'!$A:$A,0))="","Pending",INDEX('Metabase Lookup'!$B:$B,MATCH(B72,'Metabase Lookup'!$A:$A,0))))</f>
        <v/>
      </c>
      <c r="W72" s="14">
        <f>IF(ISNA(MATCH(B72,'Metabase Lookup'!$A:$A,0)),"Not found",IF(INDEX('Metabase Lookup'!$C:$C,MATCH(B72,'Metabase Lookup'!$A:$A,0))="","Pending",INDEX('Metabase Lookup'!$C:$C,MATCH(B72,'Metabase Lookup'!$A:$A,0))))</f>
        <v/>
      </c>
      <c r="X72" s="14">
        <f>IF(ISNA(MATCH(B72,'Metabase Lookup'!$A:$A,0)),"",IF(INDEX('Metabase Lookup'!$D:$D,MATCH(B72,'Metabase Lookup'!$A:$A,0))="","",INDEX('Metabase Lookup'!$D:$D,MATCH(B72,'Metabase Lookup'!$A:$A,0))))</f>
        <v/>
      </c>
      <c r="Y72" s="14">
        <f>IF(ISNUMBER(W72),IF(W72&gt;0,"Yes","No"),"Pending")</f>
        <v/>
      </c>
      <c r="Z72" s="14" t="inlineStr">
        <is>
          <t>Driver not identified (OPS account)</t>
        </is>
      </c>
    </row>
    <row r="73">
      <c r="A73" s="14" t="n">
        <v>72</v>
      </c>
      <c r="B73" s="14" t="inlineStr">
        <is>
          <t>TNGDV2609096878921600</t>
        </is>
      </c>
      <c r="C73" s="15" t="inlineStr">
        <is>
          <t>266972551037</t>
        </is>
      </c>
      <c r="D73" s="16" t="n">
        <v>46286.58582175926</v>
      </c>
      <c r="E73" s="17" t="n">
        <v>46286</v>
      </c>
      <c r="F73" s="14" t="inlineStr">
        <is>
          <t>Mon</t>
        </is>
      </c>
      <c r="G73" s="14" t="inlineStr">
        <is>
          <t>KV</t>
        </is>
      </c>
      <c r="H73" s="14" t="inlineStr">
        <is>
          <t>RWG</t>
        </is>
      </c>
      <c r="I73" s="14" t="inlineStr">
        <is>
          <t>RWG - HR - NUR ZULAIKHA</t>
        </is>
      </c>
      <c r="J73" s="14" t="inlineStr">
        <is>
          <t>HR (named)</t>
        </is>
      </c>
      <c r="K73" s="14" t="inlineStr">
        <is>
          <t>91783744</t>
        </is>
      </c>
      <c r="L73" s="14" t="n">
        <v>1</v>
      </c>
      <c r="M73" s="14" t="inlineStr">
        <is>
          <t>LM</t>
        </is>
      </c>
      <c r="N73" s="14" t="inlineStr">
        <is>
          <t>Fake Success</t>
        </is>
      </c>
      <c r="O73" s="14" t="inlineStr"/>
      <c r="P73" s="14" t="inlineStr"/>
      <c r="Q73" s="14" t="inlineStr"/>
      <c r="R73" s="14" t="inlineStr">
        <is>
          <t>driver success the parcel before delivered to customer with customer consent</t>
        </is>
      </c>
      <c r="S73" s="14" t="inlineStr">
        <is>
          <t>Aimenn Aiyad</t>
        </is>
      </c>
      <c r="T73" s="14">
        <f>COUNTIF($B$2:$B$499,B73)</f>
        <v/>
      </c>
      <c r="U73" s="14">
        <f>COUNTIF($I$2:$I$499,I73)</f>
        <v/>
      </c>
      <c r="V73" s="14">
        <f>IF(ISNA(MATCH(B73,'Metabase Lookup'!$A:$A,0)),"Not found",IF(INDEX('Metabase Lookup'!$B:$B,MATCH(B73,'Metabase Lookup'!$A:$A,0))="","Pending",INDEX('Metabase Lookup'!$B:$B,MATCH(B73,'Metabase Lookup'!$A:$A,0))))</f>
        <v/>
      </c>
      <c r="W73" s="14">
        <f>IF(ISNA(MATCH(B73,'Metabase Lookup'!$A:$A,0)),"Not found",IF(INDEX('Metabase Lookup'!$C:$C,MATCH(B73,'Metabase Lookup'!$A:$A,0))="","Pending",INDEX('Metabase Lookup'!$C:$C,MATCH(B73,'Metabase Lookup'!$A:$A,0))))</f>
        <v/>
      </c>
      <c r="X73" s="14">
        <f>IF(ISNA(MATCH(B73,'Metabase Lookup'!$A:$A,0)),"",IF(INDEX('Metabase Lookup'!$D:$D,MATCH(B73,'Metabase Lookup'!$A:$A,0))="","",INDEX('Metabase Lookup'!$D:$D,MATCH(B73,'Metabase Lookup'!$A:$A,0))))</f>
        <v/>
      </c>
      <c r="Y73" s="14">
        <f>IF(ISNUMBER(W73),IF(W73&gt;0,"Yes","No"),"Pending")</f>
        <v/>
      </c>
      <c r="Z73" s="14" t="inlineStr"/>
    </row>
    <row r="74">
      <c r="A74" s="14" t="n">
        <v>73</v>
      </c>
      <c r="B74" s="14" t="inlineStr">
        <is>
          <t>TNGDV2609156928618340</t>
        </is>
      </c>
      <c r="C74" s="15" t="inlineStr">
        <is>
          <t>263242644981</t>
        </is>
      </c>
      <c r="D74" s="16" t="n">
        <v>46286.58769675926</v>
      </c>
      <c r="E74" s="17" t="n">
        <v>46286</v>
      </c>
      <c r="F74" s="14" t="inlineStr">
        <is>
          <t>Mon</t>
        </is>
      </c>
      <c r="G74" s="14" t="inlineStr">
        <is>
          <t>KV</t>
        </is>
      </c>
      <c r="H74" s="14" t="inlineStr">
        <is>
          <t>OUG</t>
        </is>
      </c>
      <c r="I74" s="14" t="inlineStr">
        <is>
          <t>OPS - OUG</t>
        </is>
      </c>
      <c r="J74" s="14" t="inlineStr">
        <is>
          <t>OPS (generic hub account)</t>
        </is>
      </c>
      <c r="K74" s="14" t="inlineStr">
        <is>
          <t>91845008</t>
        </is>
      </c>
      <c r="L74" s="14" t="n">
        <v>1</v>
      </c>
      <c r="M74" s="14" t="inlineStr">
        <is>
          <t>LM</t>
        </is>
      </c>
      <c r="N74" s="14" t="inlineStr">
        <is>
          <t>Fake Fail</t>
        </is>
      </c>
      <c r="O74" s="14" t="inlineStr">
        <is>
          <t>Invalid POD (no detail)</t>
        </is>
      </c>
      <c r="P74" s="14" t="inlineStr">
        <is>
          <t>No</t>
        </is>
      </c>
      <c r="Q74" s="14" t="inlineStr">
        <is>
          <t>No</t>
        </is>
      </c>
      <c r="R74" s="14" t="inlineStr">
        <is>
          <t>POD invalid</t>
        </is>
      </c>
      <c r="S74" s="14" t="inlineStr">
        <is>
          <t>Naveen</t>
        </is>
      </c>
      <c r="T74" s="14">
        <f>COUNTIF($B$2:$B$499,B74)</f>
        <v/>
      </c>
      <c r="U74" s="14">
        <f>COUNTIF($I$2:$I$499,I74)</f>
        <v/>
      </c>
      <c r="V74" s="14">
        <f>IF(ISNA(MATCH(B74,'Metabase Lookup'!$A:$A,0)),"Not found",IF(INDEX('Metabase Lookup'!$B:$B,MATCH(B74,'Metabase Lookup'!$A:$A,0))="","Pending",INDEX('Metabase Lookup'!$B:$B,MATCH(B74,'Metabase Lookup'!$A:$A,0))))</f>
        <v/>
      </c>
      <c r="W74" s="14">
        <f>IF(ISNA(MATCH(B74,'Metabase Lookup'!$A:$A,0)),"Not found",IF(INDEX('Metabase Lookup'!$C:$C,MATCH(B74,'Metabase Lookup'!$A:$A,0))="","Pending",INDEX('Metabase Lookup'!$C:$C,MATCH(B74,'Metabase Lookup'!$A:$A,0))))</f>
        <v/>
      </c>
      <c r="X74" s="14">
        <f>IF(ISNA(MATCH(B74,'Metabase Lookup'!$A:$A,0)),"",IF(INDEX('Metabase Lookup'!$D:$D,MATCH(B74,'Metabase Lookup'!$A:$A,0))="","",INDEX('Metabase Lookup'!$D:$D,MATCH(B74,'Metabase Lookup'!$A:$A,0))))</f>
        <v/>
      </c>
      <c r="Y74" s="14">
        <f>IF(ISNUMBER(W74),IF(W74&gt;0,"Yes","No"),"Pending")</f>
        <v/>
      </c>
      <c r="Z74" s="14" t="inlineStr">
        <is>
          <t>Driver not identified (OPS account)</t>
        </is>
      </c>
    </row>
    <row r="75">
      <c r="A75" s="14" t="n">
        <v>74</v>
      </c>
      <c r="B75" s="14" t="inlineStr">
        <is>
          <t>AJDHU1547854775576936448</t>
        </is>
      </c>
      <c r="C75" s="15" t="inlineStr">
        <is>
          <t>265832605751</t>
        </is>
      </c>
      <c r="D75" s="16" t="n">
        <v>46286.59232638889</v>
      </c>
      <c r="E75" s="17" t="n">
        <v>46286</v>
      </c>
      <c r="F75" s="14" t="inlineStr">
        <is>
          <t>Mon</t>
        </is>
      </c>
      <c r="G75" s="14" t="inlineStr">
        <is>
          <t>Southern</t>
        </is>
      </c>
      <c r="H75" s="14" t="inlineStr">
        <is>
          <t>MAS</t>
        </is>
      </c>
      <c r="I75" s="14" t="inlineStr">
        <is>
          <t>MAS - ID - ZULKARNIAN</t>
        </is>
      </c>
      <c r="J75" s="14" t="inlineStr">
        <is>
          <t>ID (named driver)</t>
        </is>
      </c>
      <c r="K75" s="14" t="inlineStr">
        <is>
          <t>91788977</t>
        </is>
      </c>
      <c r="L75" s="14" t="n">
        <v>1</v>
      </c>
      <c r="M75" s="14" t="inlineStr">
        <is>
          <t>LM</t>
        </is>
      </c>
      <c r="N75" s="14" t="inlineStr">
        <is>
          <t>Lost Item</t>
        </is>
      </c>
      <c r="O75" s="14" t="inlineStr"/>
      <c r="P75" s="14" t="inlineStr"/>
      <c r="Q75" s="14" t="inlineStr"/>
      <c r="R75" s="14" t="inlineStr">
        <is>
          <t>cust didnt received</t>
        </is>
      </c>
      <c r="S75" s="14" t="inlineStr">
        <is>
          <t>Abdul</t>
        </is>
      </c>
      <c r="T75" s="14">
        <f>COUNTIF($B$2:$B$499,B75)</f>
        <v/>
      </c>
      <c r="U75" s="14">
        <f>COUNTIF($I$2:$I$499,I75)</f>
        <v/>
      </c>
      <c r="V75" s="14">
        <f>IF(ISNA(MATCH(B75,'Metabase Lookup'!$A:$A,0)),"Not found",IF(INDEX('Metabase Lookup'!$B:$B,MATCH(B75,'Metabase Lookup'!$A:$A,0))="","Pending",INDEX('Metabase Lookup'!$B:$B,MATCH(B75,'Metabase Lookup'!$A:$A,0))))</f>
        <v/>
      </c>
      <c r="W75" s="14">
        <f>IF(ISNA(MATCH(B75,'Metabase Lookup'!$A:$A,0)),"Not found",IF(INDEX('Metabase Lookup'!$C:$C,MATCH(B75,'Metabase Lookup'!$A:$A,0))="","Pending",INDEX('Metabase Lookup'!$C:$C,MATCH(B75,'Metabase Lookup'!$A:$A,0))))</f>
        <v/>
      </c>
      <c r="X75" s="14">
        <f>IF(ISNA(MATCH(B75,'Metabase Lookup'!$A:$A,0)),"",IF(INDEX('Metabase Lookup'!$D:$D,MATCH(B75,'Metabase Lookup'!$A:$A,0))="","",INDEX('Metabase Lookup'!$D:$D,MATCH(B75,'Metabase Lookup'!$A:$A,0))))</f>
        <v/>
      </c>
      <c r="Y75" s="14">
        <f>IF(ISNUMBER(W75),IF(W75&gt;0,"Yes","No"),"Pending")</f>
        <v/>
      </c>
      <c r="Z75" s="14" t="inlineStr"/>
    </row>
    <row r="76">
      <c r="A76" s="14" t="n">
        <v>75</v>
      </c>
      <c r="B76" s="14" t="inlineStr">
        <is>
          <t>NVMYLTCMU000000160</t>
        </is>
      </c>
      <c r="C76" s="15" t="inlineStr">
        <is>
          <t>267342641672</t>
        </is>
      </c>
      <c r="D76" s="16" t="n">
        <v>46286.59732638889</v>
      </c>
      <c r="E76" s="17" t="n">
        <v>46286</v>
      </c>
      <c r="F76" s="14" t="inlineStr">
        <is>
          <t>Mon</t>
        </is>
      </c>
      <c r="G76" s="14" t="inlineStr">
        <is>
          <t>Northern</t>
        </is>
      </c>
      <c r="H76" s="14" t="inlineStr">
        <is>
          <t>GEO</t>
        </is>
      </c>
      <c r="I76" s="14" t="inlineStr">
        <is>
          <t>GEO - OPS - DATO KERAMAT</t>
        </is>
      </c>
      <c r="J76" s="14" t="inlineStr">
        <is>
          <t>OPS (generic hub account)</t>
        </is>
      </c>
      <c r="K76" s="14" t="inlineStr">
        <is>
          <t>91824655, 91833924, 91843013</t>
        </is>
      </c>
      <c r="L76" s="14" t="n">
        <v>3</v>
      </c>
      <c r="M76" s="14" t="inlineStr">
        <is>
          <t>LM</t>
        </is>
      </c>
      <c r="N76" s="14" t="inlineStr">
        <is>
          <t>Fake Fail</t>
        </is>
      </c>
      <c r="O76" s="14" t="inlineStr">
        <is>
          <t>Invalid call log (unspecified)</t>
        </is>
      </c>
      <c r="P76" s="14" t="inlineStr">
        <is>
          <t>No</t>
        </is>
      </c>
      <c r="Q76" s="14" t="inlineStr">
        <is>
          <t>No</t>
        </is>
      </c>
      <c r="R76" s="14" t="inlineStr">
        <is>
          <t>There is no valid call log, call log listed not involved this shipper's number</t>
        </is>
      </c>
      <c r="S76" s="14" t="inlineStr">
        <is>
          <t>Syak</t>
        </is>
      </c>
      <c r="T76" s="14">
        <f>COUNTIF($B$2:$B$499,B76)</f>
        <v/>
      </c>
      <c r="U76" s="14">
        <f>COUNTIF($I$2:$I$499,I76)</f>
        <v/>
      </c>
      <c r="V76" s="14">
        <f>IF(ISNA(MATCH(B76,'Metabase Lookup'!$A:$A,0)),"Not found",IF(INDEX('Metabase Lookup'!$B:$B,MATCH(B76,'Metabase Lookup'!$A:$A,0))="","Pending",INDEX('Metabase Lookup'!$B:$B,MATCH(B76,'Metabase Lookup'!$A:$A,0))))</f>
        <v/>
      </c>
      <c r="W76" s="14">
        <f>IF(ISNA(MATCH(B76,'Metabase Lookup'!$A:$A,0)),"Not found",IF(INDEX('Metabase Lookup'!$C:$C,MATCH(B76,'Metabase Lookup'!$A:$A,0))="","Pending",INDEX('Metabase Lookup'!$C:$C,MATCH(B76,'Metabase Lookup'!$A:$A,0))))</f>
        <v/>
      </c>
      <c r="X76" s="14">
        <f>IF(ISNA(MATCH(B76,'Metabase Lookup'!$A:$A,0)),"",IF(INDEX('Metabase Lookup'!$D:$D,MATCH(B76,'Metabase Lookup'!$A:$A,0))="","",INDEX('Metabase Lookup'!$D:$D,MATCH(B76,'Metabase Lookup'!$A:$A,0))))</f>
        <v/>
      </c>
      <c r="Y76" s="14">
        <f>IF(ISNUMBER(W76),IF(W76&gt;0,"Yes","No"),"Pending")</f>
        <v/>
      </c>
      <c r="Z76" s="14" t="inlineStr">
        <is>
          <t>Multiple route IDs; Driver not identified (OPS account)</t>
        </is>
      </c>
    </row>
    <row r="77">
      <c r="A77" s="14" t="n">
        <v>76</v>
      </c>
      <c r="B77" s="14" t="inlineStr">
        <is>
          <t>NIVMY1549984394616983552</t>
        </is>
      </c>
      <c r="C77" s="15" t="inlineStr">
        <is>
          <t>262012649808</t>
        </is>
      </c>
      <c r="D77" s="16" t="n">
        <v>46286.5975462963</v>
      </c>
      <c r="E77" s="17" t="n">
        <v>46286</v>
      </c>
      <c r="F77" s="14" t="inlineStr">
        <is>
          <t>Mon</t>
        </is>
      </c>
      <c r="G77" s="14" t="inlineStr">
        <is>
          <t>KV</t>
        </is>
      </c>
      <c r="H77" s="14" t="inlineStr">
        <is>
          <t>BTR</t>
        </is>
      </c>
      <c r="I77" s="14" t="inlineStr">
        <is>
          <t>OPS - BTR</t>
        </is>
      </c>
      <c r="J77" s="14" t="inlineStr">
        <is>
          <t>OPS (generic hub account)</t>
        </is>
      </c>
      <c r="K77" s="14" t="inlineStr">
        <is>
          <t>91847380</t>
        </is>
      </c>
      <c r="L77" s="14" t="n">
        <v>1</v>
      </c>
      <c r="M77" s="14" t="inlineStr">
        <is>
          <t>LM</t>
        </is>
      </c>
      <c r="N77" s="14" t="inlineStr">
        <is>
          <t>Fake Fail</t>
        </is>
      </c>
      <c r="O77" s="14" t="inlineStr">
        <is>
          <t>Invalid POD (no detail)</t>
        </is>
      </c>
      <c r="P77" s="14" t="inlineStr">
        <is>
          <t>No</t>
        </is>
      </c>
      <c r="Q77" s="14" t="inlineStr">
        <is>
          <t>No</t>
        </is>
      </c>
      <c r="R77" s="14" t="inlineStr">
        <is>
          <t>Invalid POD</t>
        </is>
      </c>
      <c r="S77" s="14" t="inlineStr">
        <is>
          <t>Naveen</t>
        </is>
      </c>
      <c r="T77" s="14">
        <f>COUNTIF($B$2:$B$499,B77)</f>
        <v/>
      </c>
      <c r="U77" s="14">
        <f>COUNTIF($I$2:$I$499,I77)</f>
        <v/>
      </c>
      <c r="V77" s="14">
        <f>IF(ISNA(MATCH(B77,'Metabase Lookup'!$A:$A,0)),"Not found",IF(INDEX('Metabase Lookup'!$B:$B,MATCH(B77,'Metabase Lookup'!$A:$A,0))="","Pending",INDEX('Metabase Lookup'!$B:$B,MATCH(B77,'Metabase Lookup'!$A:$A,0))))</f>
        <v/>
      </c>
      <c r="W77" s="14">
        <f>IF(ISNA(MATCH(B77,'Metabase Lookup'!$A:$A,0)),"Not found",IF(INDEX('Metabase Lookup'!$C:$C,MATCH(B77,'Metabase Lookup'!$A:$A,0))="","Pending",INDEX('Metabase Lookup'!$C:$C,MATCH(B77,'Metabase Lookup'!$A:$A,0))))</f>
        <v/>
      </c>
      <c r="X77" s="14">
        <f>IF(ISNA(MATCH(B77,'Metabase Lookup'!$A:$A,0)),"",IF(INDEX('Metabase Lookup'!$D:$D,MATCH(B77,'Metabase Lookup'!$A:$A,0))="","",INDEX('Metabase Lookup'!$D:$D,MATCH(B77,'Metabase Lookup'!$A:$A,0))))</f>
        <v/>
      </c>
      <c r="Y77" s="14">
        <f>IF(ISNUMBER(W77),IF(W77&gt;0,"Yes","No"),"Pending")</f>
        <v/>
      </c>
      <c r="Z77" s="14" t="inlineStr">
        <is>
          <t>Driver not identified (OPS account)</t>
        </is>
      </c>
    </row>
    <row r="78">
      <c r="A78" s="14" t="n">
        <v>77</v>
      </c>
      <c r="B78" s="14" t="inlineStr">
        <is>
          <t>AEMYA000615925</t>
        </is>
      </c>
      <c r="C78" s="15" t="inlineStr">
        <is>
          <t>267062605873</t>
        </is>
      </c>
      <c r="D78" s="16" t="n">
        <v>46286.59851851852</v>
      </c>
      <c r="E78" s="17" t="n">
        <v>46286</v>
      </c>
      <c r="F78" s="14" t="inlineStr">
        <is>
          <t>Mon</t>
        </is>
      </c>
      <c r="G78" s="14" t="inlineStr">
        <is>
          <t>East MY</t>
        </is>
      </c>
      <c r="H78" s="14" t="inlineStr">
        <is>
          <t>PTJ</t>
        </is>
      </c>
      <c r="I78" s="14" t="inlineStr">
        <is>
          <t>PTJ - ID - MOHD LUQMAN</t>
        </is>
      </c>
      <c r="J78" s="14" t="inlineStr">
        <is>
          <t>ID (named driver)</t>
        </is>
      </c>
      <c r="K78" s="14" t="inlineStr">
        <is>
          <t>91790001</t>
        </is>
      </c>
      <c r="L78" s="14" t="n">
        <v>1</v>
      </c>
      <c r="M78" s="14" t="inlineStr">
        <is>
          <t>LM</t>
        </is>
      </c>
      <c r="N78" s="14" t="inlineStr">
        <is>
          <t>Fake Success</t>
        </is>
      </c>
      <c r="O78" s="14" t="inlineStr"/>
      <c r="P78" s="14" t="inlineStr"/>
      <c r="Q78" s="14" t="inlineStr"/>
      <c r="R78" s="14" t="inlineStr">
        <is>
          <t>cust didnt received</t>
        </is>
      </c>
      <c r="S78" s="14" t="inlineStr">
        <is>
          <t>Abdul</t>
        </is>
      </c>
      <c r="T78" s="14">
        <f>COUNTIF($B$2:$B$499,B78)</f>
        <v/>
      </c>
      <c r="U78" s="14">
        <f>COUNTIF($I$2:$I$499,I78)</f>
        <v/>
      </c>
      <c r="V78" s="14">
        <f>IF(ISNA(MATCH(B78,'Metabase Lookup'!$A:$A,0)),"Not found",IF(INDEX('Metabase Lookup'!$B:$B,MATCH(B78,'Metabase Lookup'!$A:$A,0))="","Pending",INDEX('Metabase Lookup'!$B:$B,MATCH(B78,'Metabase Lookup'!$A:$A,0))))</f>
        <v/>
      </c>
      <c r="W78" s="14">
        <f>IF(ISNA(MATCH(B78,'Metabase Lookup'!$A:$A,0)),"Not found",IF(INDEX('Metabase Lookup'!$C:$C,MATCH(B78,'Metabase Lookup'!$A:$A,0))="","Pending",INDEX('Metabase Lookup'!$C:$C,MATCH(B78,'Metabase Lookup'!$A:$A,0))))</f>
        <v/>
      </c>
      <c r="X78" s="14">
        <f>IF(ISNA(MATCH(B78,'Metabase Lookup'!$A:$A,0)),"",IF(INDEX('Metabase Lookup'!$D:$D,MATCH(B78,'Metabase Lookup'!$A:$A,0))="","",INDEX('Metabase Lookup'!$D:$D,MATCH(B78,'Metabase Lookup'!$A:$A,0))))</f>
        <v/>
      </c>
      <c r="Y78" s="14">
        <f>IF(ISNUMBER(W78),IF(W78&gt;0,"Yes","No"),"Pending")</f>
        <v/>
      </c>
      <c r="Z78" s="14" t="inlineStr"/>
    </row>
    <row r="79">
      <c r="A79" s="14" t="n">
        <v>78</v>
      </c>
      <c r="B79" s="14" t="inlineStr">
        <is>
          <t>ZMP241385945-5821</t>
        </is>
      </c>
      <c r="C79" s="15" t="inlineStr">
        <is>
          <t>268242642620</t>
        </is>
      </c>
      <c r="D79" s="16" t="n">
        <v>46286.60005787037</v>
      </c>
      <c r="E79" s="17" t="n">
        <v>46286</v>
      </c>
      <c r="F79" s="14" t="inlineStr">
        <is>
          <t>Mon</t>
        </is>
      </c>
      <c r="G79" s="14" t="inlineStr">
        <is>
          <t>KV</t>
        </is>
      </c>
      <c r="H79" s="14" t="inlineStr">
        <is>
          <t>SLG</t>
        </is>
      </c>
      <c r="I79" s="14" t="inlineStr">
        <is>
          <t>SLG - ID - ZURAIQ</t>
        </is>
      </c>
      <c r="J79" s="14" t="inlineStr">
        <is>
          <t>ID (named driver)</t>
        </is>
      </c>
      <c r="K79" s="14" t="inlineStr">
        <is>
          <t>91847810</t>
        </is>
      </c>
      <c r="L79" s="14" t="n">
        <v>1</v>
      </c>
      <c r="M79" s="14" t="inlineStr">
        <is>
          <t>LM</t>
        </is>
      </c>
      <c r="N79" s="14" t="inlineStr">
        <is>
          <t>Deliver to Wrong Address</t>
        </is>
      </c>
      <c r="O79" s="14" t="inlineStr"/>
      <c r="P79" s="14" t="inlineStr"/>
      <c r="Q79" s="14" t="inlineStr"/>
      <c r="R79" s="14" t="inlineStr">
        <is>
          <t>driver del to wrong address, cust rcvd parcel after made a complaint</t>
        </is>
      </c>
      <c r="S79" s="14" t="inlineStr">
        <is>
          <t>Yana</t>
        </is>
      </c>
      <c r="T79" s="14">
        <f>COUNTIF($B$2:$B$499,B79)</f>
        <v/>
      </c>
      <c r="U79" s="14">
        <f>COUNTIF($I$2:$I$499,I79)</f>
        <v/>
      </c>
      <c r="V79" s="14">
        <f>IF(ISNA(MATCH(B79,'Metabase Lookup'!$A:$A,0)),"Not found",IF(INDEX('Metabase Lookup'!$B:$B,MATCH(B79,'Metabase Lookup'!$A:$A,0))="","Pending",INDEX('Metabase Lookup'!$B:$B,MATCH(B79,'Metabase Lookup'!$A:$A,0))))</f>
        <v/>
      </c>
      <c r="W79" s="14">
        <f>IF(ISNA(MATCH(B79,'Metabase Lookup'!$A:$A,0)),"Not found",IF(INDEX('Metabase Lookup'!$C:$C,MATCH(B79,'Metabase Lookup'!$A:$A,0))="","Pending",INDEX('Metabase Lookup'!$C:$C,MATCH(B79,'Metabase Lookup'!$A:$A,0))))</f>
        <v/>
      </c>
      <c r="X79" s="14">
        <f>IF(ISNA(MATCH(B79,'Metabase Lookup'!$A:$A,0)),"",IF(INDEX('Metabase Lookup'!$D:$D,MATCH(B79,'Metabase Lookup'!$A:$A,0))="","",INDEX('Metabase Lookup'!$D:$D,MATCH(B79,'Metabase Lookup'!$A:$A,0))))</f>
        <v/>
      </c>
      <c r="Y79" s="14">
        <f>IF(ISNUMBER(W79),IF(W79&gt;0,"Yes","No"),"Pending")</f>
        <v/>
      </c>
      <c r="Z79" s="14" t="inlineStr"/>
    </row>
    <row r="80">
      <c r="A80" s="14" t="n">
        <v>79</v>
      </c>
      <c r="B80" s="14" t="inlineStr">
        <is>
          <t>NVMY48214000023869</t>
        </is>
      </c>
      <c r="C80" s="15" t="inlineStr">
        <is>
          <t>264942603038</t>
        </is>
      </c>
      <c r="D80" s="16" t="n">
        <v>46286.60418981482</v>
      </c>
      <c r="E80" s="17" t="n">
        <v>46286</v>
      </c>
      <c r="F80" s="14" t="inlineStr">
        <is>
          <t>Mon</t>
        </is>
      </c>
      <c r="G80" s="14" t="inlineStr">
        <is>
          <t>East MY</t>
        </is>
      </c>
      <c r="H80" s="14" t="inlineStr">
        <is>
          <t>PTJ</t>
        </is>
      </c>
      <c r="I80" s="14" t="inlineStr">
        <is>
          <t>PTJ - ID - MOHD LUQMAN</t>
        </is>
      </c>
      <c r="J80" s="14" t="inlineStr">
        <is>
          <t>ID (named driver)</t>
        </is>
      </c>
      <c r="K80" s="14" t="inlineStr">
        <is>
          <t>91790001</t>
        </is>
      </c>
      <c r="L80" s="14" t="n">
        <v>1</v>
      </c>
      <c r="M80" s="14" t="inlineStr">
        <is>
          <t>LM</t>
        </is>
      </c>
      <c r="N80" s="14" t="inlineStr">
        <is>
          <t>Fake Success</t>
        </is>
      </c>
      <c r="O80" s="14" t="inlineStr"/>
      <c r="P80" s="14" t="inlineStr"/>
      <c r="Q80" s="14" t="inlineStr"/>
      <c r="R80" s="14" t="inlineStr">
        <is>
          <t>cust didnt received</t>
        </is>
      </c>
      <c r="S80" s="14" t="inlineStr">
        <is>
          <t>Abdul</t>
        </is>
      </c>
      <c r="T80" s="14">
        <f>COUNTIF($B$2:$B$499,B80)</f>
        <v/>
      </c>
      <c r="U80" s="14">
        <f>COUNTIF($I$2:$I$499,I80)</f>
        <v/>
      </c>
      <c r="V80" s="14">
        <f>IF(ISNA(MATCH(B80,'Metabase Lookup'!$A:$A,0)),"Not found",IF(INDEX('Metabase Lookup'!$B:$B,MATCH(B80,'Metabase Lookup'!$A:$A,0))="","Pending",INDEX('Metabase Lookup'!$B:$B,MATCH(B80,'Metabase Lookup'!$A:$A,0))))</f>
        <v/>
      </c>
      <c r="W80" s="14">
        <f>IF(ISNA(MATCH(B80,'Metabase Lookup'!$A:$A,0)),"Not found",IF(INDEX('Metabase Lookup'!$C:$C,MATCH(B80,'Metabase Lookup'!$A:$A,0))="","Pending",INDEX('Metabase Lookup'!$C:$C,MATCH(B80,'Metabase Lookup'!$A:$A,0))))</f>
        <v/>
      </c>
      <c r="X80" s="14">
        <f>IF(ISNA(MATCH(B80,'Metabase Lookup'!$A:$A,0)),"",IF(INDEX('Metabase Lookup'!$D:$D,MATCH(B80,'Metabase Lookup'!$A:$A,0))="","",INDEX('Metabase Lookup'!$D:$D,MATCH(B80,'Metabase Lookup'!$A:$A,0))))</f>
        <v/>
      </c>
      <c r="Y80" s="14">
        <f>IF(ISNUMBER(W80),IF(W80&gt;0,"Yes","No"),"Pending")</f>
        <v/>
      </c>
      <c r="Z80" s="14" t="inlineStr"/>
    </row>
    <row r="81">
      <c r="A81" s="14" t="n">
        <v>80</v>
      </c>
      <c r="B81" s="14" t="inlineStr">
        <is>
          <t>ZMP271541945-3625</t>
        </is>
      </c>
      <c r="C81" s="15" t="inlineStr">
        <is>
          <t>265942649269</t>
        </is>
      </c>
      <c r="D81" s="16" t="n">
        <v>46286.60452546296</v>
      </c>
      <c r="E81" s="17" t="n">
        <v>46286</v>
      </c>
      <c r="F81" s="14" t="inlineStr">
        <is>
          <t>Mon</t>
        </is>
      </c>
      <c r="G81" s="14" t="inlineStr">
        <is>
          <t>KV</t>
        </is>
      </c>
      <c r="H81" s="14" t="inlineStr">
        <is>
          <t>BTK</t>
        </is>
      </c>
      <c r="I81" s="14" t="inlineStr">
        <is>
          <t>BTK - ID - KALA</t>
        </is>
      </c>
      <c r="J81" s="14" t="inlineStr">
        <is>
          <t>ID (named driver)</t>
        </is>
      </c>
      <c r="K81" s="14" t="inlineStr">
        <is>
          <t>91848556, 91856547</t>
        </is>
      </c>
      <c r="L81" s="14" t="n">
        <v>2</v>
      </c>
      <c r="M81" s="14" t="inlineStr">
        <is>
          <t>LM</t>
        </is>
      </c>
      <c r="N81" s="14" t="inlineStr">
        <is>
          <t>Fake Fail</t>
        </is>
      </c>
      <c r="O81" s="14" t="inlineStr">
        <is>
          <t>Invalid POD (no detail)</t>
        </is>
      </c>
      <c r="P81" s="14" t="inlineStr">
        <is>
          <t>No</t>
        </is>
      </c>
      <c r="Q81" s="14" t="inlineStr">
        <is>
          <t>No</t>
        </is>
      </c>
      <c r="R81" s="14" t="inlineStr">
        <is>
          <t>invalid POD</t>
        </is>
      </c>
      <c r="S81" s="14" t="inlineStr">
        <is>
          <t>Naveen</t>
        </is>
      </c>
      <c r="T81" s="14">
        <f>COUNTIF($B$2:$B$499,B81)</f>
        <v/>
      </c>
      <c r="U81" s="14">
        <f>COUNTIF($I$2:$I$499,I81)</f>
        <v/>
      </c>
      <c r="V81" s="14">
        <f>IF(ISNA(MATCH(B81,'Metabase Lookup'!$A:$A,0)),"Not found",IF(INDEX('Metabase Lookup'!$B:$B,MATCH(B81,'Metabase Lookup'!$A:$A,0))="","Pending",INDEX('Metabase Lookup'!$B:$B,MATCH(B81,'Metabase Lookup'!$A:$A,0))))</f>
        <v/>
      </c>
      <c r="W81" s="14">
        <f>IF(ISNA(MATCH(B81,'Metabase Lookup'!$A:$A,0)),"Not found",IF(INDEX('Metabase Lookup'!$C:$C,MATCH(B81,'Metabase Lookup'!$A:$A,0))="","Pending",INDEX('Metabase Lookup'!$C:$C,MATCH(B81,'Metabase Lookup'!$A:$A,0))))</f>
        <v/>
      </c>
      <c r="X81" s="14">
        <f>IF(ISNA(MATCH(B81,'Metabase Lookup'!$A:$A,0)),"",IF(INDEX('Metabase Lookup'!$D:$D,MATCH(B81,'Metabase Lookup'!$A:$A,0))="","",INDEX('Metabase Lookup'!$D:$D,MATCH(B81,'Metabase Lookup'!$A:$A,0))))</f>
        <v/>
      </c>
      <c r="Y81" s="14">
        <f>IF(ISNUMBER(W81),IF(W81&gt;0,"Yes","No"),"Pending")</f>
        <v/>
      </c>
      <c r="Z81" s="14" t="inlineStr">
        <is>
          <t>Multiple route IDs</t>
        </is>
      </c>
    </row>
    <row r="82">
      <c r="A82" s="14" t="n">
        <v>81</v>
      </c>
      <c r="B82" s="14" t="inlineStr">
        <is>
          <t>NVMY8NFNT0HW10327A</t>
        </is>
      </c>
      <c r="C82" s="15" t="inlineStr">
        <is>
          <t>260902644277</t>
        </is>
      </c>
      <c r="D82" s="16" t="n">
        <v>46286.61700231482</v>
      </c>
      <c r="E82" s="17" t="n">
        <v>46286</v>
      </c>
      <c r="F82" s="14" t="inlineStr">
        <is>
          <t>Mon</t>
        </is>
      </c>
      <c r="G82" s="14" t="inlineStr">
        <is>
          <t>Northern</t>
        </is>
      </c>
      <c r="H82" s="14" t="inlineStr">
        <is>
          <t>GEO</t>
        </is>
      </c>
      <c r="I82" s="14" t="inlineStr">
        <is>
          <t>GEO - OPS - DATO KERAMAT</t>
        </is>
      </c>
      <c r="J82" s="14" t="inlineStr">
        <is>
          <t>OPS (generic hub account)</t>
        </is>
      </c>
      <c r="K82" s="14" t="inlineStr">
        <is>
          <t>91843013</t>
        </is>
      </c>
      <c r="L82" s="14" t="n">
        <v>1</v>
      </c>
      <c r="M82" s="14" t="inlineStr">
        <is>
          <t>LM</t>
        </is>
      </c>
      <c r="N82" s="14" t="inlineStr">
        <is>
          <t>Fake Fail</t>
        </is>
      </c>
      <c r="O82" s="14" t="inlineStr">
        <is>
          <t>Wrong number called</t>
        </is>
      </c>
      <c r="P82" s="14" t="inlineStr">
        <is>
          <t>No</t>
        </is>
      </c>
      <c r="Q82" s="14" t="inlineStr">
        <is>
          <t>No</t>
        </is>
      </c>
      <c r="R82" s="14" t="inlineStr">
        <is>
          <t>driver attach invalid pod call log attach is not belong to cstomer</t>
        </is>
      </c>
      <c r="S82" s="14" t="inlineStr">
        <is>
          <t>Zati</t>
        </is>
      </c>
      <c r="T82" s="14">
        <f>COUNTIF($B$2:$B$499,B82)</f>
        <v/>
      </c>
      <c r="U82" s="14">
        <f>COUNTIF($I$2:$I$499,I82)</f>
        <v/>
      </c>
      <c r="V82" s="14">
        <f>IF(ISNA(MATCH(B82,'Metabase Lookup'!$A:$A,0)),"Not found",IF(INDEX('Metabase Lookup'!$B:$B,MATCH(B82,'Metabase Lookup'!$A:$A,0))="","Pending",INDEX('Metabase Lookup'!$B:$B,MATCH(B82,'Metabase Lookup'!$A:$A,0))))</f>
        <v/>
      </c>
      <c r="W82" s="14">
        <f>IF(ISNA(MATCH(B82,'Metabase Lookup'!$A:$A,0)),"Not found",IF(INDEX('Metabase Lookup'!$C:$C,MATCH(B82,'Metabase Lookup'!$A:$A,0))="","Pending",INDEX('Metabase Lookup'!$C:$C,MATCH(B82,'Metabase Lookup'!$A:$A,0))))</f>
        <v/>
      </c>
      <c r="X82" s="14">
        <f>IF(ISNA(MATCH(B82,'Metabase Lookup'!$A:$A,0)),"",IF(INDEX('Metabase Lookup'!$D:$D,MATCH(B82,'Metabase Lookup'!$A:$A,0))="","",INDEX('Metabase Lookup'!$D:$D,MATCH(B82,'Metabase Lookup'!$A:$A,0))))</f>
        <v/>
      </c>
      <c r="Y82" s="14">
        <f>IF(ISNUMBER(W82),IF(W82&gt;0,"Yes","No"),"Pending")</f>
        <v/>
      </c>
      <c r="Z82" s="14" t="inlineStr">
        <is>
          <t>Driver not identified (OPS account)</t>
        </is>
      </c>
    </row>
    <row r="83">
      <c r="A83" s="14" t="n">
        <v>82</v>
      </c>
      <c r="B83" s="14" t="inlineStr">
        <is>
          <t>NVMYYSLWE330031831</t>
        </is>
      </c>
      <c r="C83" s="15" t="inlineStr">
        <is>
          <t>268482602672</t>
        </is>
      </c>
      <c r="D83" s="16" t="n">
        <v>46286.61769675926</v>
      </c>
      <c r="E83" s="17" t="n">
        <v>46286</v>
      </c>
      <c r="F83" s="14" t="inlineStr">
        <is>
          <t>Mon</t>
        </is>
      </c>
      <c r="G83" s="14" t="inlineStr">
        <is>
          <t>KV</t>
        </is>
      </c>
      <c r="H83" s="14" t="inlineStr">
        <is>
          <t>OUG</t>
        </is>
      </c>
      <c r="I83" s="14" t="inlineStr">
        <is>
          <t>OUG - ID - SITI SHAFIQAH</t>
        </is>
      </c>
      <c r="J83" s="14" t="inlineStr">
        <is>
          <t>ID (named driver)</t>
        </is>
      </c>
      <c r="K83" s="14" t="inlineStr">
        <is>
          <t>91804861</t>
        </is>
      </c>
      <c r="L83" s="14" t="n">
        <v>1</v>
      </c>
      <c r="M83" s="14" t="inlineStr">
        <is>
          <t>LM</t>
        </is>
      </c>
      <c r="N83" s="14" t="inlineStr">
        <is>
          <t>Fake Success</t>
        </is>
      </c>
      <c r="O83" s="14" t="inlineStr"/>
      <c r="P83" s="14" t="inlineStr"/>
      <c r="Q83" s="14" t="inlineStr"/>
      <c r="R83" s="14" t="inlineStr">
        <is>
          <t>cust didnt received</t>
        </is>
      </c>
      <c r="S83" s="14" t="inlineStr">
        <is>
          <t>Abdul</t>
        </is>
      </c>
      <c r="T83" s="14">
        <f>COUNTIF($B$2:$B$499,B83)</f>
        <v/>
      </c>
      <c r="U83" s="14">
        <f>COUNTIF($I$2:$I$499,I83)</f>
        <v/>
      </c>
      <c r="V83" s="14">
        <f>IF(ISNA(MATCH(B83,'Metabase Lookup'!$A:$A,0)),"Not found",IF(INDEX('Metabase Lookup'!$B:$B,MATCH(B83,'Metabase Lookup'!$A:$A,0))="","Pending",INDEX('Metabase Lookup'!$B:$B,MATCH(B83,'Metabase Lookup'!$A:$A,0))))</f>
        <v/>
      </c>
      <c r="W83" s="14">
        <f>IF(ISNA(MATCH(B83,'Metabase Lookup'!$A:$A,0)),"Not found",IF(INDEX('Metabase Lookup'!$C:$C,MATCH(B83,'Metabase Lookup'!$A:$A,0))="","Pending",INDEX('Metabase Lookup'!$C:$C,MATCH(B83,'Metabase Lookup'!$A:$A,0))))</f>
        <v/>
      </c>
      <c r="X83" s="14">
        <f>IF(ISNA(MATCH(B83,'Metabase Lookup'!$A:$A,0)),"",IF(INDEX('Metabase Lookup'!$D:$D,MATCH(B83,'Metabase Lookup'!$A:$A,0))="","",INDEX('Metabase Lookup'!$D:$D,MATCH(B83,'Metabase Lookup'!$A:$A,0))))</f>
        <v/>
      </c>
      <c r="Y83" s="14">
        <f>IF(ISNUMBER(W83),IF(W83&gt;0,"Yes","No"),"Pending")</f>
        <v/>
      </c>
      <c r="Z83" s="14" t="inlineStr"/>
    </row>
    <row r="84">
      <c r="A84" s="14" t="n">
        <v>83</v>
      </c>
      <c r="B84" s="14" t="inlineStr">
        <is>
          <t>VICTN1549303472678359040</t>
        </is>
      </c>
      <c r="C84" s="15" t="inlineStr">
        <is>
          <t>268392643477</t>
        </is>
      </c>
      <c r="D84" s="16" t="n">
        <v>46286.62900462963</v>
      </c>
      <c r="E84" s="17" t="n">
        <v>46286</v>
      </c>
      <c r="F84" s="14" t="inlineStr">
        <is>
          <t>Mon</t>
        </is>
      </c>
      <c r="G84" s="14" t="inlineStr">
        <is>
          <t>Northern</t>
        </is>
      </c>
      <c r="H84" s="14" t="inlineStr">
        <is>
          <t>SIM</t>
        </is>
      </c>
      <c r="I84" s="14" t="inlineStr">
        <is>
          <t>SIM - ID - FARIS HAFIZI</t>
        </is>
      </c>
      <c r="J84" s="14" t="inlineStr">
        <is>
          <t>ID (named driver)</t>
        </is>
      </c>
      <c r="K84" s="14" t="inlineStr">
        <is>
          <t>91836295</t>
        </is>
      </c>
      <c r="L84" s="14" t="n">
        <v>1</v>
      </c>
      <c r="M84" s="14" t="inlineStr">
        <is>
          <t>LM</t>
        </is>
      </c>
      <c r="N84" s="14" t="inlineStr">
        <is>
          <t>Fake Fail</t>
        </is>
      </c>
      <c r="O84" s="14" t="inlineStr">
        <is>
          <t>Call not connected / no response</t>
        </is>
      </c>
      <c r="P84" s="14" t="inlineStr">
        <is>
          <t>No</t>
        </is>
      </c>
      <c r="Q84" s="14" t="inlineStr">
        <is>
          <t>No</t>
        </is>
      </c>
      <c r="R84" s="14" t="inlineStr">
        <is>
          <t>Invalid POD call log same minute</t>
        </is>
      </c>
      <c r="S84" s="14" t="inlineStr">
        <is>
          <t>Ninja Hadif</t>
        </is>
      </c>
      <c r="T84" s="14">
        <f>COUNTIF($B$2:$B$499,B84)</f>
        <v/>
      </c>
      <c r="U84" s="14">
        <f>COUNTIF($I$2:$I$499,I84)</f>
        <v/>
      </c>
      <c r="V84" s="14">
        <f>IF(ISNA(MATCH(B84,'Metabase Lookup'!$A:$A,0)),"Not found",IF(INDEX('Metabase Lookup'!$B:$B,MATCH(B84,'Metabase Lookup'!$A:$A,0))="","Pending",INDEX('Metabase Lookup'!$B:$B,MATCH(B84,'Metabase Lookup'!$A:$A,0))))</f>
        <v/>
      </c>
      <c r="W84" s="14">
        <f>IF(ISNA(MATCH(B84,'Metabase Lookup'!$A:$A,0)),"Not found",IF(INDEX('Metabase Lookup'!$C:$C,MATCH(B84,'Metabase Lookup'!$A:$A,0))="","Pending",INDEX('Metabase Lookup'!$C:$C,MATCH(B84,'Metabase Lookup'!$A:$A,0))))</f>
        <v/>
      </c>
      <c r="X84" s="14">
        <f>IF(ISNA(MATCH(B84,'Metabase Lookup'!$A:$A,0)),"",IF(INDEX('Metabase Lookup'!$D:$D,MATCH(B84,'Metabase Lookup'!$A:$A,0))="","",INDEX('Metabase Lookup'!$D:$D,MATCH(B84,'Metabase Lookup'!$A:$A,0))))</f>
        <v/>
      </c>
      <c r="Y84" s="14">
        <f>IF(ISNUMBER(W84),IF(W84&gt;0,"Yes","No"),"Pending")</f>
        <v/>
      </c>
      <c r="Z84" s="14" t="inlineStr"/>
    </row>
    <row r="85">
      <c r="A85" s="14" t="n">
        <v>84</v>
      </c>
      <c r="B85" s="14" t="inlineStr">
        <is>
          <t>VICTN1549990377922347008</t>
        </is>
      </c>
      <c r="C85" s="15" t="inlineStr">
        <is>
          <t>268392643477</t>
        </is>
      </c>
      <c r="D85" s="16" t="n">
        <v>46286.62980324074</v>
      </c>
      <c r="E85" s="17" t="n">
        <v>46286</v>
      </c>
      <c r="F85" s="14" t="inlineStr">
        <is>
          <t>Mon</t>
        </is>
      </c>
      <c r="G85" s="14" t="inlineStr">
        <is>
          <t>KV</t>
        </is>
      </c>
      <c r="H85" s="14" t="inlineStr">
        <is>
          <t>SHM</t>
        </is>
      </c>
      <c r="I85" s="14" t="inlineStr">
        <is>
          <t>OPS - SHM</t>
        </is>
      </c>
      <c r="J85" s="14" t="inlineStr">
        <is>
          <t>OPS (generic hub account)</t>
        </is>
      </c>
      <c r="K85" s="14" t="inlineStr">
        <is>
          <t>91836515</t>
        </is>
      </c>
      <c r="L85" s="14" t="n">
        <v>1</v>
      </c>
      <c r="M85" s="14" t="inlineStr">
        <is>
          <t>LM</t>
        </is>
      </c>
      <c r="N85" s="14" t="inlineStr">
        <is>
          <t>Fake Fail</t>
        </is>
      </c>
      <c r="O85" s="14" t="inlineStr">
        <is>
          <t>No call / call log missing</t>
        </is>
      </c>
      <c r="P85" s="14" t="inlineStr">
        <is>
          <t>Yes</t>
        </is>
      </c>
      <c r="Q85" s="14" t="inlineStr">
        <is>
          <t>No</t>
        </is>
      </c>
      <c r="R85" s="14" t="inlineStr">
        <is>
          <t>Invalid POD no call log no location</t>
        </is>
      </c>
      <c r="S85" s="14" t="inlineStr">
        <is>
          <t>Ninja Hadif</t>
        </is>
      </c>
      <c r="T85" s="14">
        <f>COUNTIF($B$2:$B$499,B85)</f>
        <v/>
      </c>
      <c r="U85" s="14">
        <f>COUNTIF($I$2:$I$499,I85)</f>
        <v/>
      </c>
      <c r="V85" s="14">
        <f>IF(ISNA(MATCH(B85,'Metabase Lookup'!$A:$A,0)),"Not found",IF(INDEX('Metabase Lookup'!$B:$B,MATCH(B85,'Metabase Lookup'!$A:$A,0))="","Pending",INDEX('Metabase Lookup'!$B:$B,MATCH(B85,'Metabase Lookup'!$A:$A,0))))</f>
        <v/>
      </c>
      <c r="W85" s="14">
        <f>IF(ISNA(MATCH(B85,'Metabase Lookup'!$A:$A,0)),"Not found",IF(INDEX('Metabase Lookup'!$C:$C,MATCH(B85,'Metabase Lookup'!$A:$A,0))="","Pending",INDEX('Metabase Lookup'!$C:$C,MATCH(B85,'Metabase Lookup'!$A:$A,0))))</f>
        <v/>
      </c>
      <c r="X85" s="14">
        <f>IF(ISNA(MATCH(B85,'Metabase Lookup'!$A:$A,0)),"",IF(INDEX('Metabase Lookup'!$D:$D,MATCH(B85,'Metabase Lookup'!$A:$A,0))="","",INDEX('Metabase Lookup'!$D:$D,MATCH(B85,'Metabase Lookup'!$A:$A,0))))</f>
        <v/>
      </c>
      <c r="Y85" s="14">
        <f>IF(ISNUMBER(W85),IF(W85&gt;0,"Yes","No"),"Pending")</f>
        <v/>
      </c>
      <c r="Z85" s="14" t="inlineStr">
        <is>
          <t>Driver not identified (OPS account)</t>
        </is>
      </c>
    </row>
    <row r="86">
      <c r="A86" s="14" t="n">
        <v>85</v>
      </c>
      <c r="B86" s="14" t="inlineStr">
        <is>
          <t>NVMYONEGA000042476</t>
        </is>
      </c>
      <c r="C86" s="15" t="inlineStr">
        <is>
          <t>261932644543</t>
        </is>
      </c>
      <c r="D86" s="16" t="n">
        <v>46286.63538194444</v>
      </c>
      <c r="E86" s="17" t="n">
        <v>46286</v>
      </c>
      <c r="F86" s="14" t="inlineStr">
        <is>
          <t>Mon</t>
        </is>
      </c>
      <c r="G86" s="14" t="inlineStr">
        <is>
          <t>Northern</t>
        </is>
      </c>
      <c r="H86" s="14" t="inlineStr">
        <is>
          <t>SIM</t>
        </is>
      </c>
      <c r="I86" s="14" t="inlineStr">
        <is>
          <t>SIM - ID - ISMAIL</t>
        </is>
      </c>
      <c r="J86" s="14" t="inlineStr">
        <is>
          <t>ID (named driver)</t>
        </is>
      </c>
      <c r="K86" s="14" t="inlineStr">
        <is>
          <t>91845147</t>
        </is>
      </c>
      <c r="L86" s="14" t="n">
        <v>1</v>
      </c>
      <c r="M86" s="14" t="inlineStr">
        <is>
          <t>LM</t>
        </is>
      </c>
      <c r="N86" s="14" t="inlineStr">
        <is>
          <t>Fake Fail</t>
        </is>
      </c>
      <c r="O86" s="14" t="inlineStr">
        <is>
          <t>Wrong number called</t>
        </is>
      </c>
      <c r="P86" s="14" t="inlineStr">
        <is>
          <t>No</t>
        </is>
      </c>
      <c r="Q86" s="14" t="inlineStr">
        <is>
          <t>No</t>
        </is>
      </c>
      <c r="R86" s="14" t="inlineStr">
        <is>
          <t>Call wrong number</t>
        </is>
      </c>
      <c r="S86" s="14" t="inlineStr">
        <is>
          <t>Syafiq</t>
        </is>
      </c>
      <c r="T86" s="14">
        <f>COUNTIF($B$2:$B$499,B86)</f>
        <v/>
      </c>
      <c r="U86" s="14">
        <f>COUNTIF($I$2:$I$499,I86)</f>
        <v/>
      </c>
      <c r="V86" s="14">
        <f>IF(ISNA(MATCH(B86,'Metabase Lookup'!$A:$A,0)),"Not found",IF(INDEX('Metabase Lookup'!$B:$B,MATCH(B86,'Metabase Lookup'!$A:$A,0))="","Pending",INDEX('Metabase Lookup'!$B:$B,MATCH(B86,'Metabase Lookup'!$A:$A,0))))</f>
        <v/>
      </c>
      <c r="W86" s="14">
        <f>IF(ISNA(MATCH(B86,'Metabase Lookup'!$A:$A,0)),"Not found",IF(INDEX('Metabase Lookup'!$C:$C,MATCH(B86,'Metabase Lookup'!$A:$A,0))="","Pending",INDEX('Metabase Lookup'!$C:$C,MATCH(B86,'Metabase Lookup'!$A:$A,0))))</f>
        <v/>
      </c>
      <c r="X86" s="14">
        <f>IF(ISNA(MATCH(B86,'Metabase Lookup'!$A:$A,0)),"",IF(INDEX('Metabase Lookup'!$D:$D,MATCH(B86,'Metabase Lookup'!$A:$A,0))="","",INDEX('Metabase Lookup'!$D:$D,MATCH(B86,'Metabase Lookup'!$A:$A,0))))</f>
        <v/>
      </c>
      <c r="Y86" s="14">
        <f>IF(ISNUMBER(W86),IF(W86&gt;0,"Yes","No"),"Pending")</f>
        <v/>
      </c>
      <c r="Z86" s="14" t="inlineStr">
        <is>
          <t>TID had stray spaces/line breaks (cleaned)</t>
        </is>
      </c>
    </row>
    <row r="87">
      <c r="A87" s="14" t="n">
        <v>86</v>
      </c>
      <c r="B87" s="14" t="inlineStr">
        <is>
          <t>WNJMY00190082908</t>
        </is>
      </c>
      <c r="C87" s="15" t="inlineStr">
        <is>
          <t>264122642970</t>
        </is>
      </c>
      <c r="D87" s="16" t="n">
        <v>46286.64853009259</v>
      </c>
      <c r="E87" s="17" t="n">
        <v>46286</v>
      </c>
      <c r="F87" s="14" t="inlineStr">
        <is>
          <t>Mon</t>
        </is>
      </c>
      <c r="G87" s="14" t="inlineStr">
        <is>
          <t>East MY</t>
        </is>
      </c>
      <c r="H87" s="14" t="inlineStr">
        <is>
          <t>BKW</t>
        </is>
      </c>
      <c r="I87" s="14" t="inlineStr">
        <is>
          <t>BKW - OPS - SELFCOLLECT</t>
        </is>
      </c>
      <c r="J87" s="14" t="inlineStr">
        <is>
          <t>OPS (generic hub account)</t>
        </is>
      </c>
      <c r="K87" s="14" t="inlineStr">
        <is>
          <t>91845012</t>
        </is>
      </c>
      <c r="L87" s="14" t="n">
        <v>1</v>
      </c>
      <c r="M87" s="14" t="inlineStr">
        <is>
          <t>LM</t>
        </is>
      </c>
      <c r="N87" s="14" t="inlineStr">
        <is>
          <t>Fake Fail</t>
        </is>
      </c>
      <c r="O87" s="14" t="inlineStr">
        <is>
          <t>Invalid call log (unspecified)</t>
        </is>
      </c>
      <c r="P87" s="14" t="inlineStr">
        <is>
          <t>No</t>
        </is>
      </c>
      <c r="Q87" s="14" t="inlineStr">
        <is>
          <t>No</t>
        </is>
      </c>
      <c r="R87" s="14" t="inlineStr">
        <is>
          <t>driver attach invalid pod and call log is not under customer contact number</t>
        </is>
      </c>
      <c r="S87" s="14" t="inlineStr">
        <is>
          <t>Zati</t>
        </is>
      </c>
      <c r="T87" s="14">
        <f>COUNTIF($B$2:$B$499,B87)</f>
        <v/>
      </c>
      <c r="U87" s="14">
        <f>COUNTIF($I$2:$I$499,I87)</f>
        <v/>
      </c>
      <c r="V87" s="14">
        <f>IF(ISNA(MATCH(B87,'Metabase Lookup'!$A:$A,0)),"Not found",IF(INDEX('Metabase Lookup'!$B:$B,MATCH(B87,'Metabase Lookup'!$A:$A,0))="","Pending",INDEX('Metabase Lookup'!$B:$B,MATCH(B87,'Metabase Lookup'!$A:$A,0))))</f>
        <v/>
      </c>
      <c r="W87" s="14">
        <f>IF(ISNA(MATCH(B87,'Metabase Lookup'!$A:$A,0)),"Not found",IF(INDEX('Metabase Lookup'!$C:$C,MATCH(B87,'Metabase Lookup'!$A:$A,0))="","Pending",INDEX('Metabase Lookup'!$C:$C,MATCH(B87,'Metabase Lookup'!$A:$A,0))))</f>
        <v/>
      </c>
      <c r="X87" s="14">
        <f>IF(ISNA(MATCH(B87,'Metabase Lookup'!$A:$A,0)),"",IF(INDEX('Metabase Lookup'!$D:$D,MATCH(B87,'Metabase Lookup'!$A:$A,0))="","",INDEX('Metabase Lookup'!$D:$D,MATCH(B87,'Metabase Lookup'!$A:$A,0))))</f>
        <v/>
      </c>
      <c r="Y87" s="14">
        <f>IF(ISNUMBER(W87),IF(W87&gt;0,"Yes","No"),"Pending")</f>
        <v/>
      </c>
      <c r="Z87" s="14" t="inlineStr">
        <is>
          <t>Driver not identified (OPS account)</t>
        </is>
      </c>
    </row>
    <row r="88">
      <c r="A88" s="14" t="n">
        <v>87</v>
      </c>
      <c r="B88" s="14" t="inlineStr">
        <is>
          <t>APGUK012000005049513</t>
        </is>
      </c>
      <c r="C88" s="15" t="inlineStr">
        <is>
          <t>260472645118</t>
        </is>
      </c>
      <c r="D88" s="16" t="n">
        <v>46286.66800925926</v>
      </c>
      <c r="E88" s="17" t="n">
        <v>46286</v>
      </c>
      <c r="F88" s="14" t="inlineStr">
        <is>
          <t>Mon</t>
        </is>
      </c>
      <c r="G88" s="14" t="inlineStr">
        <is>
          <t>KV</t>
        </is>
      </c>
      <c r="H88" s="14" t="inlineStr">
        <is>
          <t>PJY</t>
        </is>
      </c>
      <c r="I88" s="14" t="inlineStr">
        <is>
          <t>OPS - PJY</t>
        </is>
      </c>
      <c r="J88" s="14" t="inlineStr">
        <is>
          <t>OPS (generic hub account)</t>
        </is>
      </c>
      <c r="K88" s="14" t="inlineStr">
        <is>
          <t>91841536</t>
        </is>
      </c>
      <c r="L88" s="14" t="n">
        <v>1</v>
      </c>
      <c r="M88" s="14" t="inlineStr">
        <is>
          <t>LM</t>
        </is>
      </c>
      <c r="N88" s="14" t="inlineStr">
        <is>
          <t>Fake Fail</t>
        </is>
      </c>
      <c r="O88" s="14" t="inlineStr">
        <is>
          <t>Wrong number called</t>
        </is>
      </c>
      <c r="P88" s="14" t="inlineStr">
        <is>
          <t>No</t>
        </is>
      </c>
      <c r="Q88" s="14" t="inlineStr">
        <is>
          <t>No</t>
        </is>
      </c>
      <c r="R88" s="14" t="inlineStr">
        <is>
          <t>Driver attach invalid POD and call log not belong to customer</t>
        </is>
      </c>
      <c r="S88" s="14" t="inlineStr">
        <is>
          <t>Zati</t>
        </is>
      </c>
      <c r="T88" s="14">
        <f>COUNTIF($B$2:$B$499,B88)</f>
        <v/>
      </c>
      <c r="U88" s="14">
        <f>COUNTIF($I$2:$I$499,I88)</f>
        <v/>
      </c>
      <c r="V88" s="14">
        <f>IF(ISNA(MATCH(B88,'Metabase Lookup'!$A:$A,0)),"Not found",IF(INDEX('Metabase Lookup'!$B:$B,MATCH(B88,'Metabase Lookup'!$A:$A,0))="","Pending",INDEX('Metabase Lookup'!$B:$B,MATCH(B88,'Metabase Lookup'!$A:$A,0))))</f>
        <v/>
      </c>
      <c r="W88" s="14">
        <f>IF(ISNA(MATCH(B88,'Metabase Lookup'!$A:$A,0)),"Not found",IF(INDEX('Metabase Lookup'!$C:$C,MATCH(B88,'Metabase Lookup'!$A:$A,0))="","Pending",INDEX('Metabase Lookup'!$C:$C,MATCH(B88,'Metabase Lookup'!$A:$A,0))))</f>
        <v/>
      </c>
      <c r="X88" s="14">
        <f>IF(ISNA(MATCH(B88,'Metabase Lookup'!$A:$A,0)),"",IF(INDEX('Metabase Lookup'!$D:$D,MATCH(B88,'Metabase Lookup'!$A:$A,0))="","",INDEX('Metabase Lookup'!$D:$D,MATCH(B88,'Metabase Lookup'!$A:$A,0))))</f>
        <v/>
      </c>
      <c r="Y88" s="14">
        <f>IF(ISNUMBER(W88),IF(W88&gt;0,"Yes","No"),"Pending")</f>
        <v/>
      </c>
      <c r="Z88" s="14" t="inlineStr">
        <is>
          <t>Driver not identified (OPS account)</t>
        </is>
      </c>
    </row>
    <row r="89">
      <c r="A89" s="14" t="n">
        <v>88</v>
      </c>
      <c r="B89" s="14" t="inlineStr">
        <is>
          <t>RNCNV000498992</t>
        </is>
      </c>
      <c r="C89" s="15" t="inlineStr">
        <is>
          <t>260512649179</t>
        </is>
      </c>
      <c r="D89" s="16" t="n">
        <v>46286.66925925926</v>
      </c>
      <c r="E89" s="17" t="n">
        <v>46286</v>
      </c>
      <c r="F89" s="14" t="inlineStr">
        <is>
          <t>Mon</t>
        </is>
      </c>
      <c r="G89" s="14" t="inlineStr">
        <is>
          <t>KV</t>
        </is>
      </c>
      <c r="H89" s="14" t="inlineStr">
        <is>
          <t>OUG</t>
        </is>
      </c>
      <c r="I89" s="14" t="inlineStr">
        <is>
          <t>OUG - ID - ROHIDAYU | OUG -ID - NORASHIKIN</t>
        </is>
      </c>
      <c r="J89" s="14" t="inlineStr">
        <is>
          <t>Multiple drivers</t>
        </is>
      </c>
      <c r="K89" s="14" t="inlineStr">
        <is>
          <t>91809937, 91821985, 91834432</t>
        </is>
      </c>
      <c r="L89" s="14" t="n">
        <v>3</v>
      </c>
      <c r="M89" s="14" t="inlineStr">
        <is>
          <t>LM</t>
        </is>
      </c>
      <c r="N89" s="14" t="inlineStr">
        <is>
          <t>Failed pick-up</t>
        </is>
      </c>
      <c r="O89" s="14" t="inlineStr"/>
      <c r="P89" s="14" t="inlineStr"/>
      <c r="Q89" s="14" t="inlineStr"/>
      <c r="R89" s="14" t="inlineStr">
        <is>
          <t>There was no response to the message, and the call log also shows that there were no 3 call attempts made.</t>
        </is>
      </c>
      <c r="S89" s="14" t="inlineStr">
        <is>
          <t>Izzni</t>
        </is>
      </c>
      <c r="T89" s="14">
        <f>COUNTIF($B$2:$B$499,B89)</f>
        <v/>
      </c>
      <c r="U89" s="14">
        <f>COUNTIF($I$2:$I$499,I89)</f>
        <v/>
      </c>
      <c r="V89" s="14">
        <f>IF(ISNA(MATCH(B89,'Metabase Lookup'!$A:$A,0)),"Not found",IF(INDEX('Metabase Lookup'!$B:$B,MATCH(B89,'Metabase Lookup'!$A:$A,0))="","Pending",INDEX('Metabase Lookup'!$B:$B,MATCH(B89,'Metabase Lookup'!$A:$A,0))))</f>
        <v/>
      </c>
      <c r="W89" s="14">
        <f>IF(ISNA(MATCH(B89,'Metabase Lookup'!$A:$A,0)),"Not found",IF(INDEX('Metabase Lookup'!$C:$C,MATCH(B89,'Metabase Lookup'!$A:$A,0))="","Pending",INDEX('Metabase Lookup'!$C:$C,MATCH(B89,'Metabase Lookup'!$A:$A,0))))</f>
        <v/>
      </c>
      <c r="X89" s="14">
        <f>IF(ISNA(MATCH(B89,'Metabase Lookup'!$A:$A,0)),"",IF(INDEX('Metabase Lookup'!$D:$D,MATCH(B89,'Metabase Lookup'!$A:$A,0))="","",INDEX('Metabase Lookup'!$D:$D,MATCH(B89,'Metabase Lookup'!$A:$A,0))))</f>
        <v/>
      </c>
      <c r="Y89" s="14">
        <f>IF(ISNUMBER(W89),IF(W89&gt;0,"Yes","No"),"Pending")</f>
        <v/>
      </c>
      <c r="Z89" s="14" t="inlineStr">
        <is>
          <t>Multiple drivers in one row; Multiple route IDs</t>
        </is>
      </c>
    </row>
    <row r="90">
      <c r="A90" s="14" t="n">
        <v>89</v>
      </c>
      <c r="B90" s="14" t="inlineStr">
        <is>
          <t>NVMYCOMOO000015506</t>
        </is>
      </c>
      <c r="C90" s="15" t="inlineStr">
        <is>
          <t>260342647229</t>
        </is>
      </c>
      <c r="D90" s="16" t="n">
        <v>46286.67391203704</v>
      </c>
      <c r="E90" s="17" t="n">
        <v>46286</v>
      </c>
      <c r="F90" s="14" t="inlineStr">
        <is>
          <t>Mon</t>
        </is>
      </c>
      <c r="G90" s="14" t="inlineStr">
        <is>
          <t>Southern</t>
        </is>
      </c>
      <c r="H90" s="14" t="inlineStr">
        <is>
          <t>GLG</t>
        </is>
      </c>
      <c r="I90" s="14" t="inlineStr">
        <is>
          <t>GLG - OPS - ENGKU</t>
        </is>
      </c>
      <c r="J90" s="14" t="inlineStr">
        <is>
          <t>OPS (generic hub account)</t>
        </is>
      </c>
      <c r="K90" s="14" t="inlineStr">
        <is>
          <t>91851583</t>
        </is>
      </c>
      <c r="L90" s="14" t="n">
        <v>1</v>
      </c>
      <c r="M90" s="14" t="inlineStr">
        <is>
          <t>LM</t>
        </is>
      </c>
      <c r="N90" s="14" t="inlineStr">
        <is>
          <t>Fake Fail</t>
        </is>
      </c>
      <c r="O90" s="14" t="inlineStr">
        <is>
          <t>Invalid call log (unspecified)</t>
        </is>
      </c>
      <c r="P90" s="14" t="inlineStr">
        <is>
          <t>No</t>
        </is>
      </c>
      <c r="Q90" s="14" t="inlineStr">
        <is>
          <t>No</t>
        </is>
      </c>
      <c r="R90" s="14" t="inlineStr">
        <is>
          <t>driver not attach call log and customer not receive any call from driver</t>
        </is>
      </c>
      <c r="S90" s="14" t="inlineStr">
        <is>
          <t>Zati</t>
        </is>
      </c>
      <c r="T90" s="14">
        <f>COUNTIF($B$2:$B$499,B90)</f>
        <v/>
      </c>
      <c r="U90" s="14">
        <f>COUNTIF($I$2:$I$499,I90)</f>
        <v/>
      </c>
      <c r="V90" s="14">
        <f>IF(ISNA(MATCH(B90,'Metabase Lookup'!$A:$A,0)),"Not found",IF(INDEX('Metabase Lookup'!$B:$B,MATCH(B90,'Metabase Lookup'!$A:$A,0))="","Pending",INDEX('Metabase Lookup'!$B:$B,MATCH(B90,'Metabase Lookup'!$A:$A,0))))</f>
        <v/>
      </c>
      <c r="W90" s="14">
        <f>IF(ISNA(MATCH(B90,'Metabase Lookup'!$A:$A,0)),"Not found",IF(INDEX('Metabase Lookup'!$C:$C,MATCH(B90,'Metabase Lookup'!$A:$A,0))="","Pending",INDEX('Metabase Lookup'!$C:$C,MATCH(B90,'Metabase Lookup'!$A:$A,0))))</f>
        <v/>
      </c>
      <c r="X90" s="14">
        <f>IF(ISNA(MATCH(B90,'Metabase Lookup'!$A:$A,0)),"",IF(INDEX('Metabase Lookup'!$D:$D,MATCH(B90,'Metabase Lookup'!$A:$A,0))="","",INDEX('Metabase Lookup'!$D:$D,MATCH(B90,'Metabase Lookup'!$A:$A,0))))</f>
        <v/>
      </c>
      <c r="Y90" s="14">
        <f>IF(ISNUMBER(W90),IF(W90&gt;0,"Yes","No"),"Pending")</f>
        <v/>
      </c>
      <c r="Z90" s="14" t="inlineStr">
        <is>
          <t>TID logged more than once; Driver not identified (OPS account)</t>
        </is>
      </c>
    </row>
    <row r="91">
      <c r="A91" s="14" t="n">
        <v>90</v>
      </c>
      <c r="B91" s="14" t="inlineStr">
        <is>
          <t>NVMYCHMOT000000348</t>
        </is>
      </c>
      <c r="C91" s="15" t="inlineStr">
        <is>
          <t>261302649825</t>
        </is>
      </c>
      <c r="D91" s="16" t="n">
        <v>46286.68875</v>
      </c>
      <c r="E91" s="17" t="n">
        <v>46286</v>
      </c>
      <c r="F91" s="14" t="inlineStr">
        <is>
          <t>Mon</t>
        </is>
      </c>
      <c r="G91" s="14" t="inlineStr">
        <is>
          <t>Southern</t>
        </is>
      </c>
      <c r="H91" s="14" t="inlineStr">
        <is>
          <t>SGT</t>
        </is>
      </c>
      <c r="I91" s="14" t="inlineStr">
        <is>
          <t>SGT - ID - IBRAHIM</t>
        </is>
      </c>
      <c r="J91" s="14" t="inlineStr">
        <is>
          <t>ID (named driver)</t>
        </is>
      </c>
      <c r="K91" s="14" t="inlineStr">
        <is>
          <t>91796333</t>
        </is>
      </c>
      <c r="L91" s="14" t="n">
        <v>1</v>
      </c>
      <c r="M91" s="14" t="inlineStr">
        <is>
          <t>LM</t>
        </is>
      </c>
      <c r="N91" s="14" t="inlineStr">
        <is>
          <t>Parcel Dumping</t>
        </is>
      </c>
      <c r="O91" s="14" t="inlineStr"/>
      <c r="P91" s="14" t="inlineStr"/>
      <c r="Q91" s="14" t="inlineStr"/>
      <c r="R91" s="14" t="inlineStr">
        <is>
          <t>driver dumped the parcel w.out acknowledge the customer</t>
        </is>
      </c>
      <c r="S91" s="14" t="inlineStr">
        <is>
          <t>Yana</t>
        </is>
      </c>
      <c r="T91" s="14">
        <f>COUNTIF($B$2:$B$499,B91)</f>
        <v/>
      </c>
      <c r="U91" s="14">
        <f>COUNTIF($I$2:$I$499,I91)</f>
        <v/>
      </c>
      <c r="V91" s="14">
        <f>IF(ISNA(MATCH(B91,'Metabase Lookup'!$A:$A,0)),"Not found",IF(INDEX('Metabase Lookup'!$B:$B,MATCH(B91,'Metabase Lookup'!$A:$A,0))="","Pending",INDEX('Metabase Lookup'!$B:$B,MATCH(B91,'Metabase Lookup'!$A:$A,0))))</f>
        <v/>
      </c>
      <c r="W91" s="14">
        <f>IF(ISNA(MATCH(B91,'Metabase Lookup'!$A:$A,0)),"Not found",IF(INDEX('Metabase Lookup'!$C:$C,MATCH(B91,'Metabase Lookup'!$A:$A,0))="","Pending",INDEX('Metabase Lookup'!$C:$C,MATCH(B91,'Metabase Lookup'!$A:$A,0))))</f>
        <v/>
      </c>
      <c r="X91" s="14">
        <f>IF(ISNA(MATCH(B91,'Metabase Lookup'!$A:$A,0)),"",IF(INDEX('Metabase Lookup'!$D:$D,MATCH(B91,'Metabase Lookup'!$A:$A,0))="","",INDEX('Metabase Lookup'!$D:$D,MATCH(B91,'Metabase Lookup'!$A:$A,0))))</f>
        <v/>
      </c>
      <c r="Y91" s="14">
        <f>IF(ISNUMBER(W91),IF(W91&gt;0,"Yes","No"),"Pending")</f>
        <v/>
      </c>
      <c r="Z91" s="14" t="inlineStr"/>
    </row>
    <row r="92">
      <c r="A92" s="14" t="n">
        <v>91</v>
      </c>
      <c r="B92" s="14" t="inlineStr">
        <is>
          <t>NVMY21533000009024</t>
        </is>
      </c>
      <c r="C92" s="15" t="inlineStr">
        <is>
          <t>265772643374</t>
        </is>
      </c>
      <c r="D92" s="16" t="n">
        <v>46286.69047453703</v>
      </c>
      <c r="E92" s="17" t="n">
        <v>46286</v>
      </c>
      <c r="F92" s="14" t="inlineStr">
        <is>
          <t>Mon</t>
        </is>
      </c>
      <c r="G92" s="14" t="inlineStr">
        <is>
          <t>Northern</t>
        </is>
      </c>
      <c r="H92" s="14" t="inlineStr">
        <is>
          <t>SIM</t>
        </is>
      </c>
      <c r="I92" s="14" t="inlineStr">
        <is>
          <t>STW - FM - Azril Naim</t>
        </is>
      </c>
      <c r="J92" s="14" t="inlineStr">
        <is>
          <t>FM (first-mile)</t>
        </is>
      </c>
      <c r="K92" s="14" t="inlineStr">
        <is>
          <t>91844721</t>
        </is>
      </c>
      <c r="L92" s="14" t="n">
        <v>1</v>
      </c>
      <c r="M92" s="14" t="inlineStr">
        <is>
          <t>LM</t>
        </is>
      </c>
      <c r="N92" s="14" t="inlineStr">
        <is>
          <t>Fake Fail</t>
        </is>
      </c>
      <c r="O92" s="14" t="inlineStr">
        <is>
          <t>No call / call log missing</t>
        </is>
      </c>
      <c r="P92" s="14" t="inlineStr">
        <is>
          <t>Yes</t>
        </is>
      </c>
      <c r="Q92" s="14" t="inlineStr">
        <is>
          <t>No</t>
        </is>
      </c>
      <c r="R92" s="14" t="inlineStr">
        <is>
          <t>No call log &amp; invalid site photo</t>
        </is>
      </c>
      <c r="S92" s="14" t="inlineStr">
        <is>
          <t>Yana</t>
        </is>
      </c>
      <c r="T92" s="14">
        <f>COUNTIF($B$2:$B$499,B92)</f>
        <v/>
      </c>
      <c r="U92" s="14">
        <f>COUNTIF($I$2:$I$499,I92)</f>
        <v/>
      </c>
      <c r="V92" s="14">
        <f>IF(ISNA(MATCH(B92,'Metabase Lookup'!$A:$A,0)),"Not found",IF(INDEX('Metabase Lookup'!$B:$B,MATCH(B92,'Metabase Lookup'!$A:$A,0))="","Pending",INDEX('Metabase Lookup'!$B:$B,MATCH(B92,'Metabase Lookup'!$A:$A,0))))</f>
        <v/>
      </c>
      <c r="W92" s="14">
        <f>IF(ISNA(MATCH(B92,'Metabase Lookup'!$A:$A,0)),"Not found",IF(INDEX('Metabase Lookup'!$C:$C,MATCH(B92,'Metabase Lookup'!$A:$A,0))="","Pending",INDEX('Metabase Lookup'!$C:$C,MATCH(B92,'Metabase Lookup'!$A:$A,0))))</f>
        <v/>
      </c>
      <c r="X92" s="14">
        <f>IF(ISNA(MATCH(B92,'Metabase Lookup'!$A:$A,0)),"",IF(INDEX('Metabase Lookup'!$D:$D,MATCH(B92,'Metabase Lookup'!$A:$A,0))="","",INDEX('Metabase Lookup'!$D:$D,MATCH(B92,'Metabase Lookup'!$A:$A,0))))</f>
        <v/>
      </c>
      <c r="Y92" s="14">
        <f>IF(ISNUMBER(W92),IF(W92&gt;0,"Yes","No"),"Pending")</f>
        <v/>
      </c>
      <c r="Z92" s="14" t="inlineStr"/>
    </row>
    <row r="93">
      <c r="A93" s="14" t="n">
        <v>92</v>
      </c>
      <c r="B93" s="14" t="inlineStr">
        <is>
          <t>NVMYSIS120SIS48138</t>
        </is>
      </c>
      <c r="C93" s="15" t="inlineStr">
        <is>
          <t>260302644596</t>
        </is>
      </c>
      <c r="D93" s="16" t="n">
        <v>46286.69168981481</v>
      </c>
      <c r="E93" s="17" t="n">
        <v>46286</v>
      </c>
      <c r="F93" s="14" t="inlineStr">
        <is>
          <t>Mon</t>
        </is>
      </c>
      <c r="G93" s="14" t="inlineStr">
        <is>
          <t>KV</t>
        </is>
      </c>
      <c r="H93" s="14" t="inlineStr">
        <is>
          <t>PJY</t>
        </is>
      </c>
      <c r="I93" s="14" t="inlineStr">
        <is>
          <t>OPS - PJY</t>
        </is>
      </c>
      <c r="J93" s="14" t="inlineStr">
        <is>
          <t>OPS (generic hub account)</t>
        </is>
      </c>
      <c r="K93" s="14" t="inlineStr">
        <is>
          <t>91841536</t>
        </is>
      </c>
      <c r="L93" s="14" t="n">
        <v>1</v>
      </c>
      <c r="M93" s="14" t="inlineStr">
        <is>
          <t>LM</t>
        </is>
      </c>
      <c r="N93" s="14" t="inlineStr">
        <is>
          <t>Fake Fail</t>
        </is>
      </c>
      <c r="O93" s="14" t="inlineStr">
        <is>
          <t>Wrong number called</t>
        </is>
      </c>
      <c r="P93" s="14" t="inlineStr">
        <is>
          <t>No</t>
        </is>
      </c>
      <c r="Q93" s="14" t="inlineStr">
        <is>
          <t>No</t>
        </is>
      </c>
      <c r="R93" s="14" t="inlineStr">
        <is>
          <t>POD invalid and call log not belong to customer</t>
        </is>
      </c>
      <c r="S93" s="14" t="inlineStr">
        <is>
          <t>Zati</t>
        </is>
      </c>
      <c r="T93" s="14">
        <f>COUNTIF($B$2:$B$499,B93)</f>
        <v/>
      </c>
      <c r="U93" s="14">
        <f>COUNTIF($I$2:$I$499,I93)</f>
        <v/>
      </c>
      <c r="V93" s="14">
        <f>IF(ISNA(MATCH(B93,'Metabase Lookup'!$A:$A,0)),"Not found",IF(INDEX('Metabase Lookup'!$B:$B,MATCH(B93,'Metabase Lookup'!$A:$A,0))="","Pending",INDEX('Metabase Lookup'!$B:$B,MATCH(B93,'Metabase Lookup'!$A:$A,0))))</f>
        <v/>
      </c>
      <c r="W93" s="14">
        <f>IF(ISNA(MATCH(B93,'Metabase Lookup'!$A:$A,0)),"Not found",IF(INDEX('Metabase Lookup'!$C:$C,MATCH(B93,'Metabase Lookup'!$A:$A,0))="","Pending",INDEX('Metabase Lookup'!$C:$C,MATCH(B93,'Metabase Lookup'!$A:$A,0))))</f>
        <v/>
      </c>
      <c r="X93" s="14">
        <f>IF(ISNA(MATCH(B93,'Metabase Lookup'!$A:$A,0)),"",IF(INDEX('Metabase Lookup'!$D:$D,MATCH(B93,'Metabase Lookup'!$A:$A,0))="","",INDEX('Metabase Lookup'!$D:$D,MATCH(B93,'Metabase Lookup'!$A:$A,0))))</f>
        <v/>
      </c>
      <c r="Y93" s="14">
        <f>IF(ISNUMBER(W93),IF(W93&gt;0,"Yes","No"),"Pending")</f>
        <v/>
      </c>
      <c r="Z93" s="14" t="inlineStr">
        <is>
          <t>Driver not identified (OPS account)</t>
        </is>
      </c>
    </row>
    <row r="94">
      <c r="A94" s="14" t="n">
        <v>93</v>
      </c>
      <c r="B94" s="14" t="inlineStr">
        <is>
          <t>ZNV946827970-1591</t>
        </is>
      </c>
      <c r="C94" s="15" t="inlineStr">
        <is>
          <t>266272640209</t>
        </is>
      </c>
      <c r="D94" s="16" t="n">
        <v>46286.69207175926</v>
      </c>
      <c r="E94" s="17" t="n">
        <v>46286</v>
      </c>
      <c r="F94" s="14" t="inlineStr">
        <is>
          <t>Mon</t>
        </is>
      </c>
      <c r="G94" s="14" t="inlineStr">
        <is>
          <t>South West</t>
        </is>
      </c>
      <c r="H94" s="14" t="inlineStr">
        <is>
          <t>BHU</t>
        </is>
      </c>
      <c r="I94" s="14" t="inlineStr">
        <is>
          <t>BHU - OPS - IMAN</t>
        </is>
      </c>
      <c r="J94" s="14" t="inlineStr">
        <is>
          <t>OPS (generic hub account)</t>
        </is>
      </c>
      <c r="K94" s="14" t="inlineStr">
        <is>
          <t>91835659</t>
        </is>
      </c>
      <c r="L94" s="14" t="n">
        <v>1</v>
      </c>
      <c r="M94" s="14" t="inlineStr">
        <is>
          <t>LM</t>
        </is>
      </c>
      <c r="N94" s="14" t="inlineStr">
        <is>
          <t>Fake Fail</t>
        </is>
      </c>
      <c r="O94" s="14" t="inlineStr">
        <is>
          <t>Invalid POD (no detail)</t>
        </is>
      </c>
      <c r="P94" s="14" t="inlineStr">
        <is>
          <t>No</t>
        </is>
      </c>
      <c r="Q94" s="14" t="inlineStr">
        <is>
          <t>Yes</t>
        </is>
      </c>
      <c r="R94" s="14" t="inlineStr">
        <is>
          <t>invalid POD, failed under ops</t>
        </is>
      </c>
      <c r="S94" s="14" t="inlineStr">
        <is>
          <t>Yana</t>
        </is>
      </c>
      <c r="T94" s="14">
        <f>COUNTIF($B$2:$B$499,B94)</f>
        <v/>
      </c>
      <c r="U94" s="14">
        <f>COUNTIF($I$2:$I$499,I94)</f>
        <v/>
      </c>
      <c r="V94" s="14">
        <f>IF(ISNA(MATCH(B94,'Metabase Lookup'!$A:$A,0)),"Not found",IF(INDEX('Metabase Lookup'!$B:$B,MATCH(B94,'Metabase Lookup'!$A:$A,0))="","Pending",INDEX('Metabase Lookup'!$B:$B,MATCH(B94,'Metabase Lookup'!$A:$A,0))))</f>
        <v/>
      </c>
      <c r="W94" s="14">
        <f>IF(ISNA(MATCH(B94,'Metabase Lookup'!$A:$A,0)),"Not found",IF(INDEX('Metabase Lookup'!$C:$C,MATCH(B94,'Metabase Lookup'!$A:$A,0))="","Pending",INDEX('Metabase Lookup'!$C:$C,MATCH(B94,'Metabase Lookup'!$A:$A,0))))</f>
        <v/>
      </c>
      <c r="X94" s="14">
        <f>IF(ISNA(MATCH(B94,'Metabase Lookup'!$A:$A,0)),"",IF(INDEX('Metabase Lookup'!$D:$D,MATCH(B94,'Metabase Lookup'!$A:$A,0))="","",INDEX('Metabase Lookup'!$D:$D,MATCH(B94,'Metabase Lookup'!$A:$A,0))))</f>
        <v/>
      </c>
      <c r="Y94" s="14">
        <f>IF(ISNUMBER(W94),IF(W94&gt;0,"Yes","No"),"Pending")</f>
        <v/>
      </c>
      <c r="Z94" s="14" t="inlineStr">
        <is>
          <t>Driver not identified (OPS account)</t>
        </is>
      </c>
    </row>
    <row r="95">
      <c r="A95" s="14" t="n">
        <v>94</v>
      </c>
      <c r="B95" s="14" t="inlineStr">
        <is>
          <t>ADI111550678986921603072</t>
        </is>
      </c>
      <c r="C95" s="15" t="inlineStr">
        <is>
          <t>267102648859</t>
        </is>
      </c>
      <c r="D95" s="16" t="n">
        <v>46286.69387731481</v>
      </c>
      <c r="E95" s="17" t="n">
        <v>46286</v>
      </c>
      <c r="F95" s="14" t="inlineStr">
        <is>
          <t>Mon</t>
        </is>
      </c>
      <c r="G95" s="14" t="inlineStr">
        <is>
          <t>Southern</t>
        </is>
      </c>
      <c r="H95" s="14" t="inlineStr">
        <is>
          <t>LKN</t>
        </is>
      </c>
      <c r="I95" s="14" t="inlineStr">
        <is>
          <t>LKN - ID - FADZLY</t>
        </is>
      </c>
      <c r="J95" s="14" t="inlineStr">
        <is>
          <t>ID (named driver)</t>
        </is>
      </c>
      <c r="K95" s="14" t="inlineStr">
        <is>
          <t>91859932</t>
        </is>
      </c>
      <c r="L95" s="14" t="n">
        <v>1</v>
      </c>
      <c r="M95" s="14" t="inlineStr">
        <is>
          <t>LM</t>
        </is>
      </c>
      <c r="N95" s="14" t="inlineStr">
        <is>
          <t>Fake Fail</t>
        </is>
      </c>
      <c r="O95" s="14" t="inlineStr">
        <is>
          <t>Invalid call log (unspecified)</t>
        </is>
      </c>
      <c r="P95" s="14" t="inlineStr">
        <is>
          <t>Yes</t>
        </is>
      </c>
      <c r="Q95" s="14" t="inlineStr">
        <is>
          <t>No</t>
        </is>
      </c>
      <c r="R95" s="14" t="inlineStr">
        <is>
          <t>invalid call log &amp; site photo</t>
        </is>
      </c>
      <c r="S95" s="14" t="inlineStr">
        <is>
          <t>Yana</t>
        </is>
      </c>
      <c r="T95" s="14">
        <f>COUNTIF($B$2:$B$499,B95)</f>
        <v/>
      </c>
      <c r="U95" s="14">
        <f>COUNTIF($I$2:$I$499,I95)</f>
        <v/>
      </c>
      <c r="V95" s="14">
        <f>IF(ISNA(MATCH(B95,'Metabase Lookup'!$A:$A,0)),"Not found",IF(INDEX('Metabase Lookup'!$B:$B,MATCH(B95,'Metabase Lookup'!$A:$A,0))="","Pending",INDEX('Metabase Lookup'!$B:$B,MATCH(B95,'Metabase Lookup'!$A:$A,0))))</f>
        <v/>
      </c>
      <c r="W95" s="14">
        <f>IF(ISNA(MATCH(B95,'Metabase Lookup'!$A:$A,0)),"Not found",IF(INDEX('Metabase Lookup'!$C:$C,MATCH(B95,'Metabase Lookup'!$A:$A,0))="","Pending",INDEX('Metabase Lookup'!$C:$C,MATCH(B95,'Metabase Lookup'!$A:$A,0))))</f>
        <v/>
      </c>
      <c r="X95" s="14">
        <f>IF(ISNA(MATCH(B95,'Metabase Lookup'!$A:$A,0)),"",IF(INDEX('Metabase Lookup'!$D:$D,MATCH(B95,'Metabase Lookup'!$A:$A,0))="","",INDEX('Metabase Lookup'!$D:$D,MATCH(B95,'Metabase Lookup'!$A:$A,0))))</f>
        <v/>
      </c>
      <c r="Y95" s="14">
        <f>IF(ISNUMBER(W95),IF(W95&gt;0,"Yes","No"),"Pending")</f>
        <v/>
      </c>
      <c r="Z95" s="14" t="inlineStr"/>
    </row>
    <row r="96">
      <c r="A96" s="14" t="n">
        <v>95</v>
      </c>
      <c r="B96" s="14" t="inlineStr">
        <is>
          <t>TNGE126047281027686000</t>
        </is>
      </c>
      <c r="C96" s="15" t="inlineStr">
        <is>
          <t>262432640726</t>
        </is>
      </c>
      <c r="D96" s="16" t="n">
        <v>46286.69608796296</v>
      </c>
      <c r="E96" s="17" t="n">
        <v>46286</v>
      </c>
      <c r="F96" s="14" t="inlineStr">
        <is>
          <t>Mon</t>
        </is>
      </c>
      <c r="G96" s="14" t="inlineStr">
        <is>
          <t>Northern</t>
        </is>
      </c>
      <c r="H96" s="14" t="inlineStr">
        <is>
          <t>PSN</t>
        </is>
      </c>
      <c r="I96" s="14" t="inlineStr">
        <is>
          <t>PSN - OPS - PSN HUB</t>
        </is>
      </c>
      <c r="J96" s="14" t="inlineStr">
        <is>
          <t>OPS (generic hub account)</t>
        </is>
      </c>
      <c r="K96" s="14" t="inlineStr">
        <is>
          <t>91851443</t>
        </is>
      </c>
      <c r="L96" s="14" t="n">
        <v>1</v>
      </c>
      <c r="M96" s="14" t="inlineStr">
        <is>
          <t>LM</t>
        </is>
      </c>
      <c r="N96" s="14" t="inlineStr">
        <is>
          <t>Fake Fail</t>
        </is>
      </c>
      <c r="O96" s="14" t="inlineStr">
        <is>
          <t>No call / call log missing</t>
        </is>
      </c>
      <c r="P96" s="14" t="inlineStr">
        <is>
          <t>No</t>
        </is>
      </c>
      <c r="Q96" s="14" t="inlineStr">
        <is>
          <t>No</t>
        </is>
      </c>
      <c r="R96" s="14" t="inlineStr">
        <is>
          <t>driver not call the customer and pod invalid</t>
        </is>
      </c>
      <c r="S96" s="14" t="inlineStr">
        <is>
          <t>Zati</t>
        </is>
      </c>
      <c r="T96" s="14">
        <f>COUNTIF($B$2:$B$499,B96)</f>
        <v/>
      </c>
      <c r="U96" s="14">
        <f>COUNTIF($I$2:$I$499,I96)</f>
        <v/>
      </c>
      <c r="V96" s="14">
        <f>IF(ISNA(MATCH(B96,'Metabase Lookup'!$A:$A,0)),"Not found",IF(INDEX('Metabase Lookup'!$B:$B,MATCH(B96,'Metabase Lookup'!$A:$A,0))="","Pending",INDEX('Metabase Lookup'!$B:$B,MATCH(B96,'Metabase Lookup'!$A:$A,0))))</f>
        <v/>
      </c>
      <c r="W96" s="14">
        <f>IF(ISNA(MATCH(B96,'Metabase Lookup'!$A:$A,0)),"Not found",IF(INDEX('Metabase Lookup'!$C:$C,MATCH(B96,'Metabase Lookup'!$A:$A,0))="","Pending",INDEX('Metabase Lookup'!$C:$C,MATCH(B96,'Metabase Lookup'!$A:$A,0))))</f>
        <v/>
      </c>
      <c r="X96" s="14">
        <f>IF(ISNA(MATCH(B96,'Metabase Lookup'!$A:$A,0)),"",IF(INDEX('Metabase Lookup'!$D:$D,MATCH(B96,'Metabase Lookup'!$A:$A,0))="","",INDEX('Metabase Lookup'!$D:$D,MATCH(B96,'Metabase Lookup'!$A:$A,0))))</f>
        <v/>
      </c>
      <c r="Y96" s="14">
        <f>IF(ISNUMBER(W96),IF(W96&gt;0,"Yes","No"),"Pending")</f>
        <v/>
      </c>
      <c r="Z96" s="14" t="inlineStr">
        <is>
          <t>Driver not identified (OPS account)</t>
        </is>
      </c>
    </row>
    <row r="97">
      <c r="A97" s="14" t="n">
        <v>96</v>
      </c>
      <c r="B97" s="14" t="inlineStr">
        <is>
          <t>NVMYNINJA002511067</t>
        </is>
      </c>
      <c r="C97" s="15" t="inlineStr">
        <is>
          <t>262232641528</t>
        </is>
      </c>
      <c r="D97" s="16" t="n">
        <v>46286.69983796297</v>
      </c>
      <c r="E97" s="17" t="n">
        <v>46286</v>
      </c>
      <c r="F97" s="14" t="inlineStr">
        <is>
          <t>Mon</t>
        </is>
      </c>
      <c r="G97" s="14" t="inlineStr">
        <is>
          <t>South West</t>
        </is>
      </c>
      <c r="H97" s="14" t="inlineStr">
        <is>
          <t>PDS</t>
        </is>
      </c>
      <c r="I97" s="14" t="inlineStr">
        <is>
          <t>PDS - HR - MOHD SHAHIZAN</t>
        </is>
      </c>
      <c r="J97" s="14" t="inlineStr">
        <is>
          <t>HR (named)</t>
        </is>
      </c>
      <c r="K97" s="14" t="inlineStr">
        <is>
          <t>91844338</t>
        </is>
      </c>
      <c r="L97" s="14" t="n">
        <v>1</v>
      </c>
      <c r="M97" s="14" t="inlineStr">
        <is>
          <t>LM</t>
        </is>
      </c>
      <c r="N97" s="14" t="inlineStr">
        <is>
          <t>Deliver to Wrong Address</t>
        </is>
      </c>
      <c r="O97" s="14" t="inlineStr"/>
      <c r="P97" s="14" t="inlineStr"/>
      <c r="Q97" s="14" t="inlineStr"/>
      <c r="R97" s="14" t="inlineStr">
        <is>
          <t>the driver delivered to wrong address instead of cust address</t>
        </is>
      </c>
      <c r="S97" s="14" t="inlineStr">
        <is>
          <t>Naveen</t>
        </is>
      </c>
      <c r="T97" s="14">
        <f>COUNTIF($B$2:$B$499,B97)</f>
        <v/>
      </c>
      <c r="U97" s="14">
        <f>COUNTIF($I$2:$I$499,I97)</f>
        <v/>
      </c>
      <c r="V97" s="14">
        <f>IF(ISNA(MATCH(B97,'Metabase Lookup'!$A:$A,0)),"Not found",IF(INDEX('Metabase Lookup'!$B:$B,MATCH(B97,'Metabase Lookup'!$A:$A,0))="","Pending",INDEX('Metabase Lookup'!$B:$B,MATCH(B97,'Metabase Lookup'!$A:$A,0))))</f>
        <v/>
      </c>
      <c r="W97" s="14">
        <f>IF(ISNA(MATCH(B97,'Metabase Lookup'!$A:$A,0)),"Not found",IF(INDEX('Metabase Lookup'!$C:$C,MATCH(B97,'Metabase Lookup'!$A:$A,0))="","Pending",INDEX('Metabase Lookup'!$C:$C,MATCH(B97,'Metabase Lookup'!$A:$A,0))))</f>
        <v/>
      </c>
      <c r="X97" s="14">
        <f>IF(ISNA(MATCH(B97,'Metabase Lookup'!$A:$A,0)),"",IF(INDEX('Metabase Lookup'!$D:$D,MATCH(B97,'Metabase Lookup'!$A:$A,0))="","",INDEX('Metabase Lookup'!$D:$D,MATCH(B97,'Metabase Lookup'!$A:$A,0))))</f>
        <v/>
      </c>
      <c r="Y97" s="14">
        <f>IF(ISNUMBER(W97),IF(W97&gt;0,"Yes","No"),"Pending")</f>
        <v/>
      </c>
      <c r="Z97" s="14" t="inlineStr">
        <is>
          <t>TID had stray spaces/line breaks (cleaned)</t>
        </is>
      </c>
    </row>
    <row r="98">
      <c r="A98" s="14" t="n">
        <v>97</v>
      </c>
      <c r="B98" s="14" t="inlineStr">
        <is>
          <t>MYMPA261084847</t>
        </is>
      </c>
      <c r="C98" s="15" t="inlineStr">
        <is>
          <t>261332644861</t>
        </is>
      </c>
      <c r="D98" s="16" t="n">
        <v>46286.7075</v>
      </c>
      <c r="E98" s="17" t="n">
        <v>46286</v>
      </c>
      <c r="F98" s="14" t="inlineStr">
        <is>
          <t>Mon</t>
        </is>
      </c>
      <c r="G98" s="14" t="inlineStr">
        <is>
          <t>KV</t>
        </is>
      </c>
      <c r="H98" s="14" t="inlineStr">
        <is>
          <t>BRP</t>
        </is>
      </c>
      <c r="I98" s="14" t="inlineStr">
        <is>
          <t>OPS - BRP</t>
        </is>
      </c>
      <c r="J98" s="14" t="inlineStr">
        <is>
          <t>OPS (generic hub account)</t>
        </is>
      </c>
      <c r="K98" s="14" t="inlineStr">
        <is>
          <t>91838463</t>
        </is>
      </c>
      <c r="L98" s="14" t="n">
        <v>1</v>
      </c>
      <c r="M98" s="14" t="inlineStr">
        <is>
          <t>LM</t>
        </is>
      </c>
      <c r="N98" s="14" t="inlineStr">
        <is>
          <t>Fake Fail</t>
        </is>
      </c>
      <c r="O98" s="14" t="inlineStr">
        <is>
          <t>Invalid call log (unspecified)</t>
        </is>
      </c>
      <c r="P98" s="14" t="inlineStr">
        <is>
          <t>No</t>
        </is>
      </c>
      <c r="Q98" s="14" t="inlineStr">
        <is>
          <t>No</t>
        </is>
      </c>
      <c r="R98" s="14" t="inlineStr">
        <is>
          <t>driver attach invalid call log</t>
        </is>
      </c>
      <c r="S98" s="14" t="inlineStr">
        <is>
          <t>Zati</t>
        </is>
      </c>
      <c r="T98" s="14">
        <f>COUNTIF($B$2:$B$499,B98)</f>
        <v/>
      </c>
      <c r="U98" s="14">
        <f>COUNTIF($I$2:$I$499,I98)</f>
        <v/>
      </c>
      <c r="V98" s="14">
        <f>IF(ISNA(MATCH(B98,'Metabase Lookup'!$A:$A,0)),"Not found",IF(INDEX('Metabase Lookup'!$B:$B,MATCH(B98,'Metabase Lookup'!$A:$A,0))="","Pending",INDEX('Metabase Lookup'!$B:$B,MATCH(B98,'Metabase Lookup'!$A:$A,0))))</f>
        <v/>
      </c>
      <c r="W98" s="14">
        <f>IF(ISNA(MATCH(B98,'Metabase Lookup'!$A:$A,0)),"Not found",IF(INDEX('Metabase Lookup'!$C:$C,MATCH(B98,'Metabase Lookup'!$A:$A,0))="","Pending",INDEX('Metabase Lookup'!$C:$C,MATCH(B98,'Metabase Lookup'!$A:$A,0))))</f>
        <v/>
      </c>
      <c r="X98" s="14">
        <f>IF(ISNA(MATCH(B98,'Metabase Lookup'!$A:$A,0)),"",IF(INDEX('Metabase Lookup'!$D:$D,MATCH(B98,'Metabase Lookup'!$A:$A,0))="","",INDEX('Metabase Lookup'!$D:$D,MATCH(B98,'Metabase Lookup'!$A:$A,0))))</f>
        <v/>
      </c>
      <c r="Y98" s="14">
        <f>IF(ISNUMBER(W98),IF(W98&gt;0,"Yes","No"),"Pending")</f>
        <v/>
      </c>
      <c r="Z98" s="14" t="inlineStr">
        <is>
          <t>Driver not identified (OPS account)</t>
        </is>
      </c>
    </row>
    <row r="99">
      <c r="A99" s="14" t="n">
        <v>98</v>
      </c>
      <c r="B99" s="14" t="inlineStr">
        <is>
          <t>NVMYGMPKT00SH8766A</t>
        </is>
      </c>
      <c r="C99" s="15" t="inlineStr">
        <is>
          <t>267522649784</t>
        </is>
      </c>
      <c r="D99" s="16" t="n">
        <v>46286.71230324074</v>
      </c>
      <c r="E99" s="17" t="n">
        <v>46286</v>
      </c>
      <c r="F99" s="14" t="inlineStr">
        <is>
          <t>Mon</t>
        </is>
      </c>
      <c r="G99" s="14" t="inlineStr">
        <is>
          <t>KV</t>
        </is>
      </c>
      <c r="H99" s="14" t="inlineStr">
        <is>
          <t>ARA</t>
        </is>
      </c>
      <c r="I99" s="14" t="inlineStr">
        <is>
          <t>ARA - HR - ARIFF</t>
        </is>
      </c>
      <c r="J99" s="14" t="inlineStr">
        <is>
          <t>HR (named)</t>
        </is>
      </c>
      <c r="K99" s="14" t="inlineStr">
        <is>
          <t>91650967</t>
        </is>
      </c>
      <c r="L99" s="14" t="n">
        <v>1</v>
      </c>
      <c r="M99" s="14" t="inlineStr">
        <is>
          <t>LM</t>
        </is>
      </c>
      <c r="N99" s="14" t="inlineStr">
        <is>
          <t>Fake Success</t>
        </is>
      </c>
      <c r="O99" s="14" t="inlineStr"/>
      <c r="P99" s="14" t="inlineStr"/>
      <c r="Q99" s="14" t="inlineStr"/>
      <c r="R99" s="14" t="inlineStr">
        <is>
          <t>completed on 2026-08-29 16:08:35 but unable to investigate due to complete more 7days</t>
        </is>
      </c>
      <c r="S99" s="14" t="inlineStr">
        <is>
          <t>Hartini</t>
        </is>
      </c>
      <c r="T99" s="14">
        <f>COUNTIF($B$2:$B$499,B99)</f>
        <v/>
      </c>
      <c r="U99" s="14">
        <f>COUNTIF($I$2:$I$499,I99)</f>
        <v/>
      </c>
      <c r="V99" s="14">
        <f>IF(ISNA(MATCH(B99,'Metabase Lookup'!$A:$A,0)),"Not found",IF(INDEX('Metabase Lookup'!$B:$B,MATCH(B99,'Metabase Lookup'!$A:$A,0))="","Pending",INDEX('Metabase Lookup'!$B:$B,MATCH(B99,'Metabase Lookup'!$A:$A,0))))</f>
        <v/>
      </c>
      <c r="W99" s="14">
        <f>IF(ISNA(MATCH(B99,'Metabase Lookup'!$A:$A,0)),"Not found",IF(INDEX('Metabase Lookup'!$C:$C,MATCH(B99,'Metabase Lookup'!$A:$A,0))="","Pending",INDEX('Metabase Lookup'!$C:$C,MATCH(B99,'Metabase Lookup'!$A:$A,0))))</f>
        <v/>
      </c>
      <c r="X99" s="14">
        <f>IF(ISNA(MATCH(B99,'Metabase Lookup'!$A:$A,0)),"",IF(INDEX('Metabase Lookup'!$D:$D,MATCH(B99,'Metabase Lookup'!$A:$A,0))="","",INDEX('Metabase Lookup'!$D:$D,MATCH(B99,'Metabase Lookup'!$A:$A,0))))</f>
        <v/>
      </c>
      <c r="Y99" s="14">
        <f>IF(ISNUMBER(W99),IF(W99&gt;0,"Yes","No"),"Pending")</f>
        <v/>
      </c>
      <c r="Z99" s="14" t="inlineStr"/>
    </row>
    <row r="100">
      <c r="A100" s="14" t="n">
        <v>99</v>
      </c>
      <c r="B100" s="14" t="inlineStr">
        <is>
          <t>NVMYROBAN000005753</t>
        </is>
      </c>
      <c r="C100" s="15" t="inlineStr">
        <is>
          <t>260662646082</t>
        </is>
      </c>
      <c r="D100" s="16" t="n">
        <v>46286.71501157407</v>
      </c>
      <c r="E100" s="17" t="n">
        <v>46286</v>
      </c>
      <c r="F100" s="14" t="inlineStr">
        <is>
          <t>Mon</t>
        </is>
      </c>
      <c r="G100" s="14" t="inlineStr">
        <is>
          <t>KV</t>
        </is>
      </c>
      <c r="H100" s="14" t="inlineStr">
        <is>
          <t>PJY</t>
        </is>
      </c>
      <c r="I100" s="14" t="inlineStr">
        <is>
          <t>OPS - PJY</t>
        </is>
      </c>
      <c r="J100" s="14" t="inlineStr">
        <is>
          <t>OPS (generic hub account)</t>
        </is>
      </c>
      <c r="K100" s="14" t="inlineStr">
        <is>
          <t>91844728</t>
        </is>
      </c>
      <c r="L100" s="14" t="n">
        <v>1</v>
      </c>
      <c r="M100" s="14" t="inlineStr">
        <is>
          <t>LM</t>
        </is>
      </c>
      <c r="N100" s="14" t="inlineStr">
        <is>
          <t>Fake Fail</t>
        </is>
      </c>
      <c r="O100" s="14" t="inlineStr">
        <is>
          <t>Invalid POD (no detail)</t>
        </is>
      </c>
      <c r="P100" s="14" t="inlineStr">
        <is>
          <t>No</t>
        </is>
      </c>
      <c r="Q100" s="14" t="inlineStr">
        <is>
          <t>Yes</t>
        </is>
      </c>
      <c r="R100" s="14" t="inlineStr">
        <is>
          <t>invalid POD, failed under ops</t>
        </is>
      </c>
      <c r="S100" s="14" t="inlineStr">
        <is>
          <t>Yana</t>
        </is>
      </c>
      <c r="T100" s="14">
        <f>COUNTIF($B$2:$B$499,B100)</f>
        <v/>
      </c>
      <c r="U100" s="14">
        <f>COUNTIF($I$2:$I$499,I100)</f>
        <v/>
      </c>
      <c r="V100" s="14">
        <f>IF(ISNA(MATCH(B100,'Metabase Lookup'!$A:$A,0)),"Not found",IF(INDEX('Metabase Lookup'!$B:$B,MATCH(B100,'Metabase Lookup'!$A:$A,0))="","Pending",INDEX('Metabase Lookup'!$B:$B,MATCH(B100,'Metabase Lookup'!$A:$A,0))))</f>
        <v/>
      </c>
      <c r="W100" s="14">
        <f>IF(ISNA(MATCH(B100,'Metabase Lookup'!$A:$A,0)),"Not found",IF(INDEX('Metabase Lookup'!$C:$C,MATCH(B100,'Metabase Lookup'!$A:$A,0))="","Pending",INDEX('Metabase Lookup'!$C:$C,MATCH(B100,'Metabase Lookup'!$A:$A,0))))</f>
        <v/>
      </c>
      <c r="X100" s="14">
        <f>IF(ISNA(MATCH(B100,'Metabase Lookup'!$A:$A,0)),"",IF(INDEX('Metabase Lookup'!$D:$D,MATCH(B100,'Metabase Lookup'!$A:$A,0))="","",INDEX('Metabase Lookup'!$D:$D,MATCH(B100,'Metabase Lookup'!$A:$A,0))))</f>
        <v/>
      </c>
      <c r="Y100" s="14">
        <f>IF(ISNUMBER(W100),IF(W100&gt;0,"Yes","No"),"Pending")</f>
        <v/>
      </c>
      <c r="Z100" s="14" t="inlineStr">
        <is>
          <t>Driver not identified (OPS account)</t>
        </is>
      </c>
    </row>
    <row r="101">
      <c r="A101" s="14" t="n">
        <v>100</v>
      </c>
      <c r="B101" s="14" t="inlineStr">
        <is>
          <t>NVMYYUSMM000002979</t>
        </is>
      </c>
      <c r="C101" s="15" t="inlineStr">
        <is>
          <t>269662640854</t>
        </is>
      </c>
      <c r="D101" s="16" t="n">
        <v>46286.71631944444</v>
      </c>
      <c r="E101" s="17" t="n">
        <v>46286</v>
      </c>
      <c r="F101" s="14" t="inlineStr">
        <is>
          <t>Mon</t>
        </is>
      </c>
      <c r="G101" s="14" t="inlineStr">
        <is>
          <t>KV</t>
        </is>
      </c>
      <c r="H101" s="14" t="inlineStr">
        <is>
          <t>OUG</t>
        </is>
      </c>
      <c r="I101" s="14" t="inlineStr">
        <is>
          <t>OUG - ID - DARREN</t>
        </is>
      </c>
      <c r="J101" s="14" t="inlineStr">
        <is>
          <t>ID (named driver)</t>
        </is>
      </c>
      <c r="K101" s="14" t="inlineStr">
        <is>
          <t>91722983</t>
        </is>
      </c>
      <c r="L101" s="14" t="n">
        <v>1</v>
      </c>
      <c r="M101" s="14" t="inlineStr">
        <is>
          <t>LM</t>
        </is>
      </c>
      <c r="N101" s="14" t="inlineStr">
        <is>
          <t>Fake Success</t>
        </is>
      </c>
      <c r="O101" s="14" t="inlineStr"/>
      <c r="P101" s="14" t="inlineStr"/>
      <c r="Q101" s="14" t="inlineStr"/>
      <c r="R101" s="14" t="inlineStr">
        <is>
          <t>driver not delivered the parcel, just take the picture as pod and not drop the parcel at mailroom</t>
        </is>
      </c>
      <c r="S101" s="14" t="inlineStr">
        <is>
          <t>Zati</t>
        </is>
      </c>
      <c r="T101" s="14">
        <f>COUNTIF($B$2:$B$499,B101)</f>
        <v/>
      </c>
      <c r="U101" s="14">
        <f>COUNTIF($I$2:$I$499,I101)</f>
        <v/>
      </c>
      <c r="V101" s="14">
        <f>IF(ISNA(MATCH(B101,'Metabase Lookup'!$A:$A,0)),"Not found",IF(INDEX('Metabase Lookup'!$B:$B,MATCH(B101,'Metabase Lookup'!$A:$A,0))="","Pending",INDEX('Metabase Lookup'!$B:$B,MATCH(B101,'Metabase Lookup'!$A:$A,0))))</f>
        <v/>
      </c>
      <c r="W101" s="14">
        <f>IF(ISNA(MATCH(B101,'Metabase Lookup'!$A:$A,0)),"Not found",IF(INDEX('Metabase Lookup'!$C:$C,MATCH(B101,'Metabase Lookup'!$A:$A,0))="","Pending",INDEX('Metabase Lookup'!$C:$C,MATCH(B101,'Metabase Lookup'!$A:$A,0))))</f>
        <v/>
      </c>
      <c r="X101" s="14">
        <f>IF(ISNA(MATCH(B101,'Metabase Lookup'!$A:$A,0)),"",IF(INDEX('Metabase Lookup'!$D:$D,MATCH(B101,'Metabase Lookup'!$A:$A,0))="","",INDEX('Metabase Lookup'!$D:$D,MATCH(B101,'Metabase Lookup'!$A:$A,0))))</f>
        <v/>
      </c>
      <c r="Y101" s="14">
        <f>IF(ISNUMBER(W101),IF(W101&gt;0,"Yes","No"),"Pending")</f>
        <v/>
      </c>
      <c r="Z101" s="14" t="inlineStr"/>
    </row>
    <row r="102">
      <c r="A102" s="14" t="n">
        <v>101</v>
      </c>
      <c r="B102" s="14" t="inlineStr">
        <is>
          <t>ESHP003312054</t>
        </is>
      </c>
      <c r="C102" s="15" t="inlineStr">
        <is>
          <t>267402644756</t>
        </is>
      </c>
      <c r="D102" s="16" t="n">
        <v>46286.72212962963</v>
      </c>
      <c r="E102" s="17" t="n">
        <v>46286</v>
      </c>
      <c r="F102" s="14" t="inlineStr">
        <is>
          <t>Mon</t>
        </is>
      </c>
      <c r="G102" s="14" t="inlineStr">
        <is>
          <t>Northern</t>
        </is>
      </c>
      <c r="H102" s="14" t="inlineStr">
        <is>
          <t>BAY</t>
        </is>
      </c>
      <c r="I102" s="14" t="inlineStr">
        <is>
          <t>BAY - ID - GOH SOO ENG</t>
        </is>
      </c>
      <c r="J102" s="14" t="inlineStr">
        <is>
          <t>ID (named driver)</t>
        </is>
      </c>
      <c r="K102" s="14" t="inlineStr">
        <is>
          <t>91855725</t>
        </is>
      </c>
      <c r="L102" s="14" t="n">
        <v>1</v>
      </c>
      <c r="M102" s="14" t="inlineStr">
        <is>
          <t>LM</t>
        </is>
      </c>
      <c r="N102" s="14" t="inlineStr">
        <is>
          <t>Fake Fail</t>
        </is>
      </c>
      <c r="O102" s="14" t="inlineStr">
        <is>
          <t>Invalid call log (unspecified)</t>
        </is>
      </c>
      <c r="P102" s="14" t="inlineStr">
        <is>
          <t>Yes</t>
        </is>
      </c>
      <c r="Q102" s="14" t="inlineStr">
        <is>
          <t>No</t>
        </is>
      </c>
      <c r="R102" s="14" t="inlineStr">
        <is>
          <t>invalid call log &amp; site photo</t>
        </is>
      </c>
      <c r="S102" s="14" t="inlineStr">
        <is>
          <t>Yana</t>
        </is>
      </c>
      <c r="T102" s="14">
        <f>COUNTIF($B$2:$B$499,B102)</f>
        <v/>
      </c>
      <c r="U102" s="14">
        <f>COUNTIF($I$2:$I$499,I102)</f>
        <v/>
      </c>
      <c r="V102" s="14">
        <f>IF(ISNA(MATCH(B102,'Metabase Lookup'!$A:$A,0)),"Not found",IF(INDEX('Metabase Lookup'!$B:$B,MATCH(B102,'Metabase Lookup'!$A:$A,0))="","Pending",INDEX('Metabase Lookup'!$B:$B,MATCH(B102,'Metabase Lookup'!$A:$A,0))))</f>
        <v/>
      </c>
      <c r="W102" s="14">
        <f>IF(ISNA(MATCH(B102,'Metabase Lookup'!$A:$A,0)),"Not found",IF(INDEX('Metabase Lookup'!$C:$C,MATCH(B102,'Metabase Lookup'!$A:$A,0))="","Pending",INDEX('Metabase Lookup'!$C:$C,MATCH(B102,'Metabase Lookup'!$A:$A,0))))</f>
        <v/>
      </c>
      <c r="X102" s="14">
        <f>IF(ISNA(MATCH(B102,'Metabase Lookup'!$A:$A,0)),"",IF(INDEX('Metabase Lookup'!$D:$D,MATCH(B102,'Metabase Lookup'!$A:$A,0))="","",INDEX('Metabase Lookup'!$D:$D,MATCH(B102,'Metabase Lookup'!$A:$A,0))))</f>
        <v/>
      </c>
      <c r="Y102" s="14">
        <f>IF(ISNUMBER(W102),IF(W102&gt;0,"Yes","No"),"Pending")</f>
        <v/>
      </c>
      <c r="Z102" s="14" t="inlineStr"/>
    </row>
    <row r="103">
      <c r="A103" s="14" t="n">
        <v>102</v>
      </c>
      <c r="B103" s="14" t="inlineStr">
        <is>
          <t>MYNJV70067115778</t>
        </is>
      </c>
      <c r="C103" s="15" t="inlineStr">
        <is>
          <t>269832642806</t>
        </is>
      </c>
      <c r="D103" s="16" t="n">
        <v>46286.72222222222</v>
      </c>
      <c r="E103" s="17" t="n">
        <v>46286</v>
      </c>
      <c r="F103" s="14" t="inlineStr">
        <is>
          <t>Mon</t>
        </is>
      </c>
      <c r="G103" s="14" t="inlineStr">
        <is>
          <t>KV</t>
        </is>
      </c>
      <c r="H103" s="14" t="inlineStr">
        <is>
          <t>STL</t>
        </is>
      </c>
      <c r="I103" s="14" t="inlineStr">
        <is>
          <t>OPS - STL</t>
        </is>
      </c>
      <c r="J103" s="14" t="inlineStr">
        <is>
          <t>OPS (generic hub account)</t>
        </is>
      </c>
      <c r="K103" s="14" t="inlineStr">
        <is>
          <t>91851488</t>
        </is>
      </c>
      <c r="L103" s="14" t="n">
        <v>1</v>
      </c>
      <c r="M103" s="14" t="inlineStr">
        <is>
          <t>LM</t>
        </is>
      </c>
      <c r="N103" s="14" t="inlineStr">
        <is>
          <t>Fake Fail</t>
        </is>
      </c>
      <c r="O103" s="14" t="inlineStr">
        <is>
          <t>No call / call log missing</t>
        </is>
      </c>
      <c r="P103" s="14" t="inlineStr">
        <is>
          <t>No</t>
        </is>
      </c>
      <c r="Q103" s="14" t="inlineStr">
        <is>
          <t>No</t>
        </is>
      </c>
      <c r="R103" s="14" t="inlineStr">
        <is>
          <t>no call log attach and pod is fake</t>
        </is>
      </c>
      <c r="S103" s="14" t="inlineStr">
        <is>
          <t>Zati</t>
        </is>
      </c>
      <c r="T103" s="14">
        <f>COUNTIF($B$2:$B$499,B103)</f>
        <v/>
      </c>
      <c r="U103" s="14">
        <f>COUNTIF($I$2:$I$499,I103)</f>
        <v/>
      </c>
      <c r="V103" s="14">
        <f>IF(ISNA(MATCH(B103,'Metabase Lookup'!$A:$A,0)),"Not found",IF(INDEX('Metabase Lookup'!$B:$B,MATCH(B103,'Metabase Lookup'!$A:$A,0))="","Pending",INDEX('Metabase Lookup'!$B:$B,MATCH(B103,'Metabase Lookup'!$A:$A,0))))</f>
        <v/>
      </c>
      <c r="W103" s="14">
        <f>IF(ISNA(MATCH(B103,'Metabase Lookup'!$A:$A,0)),"Not found",IF(INDEX('Metabase Lookup'!$C:$C,MATCH(B103,'Metabase Lookup'!$A:$A,0))="","Pending",INDEX('Metabase Lookup'!$C:$C,MATCH(B103,'Metabase Lookup'!$A:$A,0))))</f>
        <v/>
      </c>
      <c r="X103" s="14">
        <f>IF(ISNA(MATCH(B103,'Metabase Lookup'!$A:$A,0)),"",IF(INDEX('Metabase Lookup'!$D:$D,MATCH(B103,'Metabase Lookup'!$A:$A,0))="","",INDEX('Metabase Lookup'!$D:$D,MATCH(B103,'Metabase Lookup'!$A:$A,0))))</f>
        <v/>
      </c>
      <c r="Y103" s="14">
        <f>IF(ISNUMBER(W103),IF(W103&gt;0,"Yes","No"),"Pending")</f>
        <v/>
      </c>
      <c r="Z103" s="14" t="inlineStr">
        <is>
          <t>Driver not identified (OPS account)</t>
        </is>
      </c>
    </row>
    <row r="104">
      <c r="A104" s="14" t="n">
        <v>103</v>
      </c>
      <c r="B104" s="14" t="inlineStr">
        <is>
          <t>NVMYNINJA002497597</t>
        </is>
      </c>
      <c r="C104" s="15" t="inlineStr">
        <is>
          <t>262682606153</t>
        </is>
      </c>
      <c r="D104" s="16" t="n">
        <v>46286.72237268519</v>
      </c>
      <c r="E104" s="17" t="n">
        <v>46286</v>
      </c>
      <c r="F104" s="14" t="inlineStr">
        <is>
          <t>Mon</t>
        </is>
      </c>
      <c r="G104" s="14" t="inlineStr">
        <is>
          <t>Southern</t>
        </is>
      </c>
      <c r="H104" s="14" t="inlineStr">
        <is>
          <t>GLG</t>
        </is>
      </c>
      <c r="I104" s="14" t="inlineStr">
        <is>
          <t>MUHAMMAD YASIN ALI</t>
        </is>
      </c>
      <c r="J104" s="14" t="inlineStr">
        <is>
          <t>Name only (no hub/code)</t>
        </is>
      </c>
      <c r="K104" s="14" t="inlineStr">
        <is>
          <t>91788555</t>
        </is>
      </c>
      <c r="L104" s="14" t="n">
        <v>1</v>
      </c>
      <c r="M104" s="14" t="inlineStr">
        <is>
          <t>LM</t>
        </is>
      </c>
      <c r="N104" s="14" t="inlineStr">
        <is>
          <t>Lost Item</t>
        </is>
      </c>
      <c r="O104" s="14" t="inlineStr"/>
      <c r="P104" s="14" t="inlineStr"/>
      <c r="Q104" s="14" t="inlineStr"/>
      <c r="R104" s="14" t="inlineStr">
        <is>
          <t>driver success the parcel before delivered to customer without consent which leads to parcel being lost</t>
        </is>
      </c>
      <c r="S104" s="14" t="inlineStr">
        <is>
          <t>Aimenn Aiyad</t>
        </is>
      </c>
      <c r="T104" s="14">
        <f>COUNTIF($B$2:$B$499,B104)</f>
        <v/>
      </c>
      <c r="U104" s="14">
        <f>COUNTIF($I$2:$I$499,I104)</f>
        <v/>
      </c>
      <c r="V104" s="14">
        <f>IF(ISNA(MATCH(B104,'Metabase Lookup'!$A:$A,0)),"Not found",IF(INDEX('Metabase Lookup'!$B:$B,MATCH(B104,'Metabase Lookup'!$A:$A,0))="","Pending",INDEX('Metabase Lookup'!$B:$B,MATCH(B104,'Metabase Lookup'!$A:$A,0))))</f>
        <v/>
      </c>
      <c r="W104" s="14">
        <f>IF(ISNA(MATCH(B104,'Metabase Lookup'!$A:$A,0)),"Not found",IF(INDEX('Metabase Lookup'!$C:$C,MATCH(B104,'Metabase Lookup'!$A:$A,0))="","Pending",INDEX('Metabase Lookup'!$C:$C,MATCH(B104,'Metabase Lookup'!$A:$A,0))))</f>
        <v/>
      </c>
      <c r="X104" s="14">
        <f>IF(ISNA(MATCH(B104,'Metabase Lookup'!$A:$A,0)),"",IF(INDEX('Metabase Lookup'!$D:$D,MATCH(B104,'Metabase Lookup'!$A:$A,0))="","",INDEX('Metabase Lookup'!$D:$D,MATCH(B104,'Metabase Lookup'!$A:$A,0))))</f>
        <v/>
      </c>
      <c r="Y104" s="14">
        <f>IF(ISNUMBER(W104),IF(W104&gt;0,"Yes","No"),"Pending")</f>
        <v/>
      </c>
      <c r="Z104" s="14" t="inlineStr"/>
    </row>
    <row r="105">
      <c r="A105" s="14" t="n">
        <v>104</v>
      </c>
      <c r="B105" s="14" t="inlineStr">
        <is>
          <t>ZMP258439945-6440</t>
        </is>
      </c>
      <c r="C105" s="15" t="inlineStr">
        <is>
          <t>260532631041</t>
        </is>
      </c>
      <c r="D105" s="16" t="n">
        <v>46286.72695601852</v>
      </c>
      <c r="E105" s="17" t="n">
        <v>46286</v>
      </c>
      <c r="F105" s="14" t="inlineStr">
        <is>
          <t>Mon</t>
        </is>
      </c>
      <c r="G105" s="14" t="inlineStr">
        <is>
          <t>KV</t>
        </is>
      </c>
      <c r="H105" s="14" t="inlineStr">
        <is>
          <t>ARA</t>
        </is>
      </c>
      <c r="I105" s="14" t="inlineStr">
        <is>
          <t>ARA - HD - NAIM</t>
        </is>
      </c>
      <c r="J105" s="14" t="inlineStr">
        <is>
          <t>HD (named)</t>
        </is>
      </c>
      <c r="K105" s="14" t="inlineStr">
        <is>
          <t>91783684</t>
        </is>
      </c>
      <c r="L105" s="14" t="n">
        <v>1</v>
      </c>
      <c r="M105" s="14" t="inlineStr">
        <is>
          <t>LM</t>
        </is>
      </c>
      <c r="N105" s="14" t="inlineStr">
        <is>
          <t>Deliver to Wrong Address</t>
        </is>
      </c>
      <c r="O105" s="14" t="inlineStr"/>
      <c r="P105" s="14" t="inlineStr"/>
      <c r="Q105" s="14" t="inlineStr"/>
      <c r="R105" s="14" t="inlineStr">
        <is>
          <t>driver del to wrong address, cust rcvd after made a complaint</t>
        </is>
      </c>
      <c r="S105" s="14" t="inlineStr">
        <is>
          <t>Yana</t>
        </is>
      </c>
      <c r="T105" s="14">
        <f>COUNTIF($B$2:$B$499,B105)</f>
        <v/>
      </c>
      <c r="U105" s="14">
        <f>COUNTIF($I$2:$I$499,I105)</f>
        <v/>
      </c>
      <c r="V105" s="14">
        <f>IF(ISNA(MATCH(B105,'Metabase Lookup'!$A:$A,0)),"Not found",IF(INDEX('Metabase Lookup'!$B:$B,MATCH(B105,'Metabase Lookup'!$A:$A,0))="","Pending",INDEX('Metabase Lookup'!$B:$B,MATCH(B105,'Metabase Lookup'!$A:$A,0))))</f>
        <v/>
      </c>
      <c r="W105" s="14">
        <f>IF(ISNA(MATCH(B105,'Metabase Lookup'!$A:$A,0)),"Not found",IF(INDEX('Metabase Lookup'!$C:$C,MATCH(B105,'Metabase Lookup'!$A:$A,0))="","Pending",INDEX('Metabase Lookup'!$C:$C,MATCH(B105,'Metabase Lookup'!$A:$A,0))))</f>
        <v/>
      </c>
      <c r="X105" s="14">
        <f>IF(ISNA(MATCH(B105,'Metabase Lookup'!$A:$A,0)),"",IF(INDEX('Metabase Lookup'!$D:$D,MATCH(B105,'Metabase Lookup'!$A:$A,0))="","",INDEX('Metabase Lookup'!$D:$D,MATCH(B105,'Metabase Lookup'!$A:$A,0))))</f>
        <v/>
      </c>
      <c r="Y105" s="14">
        <f>IF(ISNUMBER(W105),IF(W105&gt;0,"Yes","No"),"Pending")</f>
        <v/>
      </c>
      <c r="Z105" s="14" t="inlineStr"/>
    </row>
    <row r="106">
      <c r="A106" s="14" t="n">
        <v>105</v>
      </c>
      <c r="B106" s="14" t="inlineStr">
        <is>
          <t>NVMYHYGRR00121440A</t>
        </is>
      </c>
      <c r="C106" s="15" t="inlineStr">
        <is>
          <t>269162649397</t>
        </is>
      </c>
      <c r="D106" s="16" t="n">
        <v>46286.72854166666</v>
      </c>
      <c r="E106" s="17" t="n">
        <v>46286</v>
      </c>
      <c r="F106" s="14" t="inlineStr">
        <is>
          <t>Mon</t>
        </is>
      </c>
      <c r="G106" s="14" t="inlineStr">
        <is>
          <t>East MY</t>
        </is>
      </c>
      <c r="H106" s="14" t="inlineStr">
        <is>
          <t>BKW</t>
        </is>
      </c>
      <c r="I106" s="14" t="inlineStr">
        <is>
          <t>BKW - ID - KENNETH</t>
        </is>
      </c>
      <c r="J106" s="14" t="inlineStr">
        <is>
          <t>ID (named driver)</t>
        </is>
      </c>
      <c r="K106" s="14" t="inlineStr">
        <is>
          <t>91814382</t>
        </is>
      </c>
      <c r="L106" s="14" t="n">
        <v>1</v>
      </c>
      <c r="M106" s="14" t="inlineStr">
        <is>
          <t>LM</t>
        </is>
      </c>
      <c r="N106" s="14" t="inlineStr">
        <is>
          <t>Fake Fail</t>
        </is>
      </c>
      <c r="O106" s="14" t="inlineStr">
        <is>
          <t>Invalid POD (no detail)</t>
        </is>
      </c>
      <c r="P106" s="14" t="inlineStr">
        <is>
          <t>No</t>
        </is>
      </c>
      <c r="Q106" s="14" t="inlineStr">
        <is>
          <t>Yes</t>
        </is>
      </c>
      <c r="R106" s="14" t="inlineStr">
        <is>
          <t>invalid POD, failed under ops</t>
        </is>
      </c>
      <c r="S106" s="14" t="inlineStr">
        <is>
          <t>Yana</t>
        </is>
      </c>
      <c r="T106" s="14">
        <f>COUNTIF($B$2:$B$499,B106)</f>
        <v/>
      </c>
      <c r="U106" s="14">
        <f>COUNTIF($I$2:$I$499,I106)</f>
        <v/>
      </c>
      <c r="V106" s="14">
        <f>IF(ISNA(MATCH(B106,'Metabase Lookup'!$A:$A,0)),"Not found",IF(INDEX('Metabase Lookup'!$B:$B,MATCH(B106,'Metabase Lookup'!$A:$A,0))="","Pending",INDEX('Metabase Lookup'!$B:$B,MATCH(B106,'Metabase Lookup'!$A:$A,0))))</f>
        <v/>
      </c>
      <c r="W106" s="14">
        <f>IF(ISNA(MATCH(B106,'Metabase Lookup'!$A:$A,0)),"Not found",IF(INDEX('Metabase Lookup'!$C:$C,MATCH(B106,'Metabase Lookup'!$A:$A,0))="","Pending",INDEX('Metabase Lookup'!$C:$C,MATCH(B106,'Metabase Lookup'!$A:$A,0))))</f>
        <v/>
      </c>
      <c r="X106" s="14">
        <f>IF(ISNA(MATCH(B106,'Metabase Lookup'!$A:$A,0)),"",IF(INDEX('Metabase Lookup'!$D:$D,MATCH(B106,'Metabase Lookup'!$A:$A,0))="","",INDEX('Metabase Lookup'!$D:$D,MATCH(B106,'Metabase Lookup'!$A:$A,0))))</f>
        <v/>
      </c>
      <c r="Y106" s="14">
        <f>IF(ISNUMBER(W106),IF(W106&gt;0,"Yes","No"),"Pending")</f>
        <v/>
      </c>
      <c r="Z106" s="14" t="inlineStr"/>
    </row>
    <row r="107">
      <c r="A107" s="14" t="n">
        <v>106</v>
      </c>
      <c r="B107" s="14" t="inlineStr">
        <is>
          <t>ZRP856483223067</t>
        </is>
      </c>
      <c r="C107" s="15" t="inlineStr">
        <is>
          <t>269612648221</t>
        </is>
      </c>
      <c r="D107" s="16" t="n">
        <v>46286.72885416666</v>
      </c>
      <c r="E107" s="17" t="n">
        <v>46286</v>
      </c>
      <c r="F107" s="14" t="inlineStr">
        <is>
          <t>Mon</t>
        </is>
      </c>
      <c r="G107" s="14" t="inlineStr">
        <is>
          <t>Northern</t>
        </is>
      </c>
      <c r="H107" s="14" t="inlineStr">
        <is>
          <t>GEO</t>
        </is>
      </c>
      <c r="I107" s="14" t="inlineStr">
        <is>
          <t>GEO - OPS - DATO KERAMAT</t>
        </is>
      </c>
      <c r="J107" s="14" t="inlineStr">
        <is>
          <t>OPS (generic hub account)</t>
        </is>
      </c>
      <c r="K107" s="14" t="inlineStr">
        <is>
          <t>91833924</t>
        </is>
      </c>
      <c r="L107" s="14" t="n">
        <v>1</v>
      </c>
      <c r="M107" s="14" t="inlineStr">
        <is>
          <t>LM</t>
        </is>
      </c>
      <c r="N107" s="14" t="inlineStr">
        <is>
          <t>Failed pick-up</t>
        </is>
      </c>
      <c r="O107" s="14" t="inlineStr"/>
      <c r="P107" s="14" t="inlineStr"/>
      <c r="Q107" s="14" t="inlineStr"/>
      <c r="R107" s="14" t="inlineStr">
        <is>
          <t>driver not attach correct call log</t>
        </is>
      </c>
      <c r="S107" s="14" t="inlineStr">
        <is>
          <t>Zati</t>
        </is>
      </c>
      <c r="T107" s="14">
        <f>COUNTIF($B$2:$B$499,B107)</f>
        <v/>
      </c>
      <c r="U107" s="14">
        <f>COUNTIF($I$2:$I$499,I107)</f>
        <v/>
      </c>
      <c r="V107" s="14">
        <f>IF(ISNA(MATCH(B107,'Metabase Lookup'!$A:$A,0)),"Not found",IF(INDEX('Metabase Lookup'!$B:$B,MATCH(B107,'Metabase Lookup'!$A:$A,0))="","Pending",INDEX('Metabase Lookup'!$B:$B,MATCH(B107,'Metabase Lookup'!$A:$A,0))))</f>
        <v/>
      </c>
      <c r="W107" s="14">
        <f>IF(ISNA(MATCH(B107,'Metabase Lookup'!$A:$A,0)),"Not found",IF(INDEX('Metabase Lookup'!$C:$C,MATCH(B107,'Metabase Lookup'!$A:$A,0))="","Pending",INDEX('Metabase Lookup'!$C:$C,MATCH(B107,'Metabase Lookup'!$A:$A,0))))</f>
        <v/>
      </c>
      <c r="X107" s="14">
        <f>IF(ISNA(MATCH(B107,'Metabase Lookup'!$A:$A,0)),"",IF(INDEX('Metabase Lookup'!$D:$D,MATCH(B107,'Metabase Lookup'!$A:$A,0))="","",INDEX('Metabase Lookup'!$D:$D,MATCH(B107,'Metabase Lookup'!$A:$A,0))))</f>
        <v/>
      </c>
      <c r="Y107" s="14">
        <f>IF(ISNUMBER(W107),IF(W107&gt;0,"Yes","No"),"Pending")</f>
        <v/>
      </c>
      <c r="Z107" s="14" t="inlineStr">
        <is>
          <t>Driver not identified (OPS account)</t>
        </is>
      </c>
    </row>
    <row r="108">
      <c r="A108" s="14" t="n">
        <v>107</v>
      </c>
      <c r="B108" s="14" t="inlineStr">
        <is>
          <t>TNGDV2609056822351280</t>
        </is>
      </c>
      <c r="C108" s="15" t="inlineStr">
        <is>
          <t>264842623391</t>
        </is>
      </c>
      <c r="D108" s="16" t="n">
        <v>46286.73119212963</v>
      </c>
      <c r="E108" s="17" t="n">
        <v>46286</v>
      </c>
      <c r="F108" s="14" t="inlineStr">
        <is>
          <t>Mon</t>
        </is>
      </c>
      <c r="G108" s="14" t="inlineStr">
        <is>
          <t>KV</t>
        </is>
      </c>
      <c r="H108" s="14" t="inlineStr">
        <is>
          <t>BTK</t>
        </is>
      </c>
      <c r="I108" s="14" t="inlineStr">
        <is>
          <t>FRIZA MATSAM</t>
        </is>
      </c>
      <c r="J108" s="14" t="inlineStr">
        <is>
          <t>Name only (no hub/code)</t>
        </is>
      </c>
      <c r="K108" s="14" t="inlineStr">
        <is>
          <t>91769363</t>
        </is>
      </c>
      <c r="L108" s="14" t="n">
        <v>1</v>
      </c>
      <c r="M108" s="14" t="inlineStr">
        <is>
          <t>LM</t>
        </is>
      </c>
      <c r="N108" s="14" t="inlineStr">
        <is>
          <t>Deliver to Wrong Address</t>
        </is>
      </c>
      <c r="O108" s="14" t="inlineStr"/>
      <c r="P108" s="14" t="inlineStr"/>
      <c r="Q108" s="14" t="inlineStr"/>
      <c r="R108" s="14" t="inlineStr">
        <is>
          <t>driver deliver to wrong address</t>
        </is>
      </c>
      <c r="S108" s="14" t="inlineStr">
        <is>
          <t>Aimenn Aiyad</t>
        </is>
      </c>
      <c r="T108" s="14">
        <f>COUNTIF($B$2:$B$499,B108)</f>
        <v/>
      </c>
      <c r="U108" s="14">
        <f>COUNTIF($I$2:$I$499,I108)</f>
        <v/>
      </c>
      <c r="V108" s="14">
        <f>IF(ISNA(MATCH(B108,'Metabase Lookup'!$A:$A,0)),"Not found",IF(INDEX('Metabase Lookup'!$B:$B,MATCH(B108,'Metabase Lookup'!$A:$A,0))="","Pending",INDEX('Metabase Lookup'!$B:$B,MATCH(B108,'Metabase Lookup'!$A:$A,0))))</f>
        <v/>
      </c>
      <c r="W108" s="14">
        <f>IF(ISNA(MATCH(B108,'Metabase Lookup'!$A:$A,0)),"Not found",IF(INDEX('Metabase Lookup'!$C:$C,MATCH(B108,'Metabase Lookup'!$A:$A,0))="","Pending",INDEX('Metabase Lookup'!$C:$C,MATCH(B108,'Metabase Lookup'!$A:$A,0))))</f>
        <v/>
      </c>
      <c r="X108" s="14">
        <f>IF(ISNA(MATCH(B108,'Metabase Lookup'!$A:$A,0)),"",IF(INDEX('Metabase Lookup'!$D:$D,MATCH(B108,'Metabase Lookup'!$A:$A,0))="","",INDEX('Metabase Lookup'!$D:$D,MATCH(B108,'Metabase Lookup'!$A:$A,0))))</f>
        <v/>
      </c>
      <c r="Y108" s="14">
        <f>IF(ISNUMBER(W108),IF(W108&gt;0,"Yes","No"),"Pending")</f>
        <v/>
      </c>
      <c r="Z108" s="14" t="inlineStr"/>
    </row>
    <row r="109">
      <c r="A109" s="14" t="n">
        <v>108</v>
      </c>
      <c r="B109" s="14" t="inlineStr">
        <is>
          <t>NVMYSECOM000093574</t>
        </is>
      </c>
      <c r="C109" s="15" t="inlineStr">
        <is>
          <t>264872642428</t>
        </is>
      </c>
      <c r="D109" s="16" t="n">
        <v>46286.7315162037</v>
      </c>
      <c r="E109" s="17" t="n">
        <v>46286</v>
      </c>
      <c r="F109" s="14" t="inlineStr">
        <is>
          <t>Mon</t>
        </is>
      </c>
      <c r="G109" s="14" t="inlineStr">
        <is>
          <t>North West</t>
        </is>
      </c>
      <c r="H109" s="14" t="inlineStr">
        <is>
          <t>TIN</t>
        </is>
      </c>
      <c r="I109" s="14" t="inlineStr">
        <is>
          <t>OPS - HAFFISZIE</t>
        </is>
      </c>
      <c r="J109" s="14" t="inlineStr">
        <is>
          <t>OPS (generic hub account)</t>
        </is>
      </c>
      <c r="K109" s="14" t="inlineStr">
        <is>
          <t>91859067</t>
        </is>
      </c>
      <c r="L109" s="14" t="n">
        <v>1</v>
      </c>
      <c r="M109" s="14" t="inlineStr">
        <is>
          <t>LM</t>
        </is>
      </c>
      <c r="N109" s="14" t="inlineStr">
        <is>
          <t>Fake Fail</t>
        </is>
      </c>
      <c r="O109" s="14" t="inlineStr">
        <is>
          <t>Customer disputes attempt</t>
        </is>
      </c>
      <c r="P109" s="14" t="inlineStr">
        <is>
          <t>No</t>
        </is>
      </c>
      <c r="Q109" s="14" t="inlineStr">
        <is>
          <t>No</t>
        </is>
      </c>
      <c r="R109" s="14" t="inlineStr">
        <is>
          <t>driver attach invalid pod and customer not receive call</t>
        </is>
      </c>
      <c r="S109" s="14" t="inlineStr">
        <is>
          <t>Zati</t>
        </is>
      </c>
      <c r="T109" s="14">
        <f>COUNTIF($B$2:$B$499,B109)</f>
        <v/>
      </c>
      <c r="U109" s="14">
        <f>COUNTIF($I$2:$I$499,I109)</f>
        <v/>
      </c>
      <c r="V109" s="14">
        <f>IF(ISNA(MATCH(B109,'Metabase Lookup'!$A:$A,0)),"Not found",IF(INDEX('Metabase Lookup'!$B:$B,MATCH(B109,'Metabase Lookup'!$A:$A,0))="","Pending",INDEX('Metabase Lookup'!$B:$B,MATCH(B109,'Metabase Lookup'!$A:$A,0))))</f>
        <v/>
      </c>
      <c r="W109" s="14">
        <f>IF(ISNA(MATCH(B109,'Metabase Lookup'!$A:$A,0)),"Not found",IF(INDEX('Metabase Lookup'!$C:$C,MATCH(B109,'Metabase Lookup'!$A:$A,0))="","Pending",INDEX('Metabase Lookup'!$C:$C,MATCH(B109,'Metabase Lookup'!$A:$A,0))))</f>
        <v/>
      </c>
      <c r="X109" s="14">
        <f>IF(ISNA(MATCH(B109,'Metabase Lookup'!$A:$A,0)),"",IF(INDEX('Metabase Lookup'!$D:$D,MATCH(B109,'Metabase Lookup'!$A:$A,0))="","",INDEX('Metabase Lookup'!$D:$D,MATCH(B109,'Metabase Lookup'!$A:$A,0))))</f>
        <v/>
      </c>
      <c r="Y109" s="14">
        <f>IF(ISNUMBER(W109),IF(W109&gt;0,"Yes","No"),"Pending")</f>
        <v/>
      </c>
      <c r="Z109" s="14" t="inlineStr">
        <is>
          <t>Driver not identified (OPS account)</t>
        </is>
      </c>
    </row>
    <row r="110">
      <c r="A110" s="14" t="n">
        <v>109</v>
      </c>
      <c r="B110" s="14" t="inlineStr">
        <is>
          <t>NVMYBPXPD000001853</t>
        </is>
      </c>
      <c r="C110" s="15" t="inlineStr">
        <is>
          <t>268322646459</t>
        </is>
      </c>
      <c r="D110" s="16" t="n">
        <v>46286.73524305555</v>
      </c>
      <c r="E110" s="17" t="n">
        <v>46286</v>
      </c>
      <c r="F110" s="14" t="inlineStr">
        <is>
          <t>Mon</t>
        </is>
      </c>
      <c r="G110" s="14" t="inlineStr">
        <is>
          <t>Southern</t>
        </is>
      </c>
      <c r="H110" s="14" t="inlineStr">
        <is>
          <t>TRM</t>
        </is>
      </c>
      <c r="I110" s="14" t="inlineStr">
        <is>
          <t>TRM - OPS - ULU TIRAM</t>
        </is>
      </c>
      <c r="J110" s="14" t="inlineStr">
        <is>
          <t>OPS (generic hub account)</t>
        </is>
      </c>
      <c r="K110" s="14" t="inlineStr">
        <is>
          <t>91824387</t>
        </is>
      </c>
      <c r="L110" s="14" t="n">
        <v>1</v>
      </c>
      <c r="M110" s="14" t="inlineStr">
        <is>
          <t>LM</t>
        </is>
      </c>
      <c r="N110" s="14" t="inlineStr">
        <is>
          <t>Fake Fail</t>
        </is>
      </c>
      <c r="O110" s="14" t="inlineStr">
        <is>
          <t>Wrong number called</t>
        </is>
      </c>
      <c r="P110" s="14" t="inlineStr">
        <is>
          <t>No</t>
        </is>
      </c>
      <c r="Q110" s="14" t="inlineStr">
        <is>
          <t>No</t>
        </is>
      </c>
      <c r="R110" s="14" t="inlineStr">
        <is>
          <t>Wrong contact number in the POD</t>
        </is>
      </c>
      <c r="S110" s="14" t="inlineStr">
        <is>
          <t>Daus</t>
        </is>
      </c>
      <c r="T110" s="14">
        <f>COUNTIF($B$2:$B$499,B110)</f>
        <v/>
      </c>
      <c r="U110" s="14">
        <f>COUNTIF($I$2:$I$499,I110)</f>
        <v/>
      </c>
      <c r="V110" s="14">
        <f>IF(ISNA(MATCH(B110,'Metabase Lookup'!$A:$A,0)),"Not found",IF(INDEX('Metabase Lookup'!$B:$B,MATCH(B110,'Metabase Lookup'!$A:$A,0))="","Pending",INDEX('Metabase Lookup'!$B:$B,MATCH(B110,'Metabase Lookup'!$A:$A,0))))</f>
        <v/>
      </c>
      <c r="W110" s="14">
        <f>IF(ISNA(MATCH(B110,'Metabase Lookup'!$A:$A,0)),"Not found",IF(INDEX('Metabase Lookup'!$C:$C,MATCH(B110,'Metabase Lookup'!$A:$A,0))="","Pending",INDEX('Metabase Lookup'!$C:$C,MATCH(B110,'Metabase Lookup'!$A:$A,0))))</f>
        <v/>
      </c>
      <c r="X110" s="14">
        <f>IF(ISNA(MATCH(B110,'Metabase Lookup'!$A:$A,0)),"",IF(INDEX('Metabase Lookup'!$D:$D,MATCH(B110,'Metabase Lookup'!$A:$A,0))="","",INDEX('Metabase Lookup'!$D:$D,MATCH(B110,'Metabase Lookup'!$A:$A,0))))</f>
        <v/>
      </c>
      <c r="Y110" s="14">
        <f>IF(ISNUMBER(W110),IF(W110&gt;0,"Yes","No"),"Pending")</f>
        <v/>
      </c>
      <c r="Z110" s="14" t="inlineStr">
        <is>
          <t>Driver not identified (OPS account)</t>
        </is>
      </c>
    </row>
    <row r="111">
      <c r="A111" s="14" t="n">
        <v>110</v>
      </c>
      <c r="B111" s="14" t="inlineStr">
        <is>
          <t>UMIDI1548934597354450944&amp;UMIDI1548934598646771712</t>
        </is>
      </c>
      <c r="C111" s="15" t="inlineStr">
        <is>
          <t>264832645164</t>
        </is>
      </c>
      <c r="D111" s="16" t="n">
        <v>46286.73993055556</v>
      </c>
      <c r="E111" s="17" t="n">
        <v>46286</v>
      </c>
      <c r="F111" s="14" t="inlineStr">
        <is>
          <t>Mon</t>
        </is>
      </c>
      <c r="G111" s="14" t="inlineStr">
        <is>
          <t>Southern</t>
        </is>
      </c>
      <c r="H111" s="14" t="inlineStr">
        <is>
          <t>GLG</t>
        </is>
      </c>
      <c r="I111" s="14" t="inlineStr">
        <is>
          <t>GLG - OPS - ENGKU</t>
        </is>
      </c>
      <c r="J111" s="14" t="inlineStr">
        <is>
          <t>OPS (generic hub account)</t>
        </is>
      </c>
      <c r="K111" s="14" t="inlineStr">
        <is>
          <t>91827317</t>
        </is>
      </c>
      <c r="L111" s="14" t="n">
        <v>1</v>
      </c>
      <c r="M111" s="14" t="inlineStr">
        <is>
          <t>LM</t>
        </is>
      </c>
      <c r="N111" s="14" t="inlineStr">
        <is>
          <t>Fake Fail</t>
        </is>
      </c>
      <c r="O111" s="14" t="inlineStr">
        <is>
          <t>No call / call log missing</t>
        </is>
      </c>
      <c r="P111" s="14" t="inlineStr">
        <is>
          <t>No</t>
        </is>
      </c>
      <c r="Q111" s="14" t="inlineStr">
        <is>
          <t>No</t>
        </is>
      </c>
      <c r="R111" s="14" t="inlineStr">
        <is>
          <t>No call and message provided</t>
        </is>
      </c>
      <c r="S111" s="14" t="inlineStr">
        <is>
          <t>Daus</t>
        </is>
      </c>
      <c r="T111" s="14">
        <f>COUNTIF($B$2:$B$499,B111)</f>
        <v/>
      </c>
      <c r="U111" s="14">
        <f>COUNTIF($I$2:$I$499,I111)</f>
        <v/>
      </c>
      <c r="V111" s="14">
        <f>IF(ISNA(MATCH(B111,'Metabase Lookup'!$A:$A,0)),"Not found",IF(INDEX('Metabase Lookup'!$B:$B,MATCH(B111,'Metabase Lookup'!$A:$A,0))="","Pending",INDEX('Metabase Lookup'!$B:$B,MATCH(B111,'Metabase Lookup'!$A:$A,0))))</f>
        <v/>
      </c>
      <c r="W111" s="14">
        <f>IF(ISNA(MATCH(B111,'Metabase Lookup'!$A:$A,0)),"Not found",IF(INDEX('Metabase Lookup'!$C:$C,MATCH(B111,'Metabase Lookup'!$A:$A,0))="","Pending",INDEX('Metabase Lookup'!$C:$C,MATCH(B111,'Metabase Lookup'!$A:$A,0))))</f>
        <v/>
      </c>
      <c r="X111" s="14">
        <f>IF(ISNA(MATCH(B111,'Metabase Lookup'!$A:$A,0)),"",IF(INDEX('Metabase Lookup'!$D:$D,MATCH(B111,'Metabase Lookup'!$A:$A,0))="","",INDEX('Metabase Lookup'!$D:$D,MATCH(B111,'Metabase Lookup'!$A:$A,0))))</f>
        <v/>
      </c>
      <c r="Y111" s="14">
        <f>IF(ISNUMBER(W111),IF(W111&gt;0,"Yes","No"),"Pending")</f>
        <v/>
      </c>
      <c r="Z111" s="14" t="inlineStr">
        <is>
          <t>TID had stray spaces/line breaks (cleaned); Driver not identified (OPS account)</t>
        </is>
      </c>
    </row>
    <row r="112">
      <c r="A112" s="14" t="n">
        <v>111</v>
      </c>
      <c r="B112" s="14" t="inlineStr">
        <is>
          <t>ZMP291418945-2148</t>
        </is>
      </c>
      <c r="C112" s="15" t="inlineStr">
        <is>
          <t>267622644701</t>
        </is>
      </c>
      <c r="D112" s="16" t="n">
        <v>46286.74133101852</v>
      </c>
      <c r="E112" s="17" t="n">
        <v>46286</v>
      </c>
      <c r="F112" s="14" t="inlineStr">
        <is>
          <t>Mon</t>
        </is>
      </c>
      <c r="G112" s="14" t="inlineStr">
        <is>
          <t>Northern</t>
        </is>
      </c>
      <c r="H112" s="14" t="inlineStr">
        <is>
          <t>GEO</t>
        </is>
      </c>
      <c r="I112" s="14" t="inlineStr">
        <is>
          <t>GEO - OPS - DATO KERAMAT</t>
        </is>
      </c>
      <c r="J112" s="14" t="inlineStr">
        <is>
          <t>OPS (generic hub account)</t>
        </is>
      </c>
      <c r="K112" s="14" t="inlineStr">
        <is>
          <t>91824655</t>
        </is>
      </c>
      <c r="L112" s="14" t="n">
        <v>1</v>
      </c>
      <c r="M112" s="14" t="inlineStr">
        <is>
          <t>LM</t>
        </is>
      </c>
      <c r="N112" s="14" t="inlineStr">
        <is>
          <t>Fake Fail</t>
        </is>
      </c>
      <c r="O112" s="14" t="inlineStr">
        <is>
          <t>Invalid POD (no detail)</t>
        </is>
      </c>
      <c r="P112" s="14" t="inlineStr">
        <is>
          <t>No</t>
        </is>
      </c>
      <c r="Q112" s="14" t="inlineStr">
        <is>
          <t>Yes</t>
        </is>
      </c>
      <c r="R112" s="14" t="inlineStr">
        <is>
          <t>invalid POD, failed under ops</t>
        </is>
      </c>
      <c r="S112" s="14" t="inlineStr">
        <is>
          <t>Yana</t>
        </is>
      </c>
      <c r="T112" s="14">
        <f>COUNTIF($B$2:$B$499,B112)</f>
        <v/>
      </c>
      <c r="U112" s="14">
        <f>COUNTIF($I$2:$I$499,I112)</f>
        <v/>
      </c>
      <c r="V112" s="14">
        <f>IF(ISNA(MATCH(B112,'Metabase Lookup'!$A:$A,0)),"Not found",IF(INDEX('Metabase Lookup'!$B:$B,MATCH(B112,'Metabase Lookup'!$A:$A,0))="","Pending",INDEX('Metabase Lookup'!$B:$B,MATCH(B112,'Metabase Lookup'!$A:$A,0))))</f>
        <v/>
      </c>
      <c r="W112" s="14">
        <f>IF(ISNA(MATCH(B112,'Metabase Lookup'!$A:$A,0)),"Not found",IF(INDEX('Metabase Lookup'!$C:$C,MATCH(B112,'Metabase Lookup'!$A:$A,0))="","Pending",INDEX('Metabase Lookup'!$C:$C,MATCH(B112,'Metabase Lookup'!$A:$A,0))))</f>
        <v/>
      </c>
      <c r="X112" s="14">
        <f>IF(ISNA(MATCH(B112,'Metabase Lookup'!$A:$A,0)),"",IF(INDEX('Metabase Lookup'!$D:$D,MATCH(B112,'Metabase Lookup'!$A:$A,0))="","",INDEX('Metabase Lookup'!$D:$D,MATCH(B112,'Metabase Lookup'!$A:$A,0))))</f>
        <v/>
      </c>
      <c r="Y112" s="14">
        <f>IF(ISNUMBER(W112),IF(W112&gt;0,"Yes","No"),"Pending")</f>
        <v/>
      </c>
      <c r="Z112" s="14" t="inlineStr">
        <is>
          <t>Driver not identified (OPS account)</t>
        </is>
      </c>
    </row>
    <row r="113">
      <c r="A113" s="14" t="n">
        <v>112</v>
      </c>
      <c r="B113" s="14" t="inlineStr">
        <is>
          <t>MY-NV093284166</t>
        </is>
      </c>
      <c r="C113" s="15" t="inlineStr">
        <is>
          <t>263182640825</t>
        </is>
      </c>
      <c r="D113" s="16" t="n">
        <v>46286.74553240741</v>
      </c>
      <c r="E113" s="17" t="n">
        <v>46286</v>
      </c>
      <c r="F113" s="14" t="inlineStr">
        <is>
          <t>Mon</t>
        </is>
      </c>
      <c r="G113" s="14" t="inlineStr">
        <is>
          <t>KV</t>
        </is>
      </c>
      <c r="H113" s="14" t="inlineStr">
        <is>
          <t>PJY</t>
        </is>
      </c>
      <c r="I113" s="14" t="inlineStr">
        <is>
          <t>OPS - PJY</t>
        </is>
      </c>
      <c r="J113" s="14" t="inlineStr">
        <is>
          <t>OPS (generic hub account)</t>
        </is>
      </c>
      <c r="K113" s="14" t="inlineStr">
        <is>
          <t>91844729</t>
        </is>
      </c>
      <c r="L113" s="14" t="n">
        <v>1</v>
      </c>
      <c r="M113" s="14" t="inlineStr">
        <is>
          <t>LM</t>
        </is>
      </c>
      <c r="N113" s="14" t="inlineStr">
        <is>
          <t>Fake Fail</t>
        </is>
      </c>
      <c r="O113" s="14" t="inlineStr">
        <is>
          <t>No call / call log missing</t>
        </is>
      </c>
      <c r="P113" s="14" t="inlineStr">
        <is>
          <t>No</t>
        </is>
      </c>
      <c r="Q113" s="14" t="inlineStr">
        <is>
          <t>No</t>
        </is>
      </c>
      <c r="R113" s="14" t="inlineStr">
        <is>
          <t>driver not attach call log and not call the customer</t>
        </is>
      </c>
      <c r="S113" s="14" t="inlineStr">
        <is>
          <t>Zati</t>
        </is>
      </c>
      <c r="T113" s="14">
        <f>COUNTIF($B$2:$B$499,B113)</f>
        <v/>
      </c>
      <c r="U113" s="14">
        <f>COUNTIF($I$2:$I$499,I113)</f>
        <v/>
      </c>
      <c r="V113" s="14">
        <f>IF(ISNA(MATCH(B113,'Metabase Lookup'!$A:$A,0)),"Not found",IF(INDEX('Metabase Lookup'!$B:$B,MATCH(B113,'Metabase Lookup'!$A:$A,0))="","Pending",INDEX('Metabase Lookup'!$B:$B,MATCH(B113,'Metabase Lookup'!$A:$A,0))))</f>
        <v/>
      </c>
      <c r="W113" s="14">
        <f>IF(ISNA(MATCH(B113,'Metabase Lookup'!$A:$A,0)),"Not found",IF(INDEX('Metabase Lookup'!$C:$C,MATCH(B113,'Metabase Lookup'!$A:$A,0))="","Pending",INDEX('Metabase Lookup'!$C:$C,MATCH(B113,'Metabase Lookup'!$A:$A,0))))</f>
        <v/>
      </c>
      <c r="X113" s="14">
        <f>IF(ISNA(MATCH(B113,'Metabase Lookup'!$A:$A,0)),"",IF(INDEX('Metabase Lookup'!$D:$D,MATCH(B113,'Metabase Lookup'!$A:$A,0))="","",INDEX('Metabase Lookup'!$D:$D,MATCH(B113,'Metabase Lookup'!$A:$A,0))))</f>
        <v/>
      </c>
      <c r="Y113" s="14">
        <f>IF(ISNUMBER(W113),IF(W113&gt;0,"Yes","No"),"Pending")</f>
        <v/>
      </c>
      <c r="Z113" s="14" t="inlineStr">
        <is>
          <t>Driver not identified (OPS account)</t>
        </is>
      </c>
    </row>
    <row r="114">
      <c r="A114" s="14" t="n">
        <v>113</v>
      </c>
      <c r="B114" s="14" t="inlineStr">
        <is>
          <t>MYNJV70062415718</t>
        </is>
      </c>
      <c r="C114" s="15" t="inlineStr">
        <is>
          <t>265042649748</t>
        </is>
      </c>
      <c r="D114" s="16" t="n">
        <v>46286.74892361111</v>
      </c>
      <c r="E114" s="17" t="n">
        <v>46286</v>
      </c>
      <c r="F114" s="14" t="inlineStr">
        <is>
          <t>Mon</t>
        </is>
      </c>
      <c r="G114" s="14" t="inlineStr">
        <is>
          <t>KV</t>
        </is>
      </c>
      <c r="H114" s="14" t="inlineStr">
        <is>
          <t>BTR</t>
        </is>
      </c>
      <c r="I114" s="14" t="inlineStr">
        <is>
          <t>Norman Razak</t>
        </is>
      </c>
      <c r="J114" s="14" t="inlineStr">
        <is>
          <t>Name only (no hub/code)</t>
        </is>
      </c>
      <c r="K114" s="14" t="inlineStr">
        <is>
          <t>91847382</t>
        </is>
      </c>
      <c r="L114" s="14" t="n">
        <v>1</v>
      </c>
      <c r="M114" s="14" t="inlineStr">
        <is>
          <t>LM</t>
        </is>
      </c>
      <c r="N114" s="14" t="inlineStr">
        <is>
          <t>Pull Out Route (POR)</t>
        </is>
      </c>
      <c r="O114" s="14" t="inlineStr"/>
      <c r="P114" s="14" t="inlineStr"/>
      <c r="Q114" s="14" t="inlineStr"/>
      <c r="R114" s="14" t="inlineStr">
        <is>
          <t>PULL OUT OF ROUTE by Norman Razak on 2026-09-20 23:40:35</t>
        </is>
      </c>
      <c r="S114" s="14" t="inlineStr">
        <is>
          <t>Zati</t>
        </is>
      </c>
      <c r="T114" s="14">
        <f>COUNTIF($B$2:$B$499,B114)</f>
        <v/>
      </c>
      <c r="U114" s="14">
        <f>COUNTIF($I$2:$I$499,I114)</f>
        <v/>
      </c>
      <c r="V114" s="14">
        <f>IF(ISNA(MATCH(B114,'Metabase Lookup'!$A:$A,0)),"Not found",IF(INDEX('Metabase Lookup'!$B:$B,MATCH(B114,'Metabase Lookup'!$A:$A,0))="","Pending",INDEX('Metabase Lookup'!$B:$B,MATCH(B114,'Metabase Lookup'!$A:$A,0))))</f>
        <v/>
      </c>
      <c r="W114" s="14">
        <f>IF(ISNA(MATCH(B114,'Metabase Lookup'!$A:$A,0)),"Not found",IF(INDEX('Metabase Lookup'!$C:$C,MATCH(B114,'Metabase Lookup'!$A:$A,0))="","Pending",INDEX('Metabase Lookup'!$C:$C,MATCH(B114,'Metabase Lookup'!$A:$A,0))))</f>
        <v/>
      </c>
      <c r="X114" s="14">
        <f>IF(ISNA(MATCH(B114,'Metabase Lookup'!$A:$A,0)),"",IF(INDEX('Metabase Lookup'!$D:$D,MATCH(B114,'Metabase Lookup'!$A:$A,0))="","",INDEX('Metabase Lookup'!$D:$D,MATCH(B114,'Metabase Lookup'!$A:$A,0))))</f>
        <v/>
      </c>
      <c r="Y114" s="14">
        <f>IF(ISNUMBER(W114),IF(W114&gt;0,"Yes","No"),"Pending")</f>
        <v/>
      </c>
      <c r="Z114" s="14" t="inlineStr"/>
    </row>
    <row r="115">
      <c r="A115" s="14" t="n">
        <v>114</v>
      </c>
      <c r="B115" s="14" t="inlineStr">
        <is>
          <t>NVMYHNIKJ00316257E</t>
        </is>
      </c>
      <c r="C115" s="15" t="inlineStr">
        <is>
          <t>268442640390</t>
        </is>
      </c>
      <c r="D115" s="16" t="n">
        <v>46286.75059027778</v>
      </c>
      <c r="E115" s="17" t="n">
        <v>46286</v>
      </c>
      <c r="F115" s="14" t="inlineStr">
        <is>
          <t>Mon</t>
        </is>
      </c>
      <c r="G115" s="14" t="inlineStr">
        <is>
          <t>KV</t>
        </is>
      </c>
      <c r="H115" s="14" t="inlineStr">
        <is>
          <t>PJY</t>
        </is>
      </c>
      <c r="I115" s="14" t="inlineStr">
        <is>
          <t>OPS - PJY</t>
        </is>
      </c>
      <c r="J115" s="14" t="inlineStr">
        <is>
          <t>OPS (generic hub account)</t>
        </is>
      </c>
      <c r="K115" s="14" t="inlineStr">
        <is>
          <t>91859712</t>
        </is>
      </c>
      <c r="L115" s="14" t="n">
        <v>1</v>
      </c>
      <c r="M115" s="14" t="inlineStr">
        <is>
          <t>LM</t>
        </is>
      </c>
      <c r="N115" s="14" t="inlineStr">
        <is>
          <t>Fake Fail</t>
        </is>
      </c>
      <c r="O115" s="14" t="inlineStr">
        <is>
          <t>Invalid POD (no detail)</t>
        </is>
      </c>
      <c r="P115" s="14" t="inlineStr">
        <is>
          <t>No</t>
        </is>
      </c>
      <c r="Q115" s="14" t="inlineStr">
        <is>
          <t>Yes</t>
        </is>
      </c>
      <c r="R115" s="14" t="inlineStr">
        <is>
          <t>invalid POD, failed under ops</t>
        </is>
      </c>
      <c r="S115" s="14" t="inlineStr">
        <is>
          <t>Yana</t>
        </is>
      </c>
      <c r="T115" s="14">
        <f>COUNTIF($B$2:$B$499,B115)</f>
        <v/>
      </c>
      <c r="U115" s="14">
        <f>COUNTIF($I$2:$I$499,I115)</f>
        <v/>
      </c>
      <c r="V115" s="14">
        <f>IF(ISNA(MATCH(B115,'Metabase Lookup'!$A:$A,0)),"Not found",IF(INDEX('Metabase Lookup'!$B:$B,MATCH(B115,'Metabase Lookup'!$A:$A,0))="","Pending",INDEX('Metabase Lookup'!$B:$B,MATCH(B115,'Metabase Lookup'!$A:$A,0))))</f>
        <v/>
      </c>
      <c r="W115" s="14">
        <f>IF(ISNA(MATCH(B115,'Metabase Lookup'!$A:$A,0)),"Not found",IF(INDEX('Metabase Lookup'!$C:$C,MATCH(B115,'Metabase Lookup'!$A:$A,0))="","Pending",INDEX('Metabase Lookup'!$C:$C,MATCH(B115,'Metabase Lookup'!$A:$A,0))))</f>
        <v/>
      </c>
      <c r="X115" s="14">
        <f>IF(ISNA(MATCH(B115,'Metabase Lookup'!$A:$A,0)),"",IF(INDEX('Metabase Lookup'!$D:$D,MATCH(B115,'Metabase Lookup'!$A:$A,0))="","",INDEX('Metabase Lookup'!$D:$D,MATCH(B115,'Metabase Lookup'!$A:$A,0))))</f>
        <v/>
      </c>
      <c r="Y115" s="14">
        <f>IF(ISNUMBER(W115),IF(W115&gt;0,"Yes","No"),"Pending")</f>
        <v/>
      </c>
      <c r="Z115" s="14" t="inlineStr">
        <is>
          <t>Driver not identified (OPS account)</t>
        </is>
      </c>
    </row>
    <row r="116">
      <c r="A116" s="14" t="n">
        <v>115</v>
      </c>
      <c r="B116" s="14" t="inlineStr">
        <is>
          <t>BAZAE1550537982831177728</t>
        </is>
      </c>
      <c r="C116" s="15" t="inlineStr">
        <is>
          <t>261522649779</t>
        </is>
      </c>
      <c r="D116" s="16" t="n">
        <v>46287.3878587963</v>
      </c>
      <c r="E116" s="17" t="n">
        <v>46287</v>
      </c>
      <c r="F116" s="14" t="inlineStr">
        <is>
          <t>Tue</t>
        </is>
      </c>
      <c r="G116" s="14" t="inlineStr">
        <is>
          <t>Northern</t>
        </is>
      </c>
      <c r="H116" s="14" t="inlineStr">
        <is>
          <t>PSN</t>
        </is>
      </c>
      <c r="I116" s="14" t="inlineStr">
        <is>
          <t>PSN - OPS - PSN HUB</t>
        </is>
      </c>
      <c r="J116" s="14" t="inlineStr">
        <is>
          <t>OPS (generic hub account)</t>
        </is>
      </c>
      <c r="K116" s="14" t="inlineStr">
        <is>
          <t>91855683</t>
        </is>
      </c>
      <c r="L116" s="14" t="n">
        <v>1</v>
      </c>
      <c r="M116" s="14" t="inlineStr">
        <is>
          <t>LM</t>
        </is>
      </c>
      <c r="N116" s="14" t="inlineStr">
        <is>
          <t>Fake Fail</t>
        </is>
      </c>
      <c r="O116" s="14" t="inlineStr">
        <is>
          <t>Call not connected / no response</t>
        </is>
      </c>
      <c r="P116" s="14" t="inlineStr">
        <is>
          <t>Yes</t>
        </is>
      </c>
      <c r="Q116" s="14" t="inlineStr">
        <is>
          <t>Yes</t>
        </is>
      </c>
      <c r="R116" s="14" t="inlineStr">
        <is>
          <t>failed by ops, call log same minute no location photo</t>
        </is>
      </c>
      <c r="S116" s="14" t="inlineStr">
        <is>
          <t>Ninja Hadif</t>
        </is>
      </c>
      <c r="T116" s="14">
        <f>COUNTIF($B$2:$B$499,B116)</f>
        <v/>
      </c>
      <c r="U116" s="14">
        <f>COUNTIF($I$2:$I$499,I116)</f>
        <v/>
      </c>
      <c r="V116" s="14">
        <f>IF(ISNA(MATCH(B116,'Metabase Lookup'!$A:$A,0)),"Not found",IF(INDEX('Metabase Lookup'!$B:$B,MATCH(B116,'Metabase Lookup'!$A:$A,0))="","Pending",INDEX('Metabase Lookup'!$B:$B,MATCH(B116,'Metabase Lookup'!$A:$A,0))))</f>
        <v/>
      </c>
      <c r="W116" s="14">
        <f>IF(ISNA(MATCH(B116,'Metabase Lookup'!$A:$A,0)),"Not found",IF(INDEX('Metabase Lookup'!$C:$C,MATCH(B116,'Metabase Lookup'!$A:$A,0))="","Pending",INDEX('Metabase Lookup'!$C:$C,MATCH(B116,'Metabase Lookup'!$A:$A,0))))</f>
        <v/>
      </c>
      <c r="X116" s="14">
        <f>IF(ISNA(MATCH(B116,'Metabase Lookup'!$A:$A,0)),"",IF(INDEX('Metabase Lookup'!$D:$D,MATCH(B116,'Metabase Lookup'!$A:$A,0))="","",INDEX('Metabase Lookup'!$D:$D,MATCH(B116,'Metabase Lookup'!$A:$A,0))))</f>
        <v/>
      </c>
      <c r="Y116" s="14">
        <f>IF(ISNUMBER(W116),IF(W116&gt;0,"Yes","No"),"Pending")</f>
        <v/>
      </c>
      <c r="Z116" s="14" t="inlineStr">
        <is>
          <t>Driver not identified (OPS account)</t>
        </is>
      </c>
    </row>
    <row r="117">
      <c r="A117" s="14" t="n">
        <v>116</v>
      </c>
      <c r="B117" s="14" t="inlineStr">
        <is>
          <t>NVMYNINJA002510859</t>
        </is>
      </c>
      <c r="C117" s="15" t="inlineStr">
        <is>
          <t>260532648193</t>
        </is>
      </c>
      <c r="D117" s="16" t="n">
        <v>46287.38800925926</v>
      </c>
      <c r="E117" s="17" t="n">
        <v>46287</v>
      </c>
      <c r="F117" s="14" t="inlineStr">
        <is>
          <t>Tue</t>
        </is>
      </c>
      <c r="G117" s="14" t="inlineStr">
        <is>
          <t>North West</t>
        </is>
      </c>
      <c r="H117" s="14" t="inlineStr">
        <is>
          <t>BAG</t>
        </is>
      </c>
      <c r="I117" s="14" t="inlineStr">
        <is>
          <t>BAG - OPS - ADAM</t>
        </is>
      </c>
      <c r="J117" s="14" t="inlineStr">
        <is>
          <t>OPS (generic hub account)</t>
        </is>
      </c>
      <c r="K117" s="14" t="inlineStr">
        <is>
          <t>91855197</t>
        </is>
      </c>
      <c r="L117" s="14" t="n">
        <v>1</v>
      </c>
      <c r="M117" s="14" t="inlineStr">
        <is>
          <t>LM</t>
        </is>
      </c>
      <c r="N117" s="14" t="inlineStr">
        <is>
          <t>Fake Fail</t>
        </is>
      </c>
      <c r="O117" s="14" t="inlineStr">
        <is>
          <t>Call not connected / no response</t>
        </is>
      </c>
      <c r="P117" s="14" t="inlineStr">
        <is>
          <t>Yes</t>
        </is>
      </c>
      <c r="Q117" s="14" t="inlineStr">
        <is>
          <t>No</t>
        </is>
      </c>
      <c r="R117" s="14" t="inlineStr">
        <is>
          <t>Invalid delivery attempt. POD invalid: Call log not connected, location invalid</t>
        </is>
      </c>
      <c r="S117" s="14" t="inlineStr">
        <is>
          <t>Putri</t>
        </is>
      </c>
      <c r="T117" s="14">
        <f>COUNTIF($B$2:$B$499,B117)</f>
        <v/>
      </c>
      <c r="U117" s="14">
        <f>COUNTIF($I$2:$I$499,I117)</f>
        <v/>
      </c>
      <c r="V117" s="14">
        <f>IF(ISNA(MATCH(B117,'Metabase Lookup'!$A:$A,0)),"Not found",IF(INDEX('Metabase Lookup'!$B:$B,MATCH(B117,'Metabase Lookup'!$A:$A,0))="","Pending",INDEX('Metabase Lookup'!$B:$B,MATCH(B117,'Metabase Lookup'!$A:$A,0))))</f>
        <v/>
      </c>
      <c r="W117" s="14">
        <f>IF(ISNA(MATCH(B117,'Metabase Lookup'!$A:$A,0)),"Not found",IF(INDEX('Metabase Lookup'!$C:$C,MATCH(B117,'Metabase Lookup'!$A:$A,0))="","Pending",INDEX('Metabase Lookup'!$C:$C,MATCH(B117,'Metabase Lookup'!$A:$A,0))))</f>
        <v/>
      </c>
      <c r="X117" s="14">
        <f>IF(ISNA(MATCH(B117,'Metabase Lookup'!$A:$A,0)),"",IF(INDEX('Metabase Lookup'!$D:$D,MATCH(B117,'Metabase Lookup'!$A:$A,0))="","",INDEX('Metabase Lookup'!$D:$D,MATCH(B117,'Metabase Lookup'!$A:$A,0))))</f>
        <v/>
      </c>
      <c r="Y117" s="14">
        <f>IF(ISNUMBER(W117),IF(W117&gt;0,"Yes","No"),"Pending")</f>
        <v/>
      </c>
      <c r="Z117" s="14" t="inlineStr">
        <is>
          <t>TID logged more than once; Driver not identified (OPS account)</t>
        </is>
      </c>
    </row>
    <row r="118">
      <c r="A118" s="14" t="n">
        <v>117</v>
      </c>
      <c r="B118" s="14" t="inlineStr">
        <is>
          <t>STLMY1544276476882800640</t>
        </is>
      </c>
      <c r="C118" s="15" t="inlineStr">
        <is>
          <t>262792607232</t>
        </is>
      </c>
      <c r="D118" s="16" t="n">
        <v>46287.39077546296</v>
      </c>
      <c r="E118" s="17" t="n">
        <v>46287</v>
      </c>
      <c r="F118" s="14" t="inlineStr">
        <is>
          <t>Tue</t>
        </is>
      </c>
      <c r="G118" s="14" t="inlineStr">
        <is>
          <t>Northern</t>
        </is>
      </c>
      <c r="H118" s="14" t="inlineStr">
        <is>
          <t>SIM</t>
        </is>
      </c>
      <c r="I118" s="14" t="inlineStr">
        <is>
          <t>SIM - ID - ISMAIL</t>
        </is>
      </c>
      <c r="J118" s="14" t="inlineStr">
        <is>
          <t>ID (named driver)</t>
        </is>
      </c>
      <c r="K118" s="14" t="inlineStr">
        <is>
          <t>91845147, 91860201</t>
        </is>
      </c>
      <c r="L118" s="14" t="n">
        <v>2</v>
      </c>
      <c r="M118" s="14" t="inlineStr">
        <is>
          <t>LM</t>
        </is>
      </c>
      <c r="N118" s="14" t="inlineStr">
        <is>
          <t>Fake Fail</t>
        </is>
      </c>
      <c r="O118" s="14" t="inlineStr">
        <is>
          <t>Wrong number called</t>
        </is>
      </c>
      <c r="P118" s="14" t="inlineStr">
        <is>
          <t>Yes</t>
        </is>
      </c>
      <c r="Q118" s="14" t="inlineStr">
        <is>
          <t>No</t>
        </is>
      </c>
      <c r="R118" s="14" t="inlineStr">
        <is>
          <t>invalid call log Wrong contact number invalid location invalid call log Wrong contact number invalid location</t>
        </is>
      </c>
      <c r="S118" s="14" t="inlineStr">
        <is>
          <t>Ninja Hadif</t>
        </is>
      </c>
      <c r="T118" s="14">
        <f>COUNTIF($B$2:$B$499,B118)</f>
        <v/>
      </c>
      <c r="U118" s="14">
        <f>COUNTIF($I$2:$I$499,I118)</f>
        <v/>
      </c>
      <c r="V118" s="14">
        <f>IF(ISNA(MATCH(B118,'Metabase Lookup'!$A:$A,0)),"Not found",IF(INDEX('Metabase Lookup'!$B:$B,MATCH(B118,'Metabase Lookup'!$A:$A,0))="","Pending",INDEX('Metabase Lookup'!$B:$B,MATCH(B118,'Metabase Lookup'!$A:$A,0))))</f>
        <v/>
      </c>
      <c r="W118" s="14">
        <f>IF(ISNA(MATCH(B118,'Metabase Lookup'!$A:$A,0)),"Not found",IF(INDEX('Metabase Lookup'!$C:$C,MATCH(B118,'Metabase Lookup'!$A:$A,0))="","Pending",INDEX('Metabase Lookup'!$C:$C,MATCH(B118,'Metabase Lookup'!$A:$A,0))))</f>
        <v/>
      </c>
      <c r="X118" s="14">
        <f>IF(ISNA(MATCH(B118,'Metabase Lookup'!$A:$A,0)),"",IF(INDEX('Metabase Lookup'!$D:$D,MATCH(B118,'Metabase Lookup'!$A:$A,0))="","",INDEX('Metabase Lookup'!$D:$D,MATCH(B118,'Metabase Lookup'!$A:$A,0))))</f>
        <v/>
      </c>
      <c r="Y118" s="14">
        <f>IF(ISNUMBER(W118),IF(W118&gt;0,"Yes","No"),"Pending")</f>
        <v/>
      </c>
      <c r="Z118" s="14" t="inlineStr">
        <is>
          <t>Multiple route IDs</t>
        </is>
      </c>
    </row>
    <row r="119">
      <c r="A119" s="14" t="n">
        <v>118</v>
      </c>
      <c r="B119" s="14" t="inlineStr">
        <is>
          <t>NVMYVSI0N000005699</t>
        </is>
      </c>
      <c r="C119" s="15" t="inlineStr">
        <is>
          <t>267452641322</t>
        </is>
      </c>
      <c r="D119" s="16" t="n">
        <v>46287.39143518519</v>
      </c>
      <c r="E119" s="17" t="n">
        <v>46287</v>
      </c>
      <c r="F119" s="14" t="inlineStr">
        <is>
          <t>Tue</t>
        </is>
      </c>
      <c r="G119" s="14" t="inlineStr">
        <is>
          <t>Southern</t>
        </is>
      </c>
      <c r="H119" s="14" t="inlineStr">
        <is>
          <t>GLG</t>
        </is>
      </c>
      <c r="I119" s="14" t="inlineStr">
        <is>
          <t>GLG - ID - AHMAD ARSYHAD</t>
        </is>
      </c>
      <c r="J119" s="14" t="inlineStr">
        <is>
          <t>ID (named driver)</t>
        </is>
      </c>
      <c r="K119" s="14" t="inlineStr">
        <is>
          <t>91811904</t>
        </is>
      </c>
      <c r="L119" s="14" t="n">
        <v>1</v>
      </c>
      <c r="M119" s="14" t="inlineStr">
        <is>
          <t>LM</t>
        </is>
      </c>
      <c r="N119" s="14" t="inlineStr">
        <is>
          <t>Fake Success</t>
        </is>
      </c>
      <c r="O119" s="14" t="inlineStr"/>
      <c r="P119" s="14" t="inlineStr"/>
      <c r="Q119" s="14" t="inlineStr"/>
      <c r="R119" s="14" t="inlineStr">
        <is>
          <t>Completed 2026-09-15 but cust not received. Pod invalid (no call log, no response chat, not the correct location)</t>
        </is>
      </c>
      <c r="S119" s="14" t="inlineStr">
        <is>
          <t>Syaza</t>
        </is>
      </c>
      <c r="T119" s="14">
        <f>COUNTIF($B$2:$B$499,B119)</f>
        <v/>
      </c>
      <c r="U119" s="14">
        <f>COUNTIF($I$2:$I$499,I119)</f>
        <v/>
      </c>
      <c r="V119" s="14">
        <f>IF(ISNA(MATCH(B119,'Metabase Lookup'!$A:$A,0)),"Not found",IF(INDEX('Metabase Lookup'!$B:$B,MATCH(B119,'Metabase Lookup'!$A:$A,0))="","Pending",INDEX('Metabase Lookup'!$B:$B,MATCH(B119,'Metabase Lookup'!$A:$A,0))))</f>
        <v/>
      </c>
      <c r="W119" s="14">
        <f>IF(ISNA(MATCH(B119,'Metabase Lookup'!$A:$A,0)),"Not found",IF(INDEX('Metabase Lookup'!$C:$C,MATCH(B119,'Metabase Lookup'!$A:$A,0))="","Pending",INDEX('Metabase Lookup'!$C:$C,MATCH(B119,'Metabase Lookup'!$A:$A,0))))</f>
        <v/>
      </c>
      <c r="X119" s="14">
        <f>IF(ISNA(MATCH(B119,'Metabase Lookup'!$A:$A,0)),"",IF(INDEX('Metabase Lookup'!$D:$D,MATCH(B119,'Metabase Lookup'!$A:$A,0))="","",INDEX('Metabase Lookup'!$D:$D,MATCH(B119,'Metabase Lookup'!$A:$A,0))))</f>
        <v/>
      </c>
      <c r="Y119" s="14">
        <f>IF(ISNUMBER(W119),IF(W119&gt;0,"Yes","No"),"Pending")</f>
        <v/>
      </c>
      <c r="Z119" s="14" t="inlineStr"/>
    </row>
    <row r="120">
      <c r="A120" s="14" t="n">
        <v>119</v>
      </c>
      <c r="B120" s="14" t="inlineStr">
        <is>
          <t>MYNJV70005095678</t>
        </is>
      </c>
      <c r="C120" s="15" t="inlineStr">
        <is>
          <t>260752642777</t>
        </is>
      </c>
      <c r="D120" s="16" t="n">
        <v>46287.39445601852</v>
      </c>
      <c r="E120" s="17" t="n">
        <v>46287</v>
      </c>
      <c r="F120" s="14" t="inlineStr">
        <is>
          <t>Tue</t>
        </is>
      </c>
      <c r="G120" s="14" t="inlineStr">
        <is>
          <t>Northern</t>
        </is>
      </c>
      <c r="H120" s="14" t="inlineStr">
        <is>
          <t>PSN</t>
        </is>
      </c>
      <c r="I120" s="14" t="inlineStr">
        <is>
          <t>PSN - OPS - PSN HUB</t>
        </is>
      </c>
      <c r="J120" s="14" t="inlineStr">
        <is>
          <t>OPS (generic hub account)</t>
        </is>
      </c>
      <c r="K120" s="14" t="inlineStr">
        <is>
          <t>91844918</t>
        </is>
      </c>
      <c r="L120" s="14" t="n">
        <v>1</v>
      </c>
      <c r="M120" s="14" t="inlineStr">
        <is>
          <t>LM</t>
        </is>
      </c>
      <c r="N120" s="14" t="inlineStr">
        <is>
          <t>Fake Fail</t>
        </is>
      </c>
      <c r="O120" s="14" t="inlineStr">
        <is>
          <t>Call not connected / no response</t>
        </is>
      </c>
      <c r="P120" s="14" t="inlineStr">
        <is>
          <t>Yes</t>
        </is>
      </c>
      <c r="Q120" s="14" t="inlineStr">
        <is>
          <t>No</t>
        </is>
      </c>
      <c r="R120" s="14" t="inlineStr">
        <is>
          <t>Invalid delivery attempt. POD invalid: Call log not connected, location invalid</t>
        </is>
      </c>
      <c r="S120" s="14" t="inlineStr">
        <is>
          <t>Putri</t>
        </is>
      </c>
      <c r="T120" s="14">
        <f>COUNTIF($B$2:$B$499,B120)</f>
        <v/>
      </c>
      <c r="U120" s="14">
        <f>COUNTIF($I$2:$I$499,I120)</f>
        <v/>
      </c>
      <c r="V120" s="14">
        <f>IF(ISNA(MATCH(B120,'Metabase Lookup'!$A:$A,0)),"Not found",IF(INDEX('Metabase Lookup'!$B:$B,MATCH(B120,'Metabase Lookup'!$A:$A,0))="","Pending",INDEX('Metabase Lookup'!$B:$B,MATCH(B120,'Metabase Lookup'!$A:$A,0))))</f>
        <v/>
      </c>
      <c r="W120" s="14">
        <f>IF(ISNA(MATCH(B120,'Metabase Lookup'!$A:$A,0)),"Not found",IF(INDEX('Metabase Lookup'!$C:$C,MATCH(B120,'Metabase Lookup'!$A:$A,0))="","Pending",INDEX('Metabase Lookup'!$C:$C,MATCH(B120,'Metabase Lookup'!$A:$A,0))))</f>
        <v/>
      </c>
      <c r="X120" s="14">
        <f>IF(ISNA(MATCH(B120,'Metabase Lookup'!$A:$A,0)),"",IF(INDEX('Metabase Lookup'!$D:$D,MATCH(B120,'Metabase Lookup'!$A:$A,0))="","",INDEX('Metabase Lookup'!$D:$D,MATCH(B120,'Metabase Lookup'!$A:$A,0))))</f>
        <v/>
      </c>
      <c r="Y120" s="14">
        <f>IF(ISNUMBER(W120),IF(W120&gt;0,"Yes","No"),"Pending")</f>
        <v/>
      </c>
      <c r="Z120" s="14" t="inlineStr">
        <is>
          <t>Driver not identified (OPS account)</t>
        </is>
      </c>
    </row>
    <row r="121">
      <c r="A121" s="14" t="n">
        <v>120</v>
      </c>
      <c r="B121" s="14" t="inlineStr">
        <is>
          <t>KULIM1550108430772015104</t>
        </is>
      </c>
      <c r="C121" s="15" t="inlineStr">
        <is>
          <t>266082640019</t>
        </is>
      </c>
      <c r="D121" s="16" t="n">
        <v>46287.39663194444</v>
      </c>
      <c r="E121" s="17" t="n">
        <v>46287</v>
      </c>
      <c r="F121" s="14" t="inlineStr">
        <is>
          <t>Tue</t>
        </is>
      </c>
      <c r="G121" s="14" t="inlineStr">
        <is>
          <t>Southern</t>
        </is>
      </c>
      <c r="H121" s="14" t="inlineStr">
        <is>
          <t>NSJ</t>
        </is>
      </c>
      <c r="I121" s="14" t="inlineStr">
        <is>
          <t>NSJ - ID - KHAIRUL BARIAH</t>
        </is>
      </c>
      <c r="J121" s="14" t="inlineStr">
        <is>
          <t>ID (named driver)</t>
        </is>
      </c>
      <c r="K121" s="14" t="inlineStr">
        <is>
          <t>91857888</t>
        </is>
      </c>
      <c r="L121" s="14" t="n">
        <v>1</v>
      </c>
      <c r="M121" s="14" t="inlineStr">
        <is>
          <t>LM</t>
        </is>
      </c>
      <c r="N121" s="14" t="inlineStr">
        <is>
          <t>Fake Fail</t>
        </is>
      </c>
      <c r="O121" s="14" t="inlineStr">
        <is>
          <t>Call not connected / no response</t>
        </is>
      </c>
      <c r="P121" s="14" t="inlineStr">
        <is>
          <t>Yes</t>
        </is>
      </c>
      <c r="Q121" s="14" t="inlineStr">
        <is>
          <t>No</t>
        </is>
      </c>
      <c r="R121" s="14" t="inlineStr">
        <is>
          <t>Invalid delivery attempt. POD invalid: Call log not connected, location invalid</t>
        </is>
      </c>
      <c r="S121" s="14" t="inlineStr">
        <is>
          <t>Putri</t>
        </is>
      </c>
      <c r="T121" s="14">
        <f>COUNTIF($B$2:$B$499,B121)</f>
        <v/>
      </c>
      <c r="U121" s="14">
        <f>COUNTIF($I$2:$I$499,I121)</f>
        <v/>
      </c>
      <c r="V121" s="14">
        <f>IF(ISNA(MATCH(B121,'Metabase Lookup'!$A:$A,0)),"Not found",IF(INDEX('Metabase Lookup'!$B:$B,MATCH(B121,'Metabase Lookup'!$A:$A,0))="","Pending",INDEX('Metabase Lookup'!$B:$B,MATCH(B121,'Metabase Lookup'!$A:$A,0))))</f>
        <v/>
      </c>
      <c r="W121" s="14">
        <f>IF(ISNA(MATCH(B121,'Metabase Lookup'!$A:$A,0)),"Not found",IF(INDEX('Metabase Lookup'!$C:$C,MATCH(B121,'Metabase Lookup'!$A:$A,0))="","Pending",INDEX('Metabase Lookup'!$C:$C,MATCH(B121,'Metabase Lookup'!$A:$A,0))))</f>
        <v/>
      </c>
      <c r="X121" s="14">
        <f>IF(ISNA(MATCH(B121,'Metabase Lookup'!$A:$A,0)),"",IF(INDEX('Metabase Lookup'!$D:$D,MATCH(B121,'Metabase Lookup'!$A:$A,0))="","",INDEX('Metabase Lookup'!$D:$D,MATCH(B121,'Metabase Lookup'!$A:$A,0))))</f>
        <v/>
      </c>
      <c r="Y121" s="14">
        <f>IF(ISNUMBER(W121),IF(W121&gt;0,"Yes","No"),"Pending")</f>
        <v/>
      </c>
      <c r="Z121" s="14" t="inlineStr"/>
    </row>
    <row r="122">
      <c r="A122" s="14" t="n">
        <v>121</v>
      </c>
      <c r="B122" s="14" t="inlineStr">
        <is>
          <t>CASIA1548166026215026688</t>
        </is>
      </c>
      <c r="C122" s="15" t="inlineStr">
        <is>
          <t>263672641283</t>
        </is>
      </c>
      <c r="D122" s="16" t="n">
        <v>46287.39872685185</v>
      </c>
      <c r="E122" s="17" t="n">
        <v>46287</v>
      </c>
      <c r="F122" s="14" t="inlineStr">
        <is>
          <t>Tue</t>
        </is>
      </c>
      <c r="G122" s="14" t="inlineStr">
        <is>
          <t>Southern</t>
        </is>
      </c>
      <c r="H122" s="14" t="inlineStr">
        <is>
          <t>PWR</t>
        </is>
      </c>
      <c r="I122" s="14" t="inlineStr">
        <is>
          <t>PWR - ID - ZULAIKHA</t>
        </is>
      </c>
      <c r="J122" s="14" t="inlineStr">
        <is>
          <t>ID (named driver)</t>
        </is>
      </c>
      <c r="K122" s="14" t="inlineStr">
        <is>
          <t>91813933</t>
        </is>
      </c>
      <c r="L122" s="14" t="n">
        <v>1</v>
      </c>
      <c r="M122" s="14" t="inlineStr">
        <is>
          <t>LM</t>
        </is>
      </c>
      <c r="N122" s="14" t="inlineStr">
        <is>
          <t>Deliver to Wrong Address</t>
        </is>
      </c>
      <c r="O122" s="14" t="inlineStr"/>
      <c r="P122" s="14" t="inlineStr"/>
      <c r="Q122" s="14" t="inlineStr"/>
      <c r="R122" s="14" t="inlineStr">
        <is>
          <t>Completed date 2026-09-15 but delivered to the wrong house. Done retrieve and delivered to the correct house</t>
        </is>
      </c>
      <c r="S122" s="14" t="inlineStr">
        <is>
          <t>Syaza</t>
        </is>
      </c>
      <c r="T122" s="14">
        <f>COUNTIF($B$2:$B$499,B122)</f>
        <v/>
      </c>
      <c r="U122" s="14">
        <f>COUNTIF($I$2:$I$499,I122)</f>
        <v/>
      </c>
      <c r="V122" s="14">
        <f>IF(ISNA(MATCH(B122,'Metabase Lookup'!$A:$A,0)),"Not found",IF(INDEX('Metabase Lookup'!$B:$B,MATCH(B122,'Metabase Lookup'!$A:$A,0))="","Pending",INDEX('Metabase Lookup'!$B:$B,MATCH(B122,'Metabase Lookup'!$A:$A,0))))</f>
        <v/>
      </c>
      <c r="W122" s="14">
        <f>IF(ISNA(MATCH(B122,'Metabase Lookup'!$A:$A,0)),"Not found",IF(INDEX('Metabase Lookup'!$C:$C,MATCH(B122,'Metabase Lookup'!$A:$A,0))="","Pending",INDEX('Metabase Lookup'!$C:$C,MATCH(B122,'Metabase Lookup'!$A:$A,0))))</f>
        <v/>
      </c>
      <c r="X122" s="14">
        <f>IF(ISNA(MATCH(B122,'Metabase Lookup'!$A:$A,0)),"",IF(INDEX('Metabase Lookup'!$D:$D,MATCH(B122,'Metabase Lookup'!$A:$A,0))="","",INDEX('Metabase Lookup'!$D:$D,MATCH(B122,'Metabase Lookup'!$A:$A,0))))</f>
        <v/>
      </c>
      <c r="Y122" s="14">
        <f>IF(ISNUMBER(W122),IF(W122&gt;0,"Yes","No"),"Pending")</f>
        <v/>
      </c>
      <c r="Z122" s="14" t="inlineStr"/>
    </row>
    <row r="123">
      <c r="A123" s="14" t="n">
        <v>122</v>
      </c>
      <c r="B123" s="14" t="inlineStr">
        <is>
          <t>NVMYMYBAL000039241</t>
        </is>
      </c>
      <c r="C123" s="15" t="inlineStr">
        <is>
          <t>267572646706</t>
        </is>
      </c>
      <c r="D123" s="16" t="n">
        <v>46287.39916666667</v>
      </c>
      <c r="E123" s="17" t="n">
        <v>46287</v>
      </c>
      <c r="F123" s="14" t="inlineStr">
        <is>
          <t>Tue</t>
        </is>
      </c>
      <c r="G123" s="14" t="inlineStr">
        <is>
          <t>Southern</t>
        </is>
      </c>
      <c r="H123" s="14" t="inlineStr">
        <is>
          <t>GLG</t>
        </is>
      </c>
      <c r="I123" s="14" t="inlineStr">
        <is>
          <t>GLG - OPS - ENGKU</t>
        </is>
      </c>
      <c r="J123" s="14" t="inlineStr">
        <is>
          <t>OPS (generic hub account)</t>
        </is>
      </c>
      <c r="K123" s="14" t="inlineStr">
        <is>
          <t>91814193</t>
        </is>
      </c>
      <c r="L123" s="14" t="n">
        <v>1</v>
      </c>
      <c r="M123" s="14" t="inlineStr">
        <is>
          <t>LM</t>
        </is>
      </c>
      <c r="N123" s="14" t="inlineStr">
        <is>
          <t>Fake Fail</t>
        </is>
      </c>
      <c r="O123" s="14" t="inlineStr">
        <is>
          <t>Call not connected / no response</t>
        </is>
      </c>
      <c r="P123" s="14" t="inlineStr">
        <is>
          <t>Yes</t>
        </is>
      </c>
      <c r="Q123" s="14" t="inlineStr">
        <is>
          <t>No</t>
        </is>
      </c>
      <c r="R123" s="14" t="inlineStr">
        <is>
          <t>Invalid delivery attempt. POD invalid: Call log not connected, location invalid</t>
        </is>
      </c>
      <c r="S123" s="14" t="inlineStr">
        <is>
          <t>Putri</t>
        </is>
      </c>
      <c r="T123" s="14">
        <f>COUNTIF($B$2:$B$499,B123)</f>
        <v/>
      </c>
      <c r="U123" s="14">
        <f>COUNTIF($I$2:$I$499,I123)</f>
        <v/>
      </c>
      <c r="V123" s="14">
        <f>IF(ISNA(MATCH(B123,'Metabase Lookup'!$A:$A,0)),"Not found",IF(INDEX('Metabase Lookup'!$B:$B,MATCH(B123,'Metabase Lookup'!$A:$A,0))="","Pending",INDEX('Metabase Lookup'!$B:$B,MATCH(B123,'Metabase Lookup'!$A:$A,0))))</f>
        <v/>
      </c>
      <c r="W123" s="14">
        <f>IF(ISNA(MATCH(B123,'Metabase Lookup'!$A:$A,0)),"Not found",IF(INDEX('Metabase Lookup'!$C:$C,MATCH(B123,'Metabase Lookup'!$A:$A,0))="","Pending",INDEX('Metabase Lookup'!$C:$C,MATCH(B123,'Metabase Lookup'!$A:$A,0))))</f>
        <v/>
      </c>
      <c r="X123" s="14">
        <f>IF(ISNA(MATCH(B123,'Metabase Lookup'!$A:$A,0)),"",IF(INDEX('Metabase Lookup'!$D:$D,MATCH(B123,'Metabase Lookup'!$A:$A,0))="","",INDEX('Metabase Lookup'!$D:$D,MATCH(B123,'Metabase Lookup'!$A:$A,0))))</f>
        <v/>
      </c>
      <c r="Y123" s="14">
        <f>IF(ISNUMBER(W123),IF(W123&gt;0,"Yes","No"),"Pending")</f>
        <v/>
      </c>
      <c r="Z123" s="14" t="inlineStr">
        <is>
          <t>Driver not identified (OPS account)</t>
        </is>
      </c>
    </row>
    <row r="124">
      <c r="A124" s="14" t="n">
        <v>123</v>
      </c>
      <c r="B124" s="14" t="inlineStr">
        <is>
          <t>NVMYDAIGO0SD11689A</t>
        </is>
      </c>
      <c r="C124" s="15" t="inlineStr">
        <is>
          <t>264292647783</t>
        </is>
      </c>
      <c r="D124" s="16" t="n">
        <v>46287.40103009259</v>
      </c>
      <c r="E124" s="17" t="n">
        <v>46287</v>
      </c>
      <c r="F124" s="14" t="inlineStr">
        <is>
          <t>Tue</t>
        </is>
      </c>
      <c r="G124" s="14" t="inlineStr">
        <is>
          <t>KV</t>
        </is>
      </c>
      <c r="H124" s="14" t="inlineStr">
        <is>
          <t>SHA</t>
        </is>
      </c>
      <c r="I124" s="14" t="inlineStr">
        <is>
          <t>SHA - ID - AZIZI</t>
        </is>
      </c>
      <c r="J124" s="14" t="inlineStr">
        <is>
          <t>ID (named driver)</t>
        </is>
      </c>
      <c r="K124" s="14" t="inlineStr">
        <is>
          <t>91859989</t>
        </is>
      </c>
      <c r="L124" s="14" t="n">
        <v>1</v>
      </c>
      <c r="M124" s="14" t="inlineStr">
        <is>
          <t>LM</t>
        </is>
      </c>
      <c r="N124" s="14" t="inlineStr">
        <is>
          <t>Fake Fail</t>
        </is>
      </c>
      <c r="O124" s="14" t="inlineStr">
        <is>
          <t>Invalid location / site photo</t>
        </is>
      </c>
      <c r="P124" s="14" t="inlineStr">
        <is>
          <t>Yes</t>
        </is>
      </c>
      <c r="Q124" s="14" t="inlineStr">
        <is>
          <t>No</t>
        </is>
      </c>
      <c r="R124" s="14" t="inlineStr">
        <is>
          <t>POD invalid not customer location</t>
        </is>
      </c>
      <c r="S124" s="14" t="inlineStr">
        <is>
          <t>Ninja Hadif</t>
        </is>
      </c>
      <c r="T124" s="14">
        <f>COUNTIF($B$2:$B$499,B124)</f>
        <v/>
      </c>
      <c r="U124" s="14">
        <f>COUNTIF($I$2:$I$499,I124)</f>
        <v/>
      </c>
      <c r="V124" s="14">
        <f>IF(ISNA(MATCH(B124,'Metabase Lookup'!$A:$A,0)),"Not found",IF(INDEX('Metabase Lookup'!$B:$B,MATCH(B124,'Metabase Lookup'!$A:$A,0))="","Pending",INDEX('Metabase Lookup'!$B:$B,MATCH(B124,'Metabase Lookup'!$A:$A,0))))</f>
        <v/>
      </c>
      <c r="W124" s="14">
        <f>IF(ISNA(MATCH(B124,'Metabase Lookup'!$A:$A,0)),"Not found",IF(INDEX('Metabase Lookup'!$C:$C,MATCH(B124,'Metabase Lookup'!$A:$A,0))="","Pending",INDEX('Metabase Lookup'!$C:$C,MATCH(B124,'Metabase Lookup'!$A:$A,0))))</f>
        <v/>
      </c>
      <c r="X124" s="14">
        <f>IF(ISNA(MATCH(B124,'Metabase Lookup'!$A:$A,0)),"",IF(INDEX('Metabase Lookup'!$D:$D,MATCH(B124,'Metabase Lookup'!$A:$A,0))="","",INDEX('Metabase Lookup'!$D:$D,MATCH(B124,'Metabase Lookup'!$A:$A,0))))</f>
        <v/>
      </c>
      <c r="Y124" s="14">
        <f>IF(ISNUMBER(W124),IF(W124&gt;0,"Yes","No"),"Pending")</f>
        <v/>
      </c>
      <c r="Z124" s="14" t="inlineStr"/>
    </row>
    <row r="125">
      <c r="A125" s="14" t="n">
        <v>124</v>
      </c>
      <c r="B125" s="14" t="inlineStr">
        <is>
          <t>BBPE1548563273542471680</t>
        </is>
      </c>
      <c r="C125" s="15" t="inlineStr">
        <is>
          <t>260782615041</t>
        </is>
      </c>
      <c r="D125" s="16" t="n">
        <v>46287.40362268518</v>
      </c>
      <c r="E125" s="17" t="n">
        <v>46287</v>
      </c>
      <c r="F125" s="14" t="inlineStr">
        <is>
          <t>Tue</t>
        </is>
      </c>
      <c r="G125" s="14" t="inlineStr">
        <is>
          <t>North West</t>
        </is>
      </c>
      <c r="H125" s="14" t="inlineStr">
        <is>
          <t>BAG</t>
        </is>
      </c>
      <c r="I125" s="14" t="inlineStr">
        <is>
          <t>BAG - OPS - ADAM</t>
        </is>
      </c>
      <c r="J125" s="14" t="inlineStr">
        <is>
          <t>OPS (generic hub account)</t>
        </is>
      </c>
      <c r="K125" s="14" t="inlineStr">
        <is>
          <t>91803919</t>
        </is>
      </c>
      <c r="L125" s="14" t="n">
        <v>1</v>
      </c>
      <c r="M125" s="14" t="inlineStr">
        <is>
          <t>LM</t>
        </is>
      </c>
      <c r="N125" s="14" t="inlineStr">
        <is>
          <t>Fake Fail</t>
        </is>
      </c>
      <c r="O125" s="14" t="inlineStr">
        <is>
          <t>Call not connected / no response</t>
        </is>
      </c>
      <c r="P125" s="14" t="inlineStr">
        <is>
          <t>Yes</t>
        </is>
      </c>
      <c r="Q125" s="14" t="inlineStr">
        <is>
          <t>No</t>
        </is>
      </c>
      <c r="R125" s="14" t="inlineStr">
        <is>
          <t>Invalid delivery attempt. POD invalid: Call log not connected, location invalid</t>
        </is>
      </c>
      <c r="S125" s="14" t="inlineStr">
        <is>
          <t>Putri</t>
        </is>
      </c>
      <c r="T125" s="14">
        <f>COUNTIF($B$2:$B$499,B125)</f>
        <v/>
      </c>
      <c r="U125" s="14">
        <f>COUNTIF($I$2:$I$499,I125)</f>
        <v/>
      </c>
      <c r="V125" s="14">
        <f>IF(ISNA(MATCH(B125,'Metabase Lookup'!$A:$A,0)),"Not found",IF(INDEX('Metabase Lookup'!$B:$B,MATCH(B125,'Metabase Lookup'!$A:$A,0))="","Pending",INDEX('Metabase Lookup'!$B:$B,MATCH(B125,'Metabase Lookup'!$A:$A,0))))</f>
        <v/>
      </c>
      <c r="W125" s="14">
        <f>IF(ISNA(MATCH(B125,'Metabase Lookup'!$A:$A,0)),"Not found",IF(INDEX('Metabase Lookup'!$C:$C,MATCH(B125,'Metabase Lookup'!$A:$A,0))="","Pending",INDEX('Metabase Lookup'!$C:$C,MATCH(B125,'Metabase Lookup'!$A:$A,0))))</f>
        <v/>
      </c>
      <c r="X125" s="14">
        <f>IF(ISNA(MATCH(B125,'Metabase Lookup'!$A:$A,0)),"",IF(INDEX('Metabase Lookup'!$D:$D,MATCH(B125,'Metabase Lookup'!$A:$A,0))="","",INDEX('Metabase Lookup'!$D:$D,MATCH(B125,'Metabase Lookup'!$A:$A,0))))</f>
        <v/>
      </c>
      <c r="Y125" s="14">
        <f>IF(ISNUMBER(W125),IF(W125&gt;0,"Yes","No"),"Pending")</f>
        <v/>
      </c>
      <c r="Z125" s="14" t="inlineStr">
        <is>
          <t>Driver not identified (OPS account)</t>
        </is>
      </c>
    </row>
    <row r="126">
      <c r="A126" s="14" t="n">
        <v>125</v>
      </c>
      <c r="B126" s="14" t="inlineStr">
        <is>
          <t>TNGDV2609156900807310</t>
        </is>
      </c>
      <c r="C126" s="15" t="inlineStr">
        <is>
          <t>260722625175</t>
        </is>
      </c>
      <c r="D126" s="16" t="n">
        <v>46287.40696759259</v>
      </c>
      <c r="E126" s="17" t="n">
        <v>46287</v>
      </c>
      <c r="F126" s="14" t="inlineStr">
        <is>
          <t>Tue</t>
        </is>
      </c>
      <c r="G126" s="14" t="inlineStr">
        <is>
          <t>Northern</t>
        </is>
      </c>
      <c r="H126" s="14" t="inlineStr">
        <is>
          <t>KLM</t>
        </is>
      </c>
      <c r="I126" s="14" t="inlineStr">
        <is>
          <t>KLM - ID - HAYATI HAMEED</t>
        </is>
      </c>
      <c r="J126" s="14" t="inlineStr">
        <is>
          <t>ID (named driver)</t>
        </is>
      </c>
      <c r="K126" s="14" t="inlineStr">
        <is>
          <t>91841282</t>
        </is>
      </c>
      <c r="L126" s="14" t="n">
        <v>1</v>
      </c>
      <c r="M126" s="14" t="inlineStr">
        <is>
          <t>LM</t>
        </is>
      </c>
      <c r="N126" s="14" t="inlineStr">
        <is>
          <t>Parcel Dumping</t>
        </is>
      </c>
      <c r="O126" s="14" t="inlineStr"/>
      <c r="P126" s="14" t="inlineStr"/>
      <c r="Q126" s="14" t="inlineStr"/>
      <c r="R126" s="14" t="inlineStr">
        <is>
          <t>Completed 2026-09-19 but cust unable to locate the parcel. Customer did not received any call/WS from the driver on the day of the delivery. Cust found it was tucked between the door area</t>
        </is>
      </c>
      <c r="S126" s="14" t="inlineStr">
        <is>
          <t>Syaza</t>
        </is>
      </c>
      <c r="T126" s="14">
        <f>COUNTIF($B$2:$B$499,B126)</f>
        <v/>
      </c>
      <c r="U126" s="14">
        <f>COUNTIF($I$2:$I$499,I126)</f>
        <v/>
      </c>
      <c r="V126" s="14">
        <f>IF(ISNA(MATCH(B126,'Metabase Lookup'!$A:$A,0)),"Not found",IF(INDEX('Metabase Lookup'!$B:$B,MATCH(B126,'Metabase Lookup'!$A:$A,0))="","Pending",INDEX('Metabase Lookup'!$B:$B,MATCH(B126,'Metabase Lookup'!$A:$A,0))))</f>
        <v/>
      </c>
      <c r="W126" s="14">
        <f>IF(ISNA(MATCH(B126,'Metabase Lookup'!$A:$A,0)),"Not found",IF(INDEX('Metabase Lookup'!$C:$C,MATCH(B126,'Metabase Lookup'!$A:$A,0))="","Pending",INDEX('Metabase Lookup'!$C:$C,MATCH(B126,'Metabase Lookup'!$A:$A,0))))</f>
        <v/>
      </c>
      <c r="X126" s="14">
        <f>IF(ISNA(MATCH(B126,'Metabase Lookup'!$A:$A,0)),"",IF(INDEX('Metabase Lookup'!$D:$D,MATCH(B126,'Metabase Lookup'!$A:$A,0))="","",INDEX('Metabase Lookup'!$D:$D,MATCH(B126,'Metabase Lookup'!$A:$A,0))))</f>
        <v/>
      </c>
      <c r="Y126" s="14">
        <f>IF(ISNUMBER(W126),IF(W126&gt;0,"Yes","No"),"Pending")</f>
        <v/>
      </c>
      <c r="Z126" s="14" t="inlineStr"/>
    </row>
    <row r="127">
      <c r="A127" s="14" t="n">
        <v>126</v>
      </c>
      <c r="B127" s="14" t="inlineStr">
        <is>
          <t>AJDHU1550340179671482368</t>
        </is>
      </c>
      <c r="C127" s="15" t="inlineStr">
        <is>
          <t>263332654536</t>
        </is>
      </c>
      <c r="D127" s="16" t="n">
        <v>46287.40885416666</v>
      </c>
      <c r="E127" s="17" t="n">
        <v>46287</v>
      </c>
      <c r="F127" s="14" t="inlineStr">
        <is>
          <t>Tue</t>
        </is>
      </c>
      <c r="G127" s="14" t="inlineStr">
        <is>
          <t>Southern</t>
        </is>
      </c>
      <c r="H127" s="14" t="inlineStr">
        <is>
          <t>PTN</t>
        </is>
      </c>
      <c r="I127" s="14" t="inlineStr">
        <is>
          <t>PTN - OPS - IZZ</t>
        </is>
      </c>
      <c r="J127" s="14" t="inlineStr">
        <is>
          <t>OPS (generic hub account)</t>
        </is>
      </c>
      <c r="K127" s="14" t="inlineStr">
        <is>
          <t>91851652</t>
        </is>
      </c>
      <c r="L127" s="14" t="n">
        <v>1</v>
      </c>
      <c r="M127" s="14" t="inlineStr">
        <is>
          <t>LM</t>
        </is>
      </c>
      <c r="N127" s="14" t="inlineStr">
        <is>
          <t>Fake Fail</t>
        </is>
      </c>
      <c r="O127" s="14" t="inlineStr">
        <is>
          <t>No call / call log missing</t>
        </is>
      </c>
      <c r="P127" s="14" t="inlineStr">
        <is>
          <t>No</t>
        </is>
      </c>
      <c r="Q127" s="14" t="inlineStr">
        <is>
          <t>No</t>
        </is>
      </c>
      <c r="R127" s="14" t="inlineStr">
        <is>
          <t>driver not call the customer and call log is not under customer contact number</t>
        </is>
      </c>
      <c r="S127" s="14" t="inlineStr">
        <is>
          <t>Zati</t>
        </is>
      </c>
      <c r="T127" s="14">
        <f>COUNTIF($B$2:$B$499,B127)</f>
        <v/>
      </c>
      <c r="U127" s="14">
        <f>COUNTIF($I$2:$I$499,I127)</f>
        <v/>
      </c>
      <c r="V127" s="14">
        <f>IF(ISNA(MATCH(B127,'Metabase Lookup'!$A:$A,0)),"Not found",IF(INDEX('Metabase Lookup'!$B:$B,MATCH(B127,'Metabase Lookup'!$A:$A,0))="","Pending",INDEX('Metabase Lookup'!$B:$B,MATCH(B127,'Metabase Lookup'!$A:$A,0))))</f>
        <v/>
      </c>
      <c r="W127" s="14">
        <f>IF(ISNA(MATCH(B127,'Metabase Lookup'!$A:$A,0)),"Not found",IF(INDEX('Metabase Lookup'!$C:$C,MATCH(B127,'Metabase Lookup'!$A:$A,0))="","Pending",INDEX('Metabase Lookup'!$C:$C,MATCH(B127,'Metabase Lookup'!$A:$A,0))))</f>
        <v/>
      </c>
      <c r="X127" s="14">
        <f>IF(ISNA(MATCH(B127,'Metabase Lookup'!$A:$A,0)),"",IF(INDEX('Metabase Lookup'!$D:$D,MATCH(B127,'Metabase Lookup'!$A:$A,0))="","",INDEX('Metabase Lookup'!$D:$D,MATCH(B127,'Metabase Lookup'!$A:$A,0))))</f>
        <v/>
      </c>
      <c r="Y127" s="14">
        <f>IF(ISNUMBER(W127),IF(W127&gt;0,"Yes","No"),"Pending")</f>
        <v/>
      </c>
      <c r="Z127" s="14" t="inlineStr">
        <is>
          <t>Driver not identified (OPS account)</t>
        </is>
      </c>
    </row>
    <row r="128">
      <c r="A128" s="14" t="n">
        <v>127</v>
      </c>
      <c r="B128" s="14" t="inlineStr">
        <is>
          <t>NVMYNINJA002508449</t>
        </is>
      </c>
      <c r="C128" s="15" t="inlineStr">
        <is>
          <t>Case</t>
        </is>
      </c>
      <c r="D128" s="16" t="n">
        <v>46287.41322916667</v>
      </c>
      <c r="E128" s="17" t="n">
        <v>46287</v>
      </c>
      <c r="F128" s="14" t="inlineStr">
        <is>
          <t>Tue</t>
        </is>
      </c>
      <c r="G128" s="14" t="inlineStr">
        <is>
          <t>Southern</t>
        </is>
      </c>
      <c r="H128" s="14" t="inlineStr">
        <is>
          <t>KEM</t>
        </is>
      </c>
      <c r="I128" s="14" t="inlineStr">
        <is>
          <t>OPS - KEM</t>
        </is>
      </c>
      <c r="J128" s="14" t="inlineStr">
        <is>
          <t>OPS (generic hub account)</t>
        </is>
      </c>
      <c r="K128" s="14" t="inlineStr">
        <is>
          <t>91827606</t>
        </is>
      </c>
      <c r="L128" s="14" t="n">
        <v>1</v>
      </c>
      <c r="M128" s="14" t="inlineStr">
        <is>
          <t>LM</t>
        </is>
      </c>
      <c r="N128" s="14" t="inlineStr">
        <is>
          <t>Fake Fail</t>
        </is>
      </c>
      <c r="O128" s="14" t="inlineStr">
        <is>
          <t>No call / call log missing</t>
        </is>
      </c>
      <c r="P128" s="14" t="inlineStr">
        <is>
          <t>Yes</t>
        </is>
      </c>
      <c r="Q128" s="14" t="inlineStr">
        <is>
          <t>No</t>
        </is>
      </c>
      <c r="R128" s="14" t="inlineStr">
        <is>
          <t>No call / location picture</t>
        </is>
      </c>
      <c r="S128" s="14" t="inlineStr">
        <is>
          <t>Shafiq</t>
        </is>
      </c>
      <c r="T128" s="14">
        <f>COUNTIF($B$2:$B$499,B128)</f>
        <v/>
      </c>
      <c r="U128" s="14">
        <f>COUNTIF($I$2:$I$499,I128)</f>
        <v/>
      </c>
      <c r="V128" s="14">
        <f>IF(ISNA(MATCH(B128,'Metabase Lookup'!$A:$A,0)),"Not found",IF(INDEX('Metabase Lookup'!$B:$B,MATCH(B128,'Metabase Lookup'!$A:$A,0))="","Pending",INDEX('Metabase Lookup'!$B:$B,MATCH(B128,'Metabase Lookup'!$A:$A,0))))</f>
        <v/>
      </c>
      <c r="W128" s="14">
        <f>IF(ISNA(MATCH(B128,'Metabase Lookup'!$A:$A,0)),"Not found",IF(INDEX('Metabase Lookup'!$C:$C,MATCH(B128,'Metabase Lookup'!$A:$A,0))="","Pending",INDEX('Metabase Lookup'!$C:$C,MATCH(B128,'Metabase Lookup'!$A:$A,0))))</f>
        <v/>
      </c>
      <c r="X128" s="14">
        <f>IF(ISNA(MATCH(B128,'Metabase Lookup'!$A:$A,0)),"",IF(INDEX('Metabase Lookup'!$D:$D,MATCH(B128,'Metabase Lookup'!$A:$A,0))="","",INDEX('Metabase Lookup'!$D:$D,MATCH(B128,'Metabase Lookup'!$A:$A,0))))</f>
        <v/>
      </c>
      <c r="Y128" s="14">
        <f>IF(ISNUMBER(W128),IF(W128&gt;0,"Yes","No"),"Pending")</f>
        <v/>
      </c>
      <c r="Z128" s="14" t="inlineStr">
        <is>
          <t>TID had stray spaces/line breaks (cleaned); Driver not identified (OPS account)</t>
        </is>
      </c>
    </row>
    <row r="129">
      <c r="A129" s="14" t="n">
        <v>128</v>
      </c>
      <c r="B129" s="14" t="inlineStr">
        <is>
          <t>NVMYFCSSB000000568</t>
        </is>
      </c>
      <c r="C129" s="15" t="inlineStr">
        <is>
          <t>260452641509</t>
        </is>
      </c>
      <c r="D129" s="16" t="n">
        <v>46287.41672453703</v>
      </c>
      <c r="E129" s="17" t="n">
        <v>46287</v>
      </c>
      <c r="F129" s="14" t="inlineStr">
        <is>
          <t>Tue</t>
        </is>
      </c>
      <c r="G129" s="14" t="inlineStr">
        <is>
          <t>Northern</t>
        </is>
      </c>
      <c r="H129" s="14" t="inlineStr">
        <is>
          <t>BTS</t>
        </is>
      </c>
      <c r="I129" s="14" t="inlineStr">
        <is>
          <t>SELF COLLECT BERTAM PUTRA | BTS - OPS - PENAGA</t>
        </is>
      </c>
      <c r="J129" s="14" t="inlineStr">
        <is>
          <t>Multiple drivers</t>
        </is>
      </c>
      <c r="K129" s="14" t="inlineStr">
        <is>
          <t>91772825, 91836653</t>
        </is>
      </c>
      <c r="L129" s="14" t="n">
        <v>2</v>
      </c>
      <c r="M129" s="14" t="inlineStr">
        <is>
          <t>LM</t>
        </is>
      </c>
      <c r="N129" s="14" t="inlineStr">
        <is>
          <t>Fake Fail</t>
        </is>
      </c>
      <c r="O129" s="14" t="inlineStr">
        <is>
          <t>Invalid location / site photo</t>
        </is>
      </c>
      <c r="P129" s="14" t="inlineStr">
        <is>
          <t>Yes</t>
        </is>
      </c>
      <c r="Q129" s="14" t="inlineStr">
        <is>
          <t>No</t>
        </is>
      </c>
      <c r="R129" s="14" t="inlineStr">
        <is>
          <t>POD not valid as not cust number, not cust location and now already completed return to sender.</t>
        </is>
      </c>
      <c r="S129" s="14" t="inlineStr">
        <is>
          <t>Zakwan</t>
        </is>
      </c>
      <c r="T129" s="14">
        <f>COUNTIF($B$2:$B$499,B129)</f>
        <v/>
      </c>
      <c r="U129" s="14">
        <f>COUNTIF($I$2:$I$499,I129)</f>
        <v/>
      </c>
      <c r="V129" s="14">
        <f>IF(ISNA(MATCH(B129,'Metabase Lookup'!$A:$A,0)),"Not found",IF(INDEX('Metabase Lookup'!$B:$B,MATCH(B129,'Metabase Lookup'!$A:$A,0))="","Pending",INDEX('Metabase Lookup'!$B:$B,MATCH(B129,'Metabase Lookup'!$A:$A,0))))</f>
        <v/>
      </c>
      <c r="W129" s="14">
        <f>IF(ISNA(MATCH(B129,'Metabase Lookup'!$A:$A,0)),"Not found",IF(INDEX('Metabase Lookup'!$C:$C,MATCH(B129,'Metabase Lookup'!$A:$A,0))="","Pending",INDEX('Metabase Lookup'!$C:$C,MATCH(B129,'Metabase Lookup'!$A:$A,0))))</f>
        <v/>
      </c>
      <c r="X129" s="14">
        <f>IF(ISNA(MATCH(B129,'Metabase Lookup'!$A:$A,0)),"",IF(INDEX('Metabase Lookup'!$D:$D,MATCH(B129,'Metabase Lookup'!$A:$A,0))="","",INDEX('Metabase Lookup'!$D:$D,MATCH(B129,'Metabase Lookup'!$A:$A,0))))</f>
        <v/>
      </c>
      <c r="Y129" s="14">
        <f>IF(ISNUMBER(W129),IF(W129&gt;0,"Yes","No"),"Pending")</f>
        <v/>
      </c>
      <c r="Z129" s="14" t="inlineStr">
        <is>
          <t>Multiple drivers in one row; Multiple route IDs</t>
        </is>
      </c>
    </row>
    <row r="130">
      <c r="A130" s="14" t="n">
        <v>129</v>
      </c>
      <c r="B130" s="14" t="inlineStr">
        <is>
          <t>NVMYMYAZL000000044</t>
        </is>
      </c>
      <c r="C130" s="15" t="inlineStr">
        <is>
          <t>260882642093</t>
        </is>
      </c>
      <c r="D130" s="16" t="n">
        <v>46287.41741898148</v>
      </c>
      <c r="E130" s="17" t="n">
        <v>46287</v>
      </c>
      <c r="F130" s="14" t="inlineStr">
        <is>
          <t>Tue</t>
        </is>
      </c>
      <c r="G130" s="14" t="inlineStr">
        <is>
          <t>East MY</t>
        </is>
      </c>
      <c r="H130" s="14" t="inlineStr">
        <is>
          <t>PPR</t>
        </is>
      </c>
      <c r="I130" s="14" t="inlineStr">
        <is>
          <t>PPR - ID - CORNOLIUS</t>
        </is>
      </c>
      <c r="J130" s="14" t="inlineStr">
        <is>
          <t>ID (named driver)</t>
        </is>
      </c>
      <c r="K130" s="14" t="inlineStr">
        <is>
          <t>91856647</t>
        </is>
      </c>
      <c r="L130" s="14" t="n">
        <v>1</v>
      </c>
      <c r="M130" s="14" t="inlineStr">
        <is>
          <t>LM</t>
        </is>
      </c>
      <c r="N130" s="14" t="inlineStr">
        <is>
          <t>Fake Fail</t>
        </is>
      </c>
      <c r="O130" s="14" t="inlineStr">
        <is>
          <t>Invalid POD (no detail)</t>
        </is>
      </c>
      <c r="P130" s="14" t="inlineStr">
        <is>
          <t>No</t>
        </is>
      </c>
      <c r="Q130" s="14" t="inlineStr">
        <is>
          <t>No</t>
        </is>
      </c>
      <c r="R130" s="14" t="inlineStr">
        <is>
          <t>POD not cust contact no</t>
        </is>
      </c>
      <c r="S130" s="14" t="inlineStr">
        <is>
          <t>Zakwan</t>
        </is>
      </c>
      <c r="T130" s="14">
        <f>COUNTIF($B$2:$B$499,B130)</f>
        <v/>
      </c>
      <c r="U130" s="14">
        <f>COUNTIF($I$2:$I$499,I130)</f>
        <v/>
      </c>
      <c r="V130" s="14">
        <f>IF(ISNA(MATCH(B130,'Metabase Lookup'!$A:$A,0)),"Not found",IF(INDEX('Metabase Lookup'!$B:$B,MATCH(B130,'Metabase Lookup'!$A:$A,0))="","Pending",INDEX('Metabase Lookup'!$B:$B,MATCH(B130,'Metabase Lookup'!$A:$A,0))))</f>
        <v/>
      </c>
      <c r="W130" s="14">
        <f>IF(ISNA(MATCH(B130,'Metabase Lookup'!$A:$A,0)),"Not found",IF(INDEX('Metabase Lookup'!$C:$C,MATCH(B130,'Metabase Lookup'!$A:$A,0))="","Pending",INDEX('Metabase Lookup'!$C:$C,MATCH(B130,'Metabase Lookup'!$A:$A,0))))</f>
        <v/>
      </c>
      <c r="X130" s="14">
        <f>IF(ISNA(MATCH(B130,'Metabase Lookup'!$A:$A,0)),"",IF(INDEX('Metabase Lookup'!$D:$D,MATCH(B130,'Metabase Lookup'!$A:$A,0))="","",INDEX('Metabase Lookup'!$D:$D,MATCH(B130,'Metabase Lookup'!$A:$A,0))))</f>
        <v/>
      </c>
      <c r="Y130" s="14">
        <f>IF(ISNUMBER(W130),IF(W130&gt;0,"Yes","No"),"Pending")</f>
        <v/>
      </c>
      <c r="Z130" s="14" t="inlineStr"/>
    </row>
    <row r="131">
      <c r="A131" s="14" t="n">
        <v>130</v>
      </c>
      <c r="B131" s="14" t="inlineStr">
        <is>
          <t>NVMYHENEL000011349</t>
        </is>
      </c>
      <c r="C131" s="15" t="inlineStr">
        <is>
          <t>266112645848</t>
        </is>
      </c>
      <c r="D131" s="16" t="n">
        <v>46287.42105324074</v>
      </c>
      <c r="E131" s="17" t="n">
        <v>46287</v>
      </c>
      <c r="F131" s="14" t="inlineStr">
        <is>
          <t>Tue</t>
        </is>
      </c>
      <c r="G131" s="14" t="inlineStr">
        <is>
          <t>Eastern</t>
        </is>
      </c>
      <c r="H131" s="14" t="inlineStr">
        <is>
          <t>TRI</t>
        </is>
      </c>
      <c r="I131" s="14" t="inlineStr">
        <is>
          <t>TRI - ID - SEDI</t>
        </is>
      </c>
      <c r="J131" s="14" t="inlineStr">
        <is>
          <t>ID (named driver)</t>
        </is>
      </c>
      <c r="K131" s="14" t="inlineStr">
        <is>
          <t>91843238</t>
        </is>
      </c>
      <c r="L131" s="14" t="n">
        <v>1</v>
      </c>
      <c r="M131" s="14" t="inlineStr">
        <is>
          <t>LM</t>
        </is>
      </c>
      <c r="N131" s="14" t="inlineStr">
        <is>
          <t>Fake Success</t>
        </is>
      </c>
      <c r="O131" s="14" t="inlineStr"/>
      <c r="P131" s="14" t="inlineStr"/>
      <c r="Q131" s="14" t="inlineStr"/>
      <c r="R131" s="14" t="inlineStr">
        <is>
          <t>Parcel fake success and customer did not receive any contact from driver</t>
        </is>
      </c>
      <c r="S131" s="14" t="inlineStr">
        <is>
          <t>Amir</t>
        </is>
      </c>
      <c r="T131" s="14">
        <f>COUNTIF($B$2:$B$499,B131)</f>
        <v/>
      </c>
      <c r="U131" s="14">
        <f>COUNTIF($I$2:$I$499,I131)</f>
        <v/>
      </c>
      <c r="V131" s="14">
        <f>IF(ISNA(MATCH(B131,'Metabase Lookup'!$A:$A,0)),"Not found",IF(INDEX('Metabase Lookup'!$B:$B,MATCH(B131,'Metabase Lookup'!$A:$A,0))="","Pending",INDEX('Metabase Lookup'!$B:$B,MATCH(B131,'Metabase Lookup'!$A:$A,0))))</f>
        <v/>
      </c>
      <c r="W131" s="14">
        <f>IF(ISNA(MATCH(B131,'Metabase Lookup'!$A:$A,0)),"Not found",IF(INDEX('Metabase Lookup'!$C:$C,MATCH(B131,'Metabase Lookup'!$A:$A,0))="","Pending",INDEX('Metabase Lookup'!$C:$C,MATCH(B131,'Metabase Lookup'!$A:$A,0))))</f>
        <v/>
      </c>
      <c r="X131" s="14">
        <f>IF(ISNA(MATCH(B131,'Metabase Lookup'!$A:$A,0)),"",IF(INDEX('Metabase Lookup'!$D:$D,MATCH(B131,'Metabase Lookup'!$A:$A,0))="","",INDEX('Metabase Lookup'!$D:$D,MATCH(B131,'Metabase Lookup'!$A:$A,0))))</f>
        <v/>
      </c>
      <c r="Y131" s="14">
        <f>IF(ISNUMBER(W131),IF(W131&gt;0,"Yes","No"),"Pending")</f>
        <v/>
      </c>
      <c r="Z131" s="14" t="inlineStr">
        <is>
          <t>Non-standard region label</t>
        </is>
      </c>
    </row>
    <row r="132">
      <c r="A132" s="14" t="n">
        <v>131</v>
      </c>
      <c r="B132" s="14" t="inlineStr">
        <is>
          <t>ZNV211571945-3369</t>
        </is>
      </c>
      <c r="C132" s="15" t="inlineStr">
        <is>
          <t>261232651362</t>
        </is>
      </c>
      <c r="D132" s="16" t="n">
        <v>46287.42173611111</v>
      </c>
      <c r="E132" s="17" t="n">
        <v>46287</v>
      </c>
      <c r="F132" s="14" t="inlineStr">
        <is>
          <t>Tue</t>
        </is>
      </c>
      <c r="G132" s="14" t="inlineStr">
        <is>
          <t>North West</t>
        </is>
      </c>
      <c r="H132" s="14" t="inlineStr">
        <is>
          <t>STW</t>
        </is>
      </c>
      <c r="I132" s="14" t="inlineStr">
        <is>
          <t>OPS - NINJAVAN SITIAWAN</t>
        </is>
      </c>
      <c r="J132" s="14" t="inlineStr">
        <is>
          <t>OPS (generic hub account)</t>
        </is>
      </c>
      <c r="K132" s="14" t="inlineStr">
        <is>
          <t>91852272</t>
        </is>
      </c>
      <c r="L132" s="14" t="n">
        <v>1</v>
      </c>
      <c r="M132" s="14" t="inlineStr">
        <is>
          <t>LM</t>
        </is>
      </c>
      <c r="N132" s="14" t="inlineStr">
        <is>
          <t>Fake Fail</t>
        </is>
      </c>
      <c r="O132" s="14" t="inlineStr">
        <is>
          <t>No call / call log missing</t>
        </is>
      </c>
      <c r="P132" s="14" t="inlineStr">
        <is>
          <t>No</t>
        </is>
      </c>
      <c r="Q132" s="14" t="inlineStr">
        <is>
          <t>No</t>
        </is>
      </c>
      <c r="R132" s="14" t="inlineStr">
        <is>
          <t>no call log provided</t>
        </is>
      </c>
      <c r="S132" s="14" t="inlineStr">
        <is>
          <t>Naveen</t>
        </is>
      </c>
      <c r="T132" s="14">
        <f>COUNTIF($B$2:$B$499,B132)</f>
        <v/>
      </c>
      <c r="U132" s="14">
        <f>COUNTIF($I$2:$I$499,I132)</f>
        <v/>
      </c>
      <c r="V132" s="14">
        <f>IF(ISNA(MATCH(B132,'Metabase Lookup'!$A:$A,0)),"Not found",IF(INDEX('Metabase Lookup'!$B:$B,MATCH(B132,'Metabase Lookup'!$A:$A,0))="","Pending",INDEX('Metabase Lookup'!$B:$B,MATCH(B132,'Metabase Lookup'!$A:$A,0))))</f>
        <v/>
      </c>
      <c r="W132" s="14">
        <f>IF(ISNA(MATCH(B132,'Metabase Lookup'!$A:$A,0)),"Not found",IF(INDEX('Metabase Lookup'!$C:$C,MATCH(B132,'Metabase Lookup'!$A:$A,0))="","Pending",INDEX('Metabase Lookup'!$C:$C,MATCH(B132,'Metabase Lookup'!$A:$A,0))))</f>
        <v/>
      </c>
      <c r="X132" s="14">
        <f>IF(ISNA(MATCH(B132,'Metabase Lookup'!$A:$A,0)),"",IF(INDEX('Metabase Lookup'!$D:$D,MATCH(B132,'Metabase Lookup'!$A:$A,0))="","",INDEX('Metabase Lookup'!$D:$D,MATCH(B132,'Metabase Lookup'!$A:$A,0))))</f>
        <v/>
      </c>
      <c r="Y132" s="14">
        <f>IF(ISNUMBER(W132),IF(W132&gt;0,"Yes","No"),"Pending")</f>
        <v/>
      </c>
      <c r="Z132" s="14" t="inlineStr">
        <is>
          <t>Driver not identified (OPS account)</t>
        </is>
      </c>
    </row>
    <row r="133">
      <c r="A133" s="14" t="n">
        <v>132</v>
      </c>
      <c r="B133" s="14" t="inlineStr">
        <is>
          <t>MAILB1550695095780970496</t>
        </is>
      </c>
      <c r="C133" s="15" t="inlineStr">
        <is>
          <t>269332645978</t>
        </is>
      </c>
      <c r="D133" s="16" t="n">
        <v>46287.42520833333</v>
      </c>
      <c r="E133" s="17" t="n">
        <v>46287</v>
      </c>
      <c r="F133" s="14" t="inlineStr">
        <is>
          <t>Tue</t>
        </is>
      </c>
      <c r="G133" s="14" t="inlineStr">
        <is>
          <t>Southern</t>
        </is>
      </c>
      <c r="H133" s="14" t="inlineStr">
        <is>
          <t>LKN</t>
        </is>
      </c>
      <c r="I133" s="14" t="inlineStr">
        <is>
          <t>LKN - ID - FADZLY</t>
        </is>
      </c>
      <c r="J133" s="14" t="inlineStr">
        <is>
          <t>ID (named driver)</t>
        </is>
      </c>
      <c r="K133" s="14" t="inlineStr">
        <is>
          <t>91859932</t>
        </is>
      </c>
      <c r="L133" s="14" t="n">
        <v>1</v>
      </c>
      <c r="M133" s="14" t="inlineStr">
        <is>
          <t>LM</t>
        </is>
      </c>
      <c r="N133" s="14" t="inlineStr">
        <is>
          <t>Fake Fail</t>
        </is>
      </c>
      <c r="O133" s="14" t="inlineStr">
        <is>
          <t>Call not connected / no response</t>
        </is>
      </c>
      <c r="P133" s="14" t="inlineStr">
        <is>
          <t>Yes</t>
        </is>
      </c>
      <c r="Q133" s="14" t="inlineStr">
        <is>
          <t>No</t>
        </is>
      </c>
      <c r="R133" s="14" t="inlineStr">
        <is>
          <t>Invalid delivery attempt. POD invalid: Call log not connected, location invalid</t>
        </is>
      </c>
      <c r="S133" s="14" t="inlineStr">
        <is>
          <t>Putri</t>
        </is>
      </c>
      <c r="T133" s="14">
        <f>COUNTIF($B$2:$B$499,B133)</f>
        <v/>
      </c>
      <c r="U133" s="14">
        <f>COUNTIF($I$2:$I$499,I133)</f>
        <v/>
      </c>
      <c r="V133" s="14">
        <f>IF(ISNA(MATCH(B133,'Metabase Lookup'!$A:$A,0)),"Not found",IF(INDEX('Metabase Lookup'!$B:$B,MATCH(B133,'Metabase Lookup'!$A:$A,0))="","Pending",INDEX('Metabase Lookup'!$B:$B,MATCH(B133,'Metabase Lookup'!$A:$A,0))))</f>
        <v/>
      </c>
      <c r="W133" s="14">
        <f>IF(ISNA(MATCH(B133,'Metabase Lookup'!$A:$A,0)),"Not found",IF(INDEX('Metabase Lookup'!$C:$C,MATCH(B133,'Metabase Lookup'!$A:$A,0))="","Pending",INDEX('Metabase Lookup'!$C:$C,MATCH(B133,'Metabase Lookup'!$A:$A,0))))</f>
        <v/>
      </c>
      <c r="X133" s="14">
        <f>IF(ISNA(MATCH(B133,'Metabase Lookup'!$A:$A,0)),"",IF(INDEX('Metabase Lookup'!$D:$D,MATCH(B133,'Metabase Lookup'!$A:$A,0))="","",INDEX('Metabase Lookup'!$D:$D,MATCH(B133,'Metabase Lookup'!$A:$A,0))))</f>
        <v/>
      </c>
      <c r="Y133" s="14">
        <f>IF(ISNUMBER(W133),IF(W133&gt;0,"Yes","No"),"Pending")</f>
        <v/>
      </c>
      <c r="Z133" s="14" t="inlineStr"/>
    </row>
    <row r="134">
      <c r="A134" s="14" t="n">
        <v>133</v>
      </c>
      <c r="B134" s="14" t="inlineStr">
        <is>
          <t>FBEAR1549328730363207680</t>
        </is>
      </c>
      <c r="C134" s="15" t="inlineStr">
        <is>
          <t>267662647333</t>
        </is>
      </c>
      <c r="D134" s="16" t="n">
        <v>46287.42663194444</v>
      </c>
      <c r="E134" s="17" t="n">
        <v>46287</v>
      </c>
      <c r="F134" s="14" t="inlineStr">
        <is>
          <t>Tue</t>
        </is>
      </c>
      <c r="G134" s="14" t="inlineStr">
        <is>
          <t>East MY</t>
        </is>
      </c>
      <c r="H134" s="14" t="inlineStr">
        <is>
          <t>PTJ</t>
        </is>
      </c>
      <c r="I134" s="14" t="inlineStr">
        <is>
          <t>PTJ - ID - SITI ZAHARAH</t>
        </is>
      </c>
      <c r="J134" s="14" t="inlineStr">
        <is>
          <t>ID (named driver)</t>
        </is>
      </c>
      <c r="K134" s="14" t="inlineStr">
        <is>
          <t>91844762</t>
        </is>
      </c>
      <c r="L134" s="14" t="n">
        <v>1</v>
      </c>
      <c r="M134" s="14" t="inlineStr">
        <is>
          <t>LM</t>
        </is>
      </c>
      <c r="N134" s="14" t="inlineStr">
        <is>
          <t>Fake Fail</t>
        </is>
      </c>
      <c r="O134" s="14" t="inlineStr">
        <is>
          <t>Call not connected / no response</t>
        </is>
      </c>
      <c r="P134" s="14" t="inlineStr">
        <is>
          <t>Yes</t>
        </is>
      </c>
      <c r="Q134" s="14" t="inlineStr">
        <is>
          <t>No</t>
        </is>
      </c>
      <c r="R134" s="14" t="inlineStr">
        <is>
          <t>Invalid delivery attempt. POD invalid: Call log not connected, location invalid</t>
        </is>
      </c>
      <c r="S134" s="14" t="inlineStr">
        <is>
          <t>Putri</t>
        </is>
      </c>
      <c r="T134" s="14">
        <f>COUNTIF($B$2:$B$499,B134)</f>
        <v/>
      </c>
      <c r="U134" s="14">
        <f>COUNTIF($I$2:$I$499,I134)</f>
        <v/>
      </c>
      <c r="V134" s="14">
        <f>IF(ISNA(MATCH(B134,'Metabase Lookup'!$A:$A,0)),"Not found",IF(INDEX('Metabase Lookup'!$B:$B,MATCH(B134,'Metabase Lookup'!$A:$A,0))="","Pending",INDEX('Metabase Lookup'!$B:$B,MATCH(B134,'Metabase Lookup'!$A:$A,0))))</f>
        <v/>
      </c>
      <c r="W134" s="14">
        <f>IF(ISNA(MATCH(B134,'Metabase Lookup'!$A:$A,0)),"Not found",IF(INDEX('Metabase Lookup'!$C:$C,MATCH(B134,'Metabase Lookup'!$A:$A,0))="","Pending",INDEX('Metabase Lookup'!$C:$C,MATCH(B134,'Metabase Lookup'!$A:$A,0))))</f>
        <v/>
      </c>
      <c r="X134" s="14">
        <f>IF(ISNA(MATCH(B134,'Metabase Lookup'!$A:$A,0)),"",IF(INDEX('Metabase Lookup'!$D:$D,MATCH(B134,'Metabase Lookup'!$A:$A,0))="","",INDEX('Metabase Lookup'!$D:$D,MATCH(B134,'Metabase Lookup'!$A:$A,0))))</f>
        <v/>
      </c>
      <c r="Y134" s="14">
        <f>IF(ISNUMBER(W134),IF(W134&gt;0,"Yes","No"),"Pending")</f>
        <v/>
      </c>
      <c r="Z134" s="14" t="inlineStr"/>
    </row>
    <row r="135">
      <c r="A135" s="14" t="n">
        <v>134</v>
      </c>
      <c r="B135" s="14" t="inlineStr">
        <is>
          <t>TNGE326040018499785030</t>
        </is>
      </c>
      <c r="C135" s="15" t="inlineStr">
        <is>
          <t>267642644376</t>
        </is>
      </c>
      <c r="D135" s="16" t="n">
        <v>46287.429375</v>
      </c>
      <c r="E135" s="17" t="n">
        <v>46287</v>
      </c>
      <c r="F135" s="14" t="inlineStr">
        <is>
          <t>Tue</t>
        </is>
      </c>
      <c r="G135" s="14" t="inlineStr">
        <is>
          <t>KV</t>
        </is>
      </c>
      <c r="H135" s="14" t="inlineStr">
        <is>
          <t>SUN</t>
        </is>
      </c>
      <c r="I135" s="14" t="inlineStr">
        <is>
          <t>SUN - OPS - ADAM</t>
        </is>
      </c>
      <c r="J135" s="14" t="inlineStr">
        <is>
          <t>OPS (generic hub account)</t>
        </is>
      </c>
      <c r="K135" s="14" t="inlineStr">
        <is>
          <t>91853671</t>
        </is>
      </c>
      <c r="L135" s="14" t="n">
        <v>1</v>
      </c>
      <c r="M135" s="14" t="inlineStr">
        <is>
          <t>LM</t>
        </is>
      </c>
      <c r="N135" s="14" t="inlineStr">
        <is>
          <t>Fake Fail</t>
        </is>
      </c>
      <c r="O135" s="14" t="inlineStr">
        <is>
          <t>Call not connected / no response</t>
        </is>
      </c>
      <c r="P135" s="14" t="inlineStr">
        <is>
          <t>Yes</t>
        </is>
      </c>
      <c r="Q135" s="14" t="inlineStr">
        <is>
          <t>No</t>
        </is>
      </c>
      <c r="R135" s="14" t="inlineStr">
        <is>
          <t>Invalid delivery attempt. POD invalid: Call log not connected, location invalid</t>
        </is>
      </c>
      <c r="S135" s="14" t="inlineStr">
        <is>
          <t>Putri</t>
        </is>
      </c>
      <c r="T135" s="14">
        <f>COUNTIF($B$2:$B$499,B135)</f>
        <v/>
      </c>
      <c r="U135" s="14">
        <f>COUNTIF($I$2:$I$499,I135)</f>
        <v/>
      </c>
      <c r="V135" s="14">
        <f>IF(ISNA(MATCH(B135,'Metabase Lookup'!$A:$A,0)),"Not found",IF(INDEX('Metabase Lookup'!$B:$B,MATCH(B135,'Metabase Lookup'!$A:$A,0))="","Pending",INDEX('Metabase Lookup'!$B:$B,MATCH(B135,'Metabase Lookup'!$A:$A,0))))</f>
        <v/>
      </c>
      <c r="W135" s="14">
        <f>IF(ISNA(MATCH(B135,'Metabase Lookup'!$A:$A,0)),"Not found",IF(INDEX('Metabase Lookup'!$C:$C,MATCH(B135,'Metabase Lookup'!$A:$A,0))="","Pending",INDEX('Metabase Lookup'!$C:$C,MATCH(B135,'Metabase Lookup'!$A:$A,0))))</f>
        <v/>
      </c>
      <c r="X135" s="14">
        <f>IF(ISNA(MATCH(B135,'Metabase Lookup'!$A:$A,0)),"",IF(INDEX('Metabase Lookup'!$D:$D,MATCH(B135,'Metabase Lookup'!$A:$A,0))="","",INDEX('Metabase Lookup'!$D:$D,MATCH(B135,'Metabase Lookup'!$A:$A,0))))</f>
        <v/>
      </c>
      <c r="Y135" s="14">
        <f>IF(ISNUMBER(W135),IF(W135&gt;0,"Yes","No"),"Pending")</f>
        <v/>
      </c>
      <c r="Z135" s="14" t="inlineStr">
        <is>
          <t>Driver not identified (OPS account)</t>
        </is>
      </c>
    </row>
    <row r="136">
      <c r="A136" s="14" t="n">
        <v>135</v>
      </c>
      <c r="B136" s="14" t="inlineStr">
        <is>
          <t>CCORB1550039098201280512</t>
        </is>
      </c>
      <c r="C136" s="15" t="inlineStr">
        <is>
          <t>262102647928</t>
        </is>
      </c>
      <c r="D136" s="16" t="n">
        <v>46287.43092592592</v>
      </c>
      <c r="E136" s="17" t="n">
        <v>46287</v>
      </c>
      <c r="F136" s="14" t="inlineStr">
        <is>
          <t>Tue</t>
        </is>
      </c>
      <c r="G136" s="14" t="inlineStr">
        <is>
          <t>KV</t>
        </is>
      </c>
      <c r="H136" s="14" t="inlineStr">
        <is>
          <t>PJY</t>
        </is>
      </c>
      <c r="I136" s="14" t="inlineStr">
        <is>
          <t>OPS - PJY</t>
        </is>
      </c>
      <c r="J136" s="14" t="inlineStr">
        <is>
          <t>OPS (generic hub account)</t>
        </is>
      </c>
      <c r="K136" s="14" t="inlineStr">
        <is>
          <t>91844729</t>
        </is>
      </c>
      <c r="L136" s="14" t="n">
        <v>1</v>
      </c>
      <c r="M136" s="14" t="inlineStr">
        <is>
          <t>LM</t>
        </is>
      </c>
      <c r="N136" s="14" t="inlineStr">
        <is>
          <t>Fake Fail</t>
        </is>
      </c>
      <c r="O136" s="14" t="inlineStr">
        <is>
          <t>Call not connected / no response</t>
        </is>
      </c>
      <c r="P136" s="14" t="inlineStr">
        <is>
          <t>Yes</t>
        </is>
      </c>
      <c r="Q136" s="14" t="inlineStr">
        <is>
          <t>No</t>
        </is>
      </c>
      <c r="R136" s="14" t="inlineStr">
        <is>
          <t>Invalid delivery attempt. POD invalid: Call log not connected, location invalid</t>
        </is>
      </c>
      <c r="S136" s="14" t="inlineStr">
        <is>
          <t>Putri</t>
        </is>
      </c>
      <c r="T136" s="14">
        <f>COUNTIF($B$2:$B$499,B136)</f>
        <v/>
      </c>
      <c r="U136" s="14">
        <f>COUNTIF($I$2:$I$499,I136)</f>
        <v/>
      </c>
      <c r="V136" s="14">
        <f>IF(ISNA(MATCH(B136,'Metabase Lookup'!$A:$A,0)),"Not found",IF(INDEX('Metabase Lookup'!$B:$B,MATCH(B136,'Metabase Lookup'!$A:$A,0))="","Pending",INDEX('Metabase Lookup'!$B:$B,MATCH(B136,'Metabase Lookup'!$A:$A,0))))</f>
        <v/>
      </c>
      <c r="W136" s="14">
        <f>IF(ISNA(MATCH(B136,'Metabase Lookup'!$A:$A,0)),"Not found",IF(INDEX('Metabase Lookup'!$C:$C,MATCH(B136,'Metabase Lookup'!$A:$A,0))="","Pending",INDEX('Metabase Lookup'!$C:$C,MATCH(B136,'Metabase Lookup'!$A:$A,0))))</f>
        <v/>
      </c>
      <c r="X136" s="14">
        <f>IF(ISNA(MATCH(B136,'Metabase Lookup'!$A:$A,0)),"",IF(INDEX('Metabase Lookup'!$D:$D,MATCH(B136,'Metabase Lookup'!$A:$A,0))="","",INDEX('Metabase Lookup'!$D:$D,MATCH(B136,'Metabase Lookup'!$A:$A,0))))</f>
        <v/>
      </c>
      <c r="Y136" s="14">
        <f>IF(ISNUMBER(W136),IF(W136&gt;0,"Yes","No"),"Pending")</f>
        <v/>
      </c>
      <c r="Z136" s="14" t="inlineStr">
        <is>
          <t>Driver not identified (OPS account)</t>
        </is>
      </c>
    </row>
    <row r="137">
      <c r="A137" s="14" t="n">
        <v>136</v>
      </c>
      <c r="B137" s="14" t="inlineStr">
        <is>
          <t>NVMYTEPIS000003837</t>
        </is>
      </c>
      <c r="C137" s="15" t="inlineStr">
        <is>
          <t>267362647492</t>
        </is>
      </c>
      <c r="D137" s="16" t="n">
        <v>46287.43221064815</v>
      </c>
      <c r="E137" s="17" t="n">
        <v>46287</v>
      </c>
      <c r="F137" s="14" t="inlineStr">
        <is>
          <t>Tue</t>
        </is>
      </c>
      <c r="G137" s="14" t="inlineStr">
        <is>
          <t>Southern</t>
        </is>
      </c>
      <c r="H137" s="14" t="inlineStr">
        <is>
          <t>HTM</t>
        </is>
      </c>
      <c r="I137" s="14" t="inlineStr">
        <is>
          <t>HTM - ID - OPS</t>
        </is>
      </c>
      <c r="J137" s="14" t="inlineStr">
        <is>
          <t>OPS (generic hub account)</t>
        </is>
      </c>
      <c r="K137" s="14" t="inlineStr">
        <is>
          <t>91856200</t>
        </is>
      </c>
      <c r="L137" s="14" t="n">
        <v>1</v>
      </c>
      <c r="M137" s="14" t="inlineStr">
        <is>
          <t>LM</t>
        </is>
      </c>
      <c r="N137" s="14" t="inlineStr">
        <is>
          <t>Fake Fail</t>
        </is>
      </c>
      <c r="O137" s="14" t="inlineStr">
        <is>
          <t>Wrong number called</t>
        </is>
      </c>
      <c r="P137" s="14" t="inlineStr">
        <is>
          <t>No</t>
        </is>
      </c>
      <c r="Q137" s="14" t="inlineStr">
        <is>
          <t>No</t>
        </is>
      </c>
      <c r="R137" s="14" t="inlineStr">
        <is>
          <t>Invalid delivery attempt. POD invalid: Call log not customer's number</t>
        </is>
      </c>
      <c r="S137" s="14" t="inlineStr">
        <is>
          <t>Putri</t>
        </is>
      </c>
      <c r="T137" s="14">
        <f>COUNTIF($B$2:$B$499,B137)</f>
        <v/>
      </c>
      <c r="U137" s="14">
        <f>COUNTIF($I$2:$I$499,I137)</f>
        <v/>
      </c>
      <c r="V137" s="14">
        <f>IF(ISNA(MATCH(B137,'Metabase Lookup'!$A:$A,0)),"Not found",IF(INDEX('Metabase Lookup'!$B:$B,MATCH(B137,'Metabase Lookup'!$A:$A,0))="","Pending",INDEX('Metabase Lookup'!$B:$B,MATCH(B137,'Metabase Lookup'!$A:$A,0))))</f>
        <v/>
      </c>
      <c r="W137" s="14">
        <f>IF(ISNA(MATCH(B137,'Metabase Lookup'!$A:$A,0)),"Not found",IF(INDEX('Metabase Lookup'!$C:$C,MATCH(B137,'Metabase Lookup'!$A:$A,0))="","Pending",INDEX('Metabase Lookup'!$C:$C,MATCH(B137,'Metabase Lookup'!$A:$A,0))))</f>
        <v/>
      </c>
      <c r="X137" s="14">
        <f>IF(ISNA(MATCH(B137,'Metabase Lookup'!$A:$A,0)),"",IF(INDEX('Metabase Lookup'!$D:$D,MATCH(B137,'Metabase Lookup'!$A:$A,0))="","",INDEX('Metabase Lookup'!$D:$D,MATCH(B137,'Metabase Lookup'!$A:$A,0))))</f>
        <v/>
      </c>
      <c r="Y137" s="14">
        <f>IF(ISNUMBER(W137),IF(W137&gt;0,"Yes","No"),"Pending")</f>
        <v/>
      </c>
      <c r="Z137" s="14" t="inlineStr">
        <is>
          <t>Driver not identified (OPS account)</t>
        </is>
      </c>
    </row>
    <row r="138">
      <c r="A138" s="14" t="n">
        <v>137</v>
      </c>
      <c r="B138" s="14" t="inlineStr">
        <is>
          <t>NLMYWA04659139</t>
        </is>
      </c>
      <c r="C138" s="15" t="inlineStr">
        <is>
          <t>261222648501</t>
        </is>
      </c>
      <c r="D138" s="16" t="n">
        <v>46287.43527777777</v>
      </c>
      <c r="E138" s="17" t="n">
        <v>46287</v>
      </c>
      <c r="F138" s="14" t="inlineStr">
        <is>
          <t>Tue</t>
        </is>
      </c>
      <c r="G138" s="14" t="inlineStr">
        <is>
          <t>East MY</t>
        </is>
      </c>
      <c r="H138" s="14" t="inlineStr">
        <is>
          <t>SBW</t>
        </is>
      </c>
      <c r="I138" s="14" t="inlineStr">
        <is>
          <t>SBW - ID - TAY SUK KUI</t>
        </is>
      </c>
      <c r="J138" s="14" t="inlineStr">
        <is>
          <t>ID (named driver)</t>
        </is>
      </c>
      <c r="K138" s="14" t="inlineStr">
        <is>
          <t>91848210</t>
        </is>
      </c>
      <c r="L138" s="14" t="n">
        <v>1</v>
      </c>
      <c r="M138" s="14" t="inlineStr">
        <is>
          <t>LM</t>
        </is>
      </c>
      <c r="N138" s="14" t="inlineStr">
        <is>
          <t>Deliver to Wrong Address</t>
        </is>
      </c>
      <c r="O138" s="14" t="inlineStr"/>
      <c r="P138" s="14" t="inlineStr"/>
      <c r="Q138" s="14" t="inlineStr"/>
      <c r="R138" s="14" t="inlineStr">
        <is>
          <t>Parcel deliver to wrong address and customer not receive the parcel</t>
        </is>
      </c>
      <c r="S138" s="14" t="inlineStr">
        <is>
          <t>Amir</t>
        </is>
      </c>
      <c r="T138" s="14">
        <f>COUNTIF($B$2:$B$499,B138)</f>
        <v/>
      </c>
      <c r="U138" s="14">
        <f>COUNTIF($I$2:$I$499,I138)</f>
        <v/>
      </c>
      <c r="V138" s="14">
        <f>IF(ISNA(MATCH(B138,'Metabase Lookup'!$A:$A,0)),"Not found",IF(INDEX('Metabase Lookup'!$B:$B,MATCH(B138,'Metabase Lookup'!$A:$A,0))="","Pending",INDEX('Metabase Lookup'!$B:$B,MATCH(B138,'Metabase Lookup'!$A:$A,0))))</f>
        <v/>
      </c>
      <c r="W138" s="14">
        <f>IF(ISNA(MATCH(B138,'Metabase Lookup'!$A:$A,0)),"Not found",IF(INDEX('Metabase Lookup'!$C:$C,MATCH(B138,'Metabase Lookup'!$A:$A,0))="","Pending",INDEX('Metabase Lookup'!$C:$C,MATCH(B138,'Metabase Lookup'!$A:$A,0))))</f>
        <v/>
      </c>
      <c r="X138" s="14">
        <f>IF(ISNA(MATCH(B138,'Metabase Lookup'!$A:$A,0)),"",IF(INDEX('Metabase Lookup'!$D:$D,MATCH(B138,'Metabase Lookup'!$A:$A,0))="","",INDEX('Metabase Lookup'!$D:$D,MATCH(B138,'Metabase Lookup'!$A:$A,0))))</f>
        <v/>
      </c>
      <c r="Y138" s="14">
        <f>IF(ISNUMBER(W138),IF(W138&gt;0,"Yes","No"),"Pending")</f>
        <v/>
      </c>
      <c r="Z138" s="14" t="inlineStr"/>
    </row>
    <row r="139">
      <c r="A139" s="14" t="n">
        <v>138</v>
      </c>
      <c r="B139" s="14" t="inlineStr">
        <is>
          <t>ESHP003312621</t>
        </is>
      </c>
      <c r="C139" s="15" t="inlineStr">
        <is>
          <t>265902654127</t>
        </is>
      </c>
      <c r="D139" s="16" t="n">
        <v>46287.43625</v>
      </c>
      <c r="E139" s="17" t="n">
        <v>46287</v>
      </c>
      <c r="F139" s="14" t="inlineStr">
        <is>
          <t>Tue</t>
        </is>
      </c>
      <c r="G139" s="14" t="inlineStr">
        <is>
          <t>KV</t>
        </is>
      </c>
      <c r="H139" s="14" t="inlineStr">
        <is>
          <t>BTR</t>
        </is>
      </c>
      <c r="I139" s="14" t="inlineStr">
        <is>
          <t>OPS - BTR</t>
        </is>
      </c>
      <c r="J139" s="14" t="inlineStr">
        <is>
          <t>OPS (generic hub account)</t>
        </is>
      </c>
      <c r="K139" s="14" t="inlineStr">
        <is>
          <t>91856223</t>
        </is>
      </c>
      <c r="L139" s="14" t="n">
        <v>1</v>
      </c>
      <c r="M139" s="14" t="inlineStr">
        <is>
          <t>LM</t>
        </is>
      </c>
      <c r="N139" s="14" t="inlineStr">
        <is>
          <t>Fake Fail</t>
        </is>
      </c>
      <c r="O139" s="14" t="inlineStr">
        <is>
          <t>Wrong number called</t>
        </is>
      </c>
      <c r="P139" s="14" t="inlineStr">
        <is>
          <t>No</t>
        </is>
      </c>
      <c r="Q139" s="14" t="inlineStr">
        <is>
          <t>No</t>
        </is>
      </c>
      <c r="R139" s="14" t="inlineStr">
        <is>
          <t>Invalid delivery attempt. POD invalid: Whatsapp not customer's number</t>
        </is>
      </c>
      <c r="S139" s="14" t="inlineStr">
        <is>
          <t>Putri</t>
        </is>
      </c>
      <c r="T139" s="14">
        <f>COUNTIF($B$2:$B$499,B139)</f>
        <v/>
      </c>
      <c r="U139" s="14">
        <f>COUNTIF($I$2:$I$499,I139)</f>
        <v/>
      </c>
      <c r="V139" s="14">
        <f>IF(ISNA(MATCH(B139,'Metabase Lookup'!$A:$A,0)),"Not found",IF(INDEX('Metabase Lookup'!$B:$B,MATCH(B139,'Metabase Lookup'!$A:$A,0))="","Pending",INDEX('Metabase Lookup'!$B:$B,MATCH(B139,'Metabase Lookup'!$A:$A,0))))</f>
        <v/>
      </c>
      <c r="W139" s="14">
        <f>IF(ISNA(MATCH(B139,'Metabase Lookup'!$A:$A,0)),"Not found",IF(INDEX('Metabase Lookup'!$C:$C,MATCH(B139,'Metabase Lookup'!$A:$A,0))="","Pending",INDEX('Metabase Lookup'!$C:$C,MATCH(B139,'Metabase Lookup'!$A:$A,0))))</f>
        <v/>
      </c>
      <c r="X139" s="14">
        <f>IF(ISNA(MATCH(B139,'Metabase Lookup'!$A:$A,0)),"",IF(INDEX('Metabase Lookup'!$D:$D,MATCH(B139,'Metabase Lookup'!$A:$A,0))="","",INDEX('Metabase Lookup'!$D:$D,MATCH(B139,'Metabase Lookup'!$A:$A,0))))</f>
        <v/>
      </c>
      <c r="Y139" s="14">
        <f>IF(ISNUMBER(W139),IF(W139&gt;0,"Yes","No"),"Pending")</f>
        <v/>
      </c>
      <c r="Z139" s="14" t="inlineStr">
        <is>
          <t>Driver not identified (OPS account)</t>
        </is>
      </c>
    </row>
    <row r="140">
      <c r="A140" s="14" t="n">
        <v>139</v>
      </c>
      <c r="B140" s="14" t="inlineStr">
        <is>
          <t>NVMY9MTNY000005885</t>
        </is>
      </c>
      <c r="C140" s="15" t="inlineStr">
        <is>
          <t>261012643928</t>
        </is>
      </c>
      <c r="D140" s="16" t="n">
        <v>46287.43987268519</v>
      </c>
      <c r="E140" s="17" t="n">
        <v>46287</v>
      </c>
      <c r="F140" s="14" t="inlineStr">
        <is>
          <t>Tue</t>
        </is>
      </c>
      <c r="G140" s="14" t="inlineStr">
        <is>
          <t>Northern</t>
        </is>
      </c>
      <c r="H140" s="14" t="inlineStr">
        <is>
          <t>BWH</t>
        </is>
      </c>
      <c r="I140" s="14" t="inlineStr">
        <is>
          <t>BWH - ID - NASRI NOORDIN</t>
        </is>
      </c>
      <c r="J140" s="14" t="inlineStr">
        <is>
          <t>ID (named driver)</t>
        </is>
      </c>
      <c r="K140" s="14" t="inlineStr">
        <is>
          <t>91841239</t>
        </is>
      </c>
      <c r="L140" s="14" t="n">
        <v>1</v>
      </c>
      <c r="M140" s="14" t="inlineStr">
        <is>
          <t>LM</t>
        </is>
      </c>
      <c r="N140" s="14" t="inlineStr">
        <is>
          <t>Fake Success</t>
        </is>
      </c>
      <c r="O140" s="14" t="inlineStr"/>
      <c r="P140" s="14" t="inlineStr"/>
      <c r="Q140" s="14" t="inlineStr"/>
      <c r="R140" s="14" t="inlineStr">
        <is>
          <t>Customer not receive the parcel and POD invalid</t>
        </is>
      </c>
      <c r="S140" s="14" t="inlineStr">
        <is>
          <t>Amir</t>
        </is>
      </c>
      <c r="T140" s="14">
        <f>COUNTIF($B$2:$B$499,B140)</f>
        <v/>
      </c>
      <c r="U140" s="14">
        <f>COUNTIF($I$2:$I$499,I140)</f>
        <v/>
      </c>
      <c r="V140" s="14">
        <f>IF(ISNA(MATCH(B140,'Metabase Lookup'!$A:$A,0)),"Not found",IF(INDEX('Metabase Lookup'!$B:$B,MATCH(B140,'Metabase Lookup'!$A:$A,0))="","Pending",INDEX('Metabase Lookup'!$B:$B,MATCH(B140,'Metabase Lookup'!$A:$A,0))))</f>
        <v/>
      </c>
      <c r="W140" s="14">
        <f>IF(ISNA(MATCH(B140,'Metabase Lookup'!$A:$A,0)),"Not found",IF(INDEX('Metabase Lookup'!$C:$C,MATCH(B140,'Metabase Lookup'!$A:$A,0))="","Pending",INDEX('Metabase Lookup'!$C:$C,MATCH(B140,'Metabase Lookup'!$A:$A,0))))</f>
        <v/>
      </c>
      <c r="X140" s="14">
        <f>IF(ISNA(MATCH(B140,'Metabase Lookup'!$A:$A,0)),"",IF(INDEX('Metabase Lookup'!$D:$D,MATCH(B140,'Metabase Lookup'!$A:$A,0))="","",INDEX('Metabase Lookup'!$D:$D,MATCH(B140,'Metabase Lookup'!$A:$A,0))))</f>
        <v/>
      </c>
      <c r="Y140" s="14">
        <f>IF(ISNUMBER(W140),IF(W140&gt;0,"Yes","No"),"Pending")</f>
        <v/>
      </c>
      <c r="Z140" s="14" t="inlineStr"/>
    </row>
    <row r="141">
      <c r="A141" s="14" t="n">
        <v>140</v>
      </c>
      <c r="B141" s="14" t="inlineStr">
        <is>
          <t>THIDR17920266</t>
        </is>
      </c>
      <c r="C141" s="15" t="inlineStr">
        <is>
          <t>261202642680</t>
        </is>
      </c>
      <c r="D141" s="16" t="n">
        <v>46287.44267361111</v>
      </c>
      <c r="E141" s="17" t="n">
        <v>46287</v>
      </c>
      <c r="F141" s="14" t="inlineStr">
        <is>
          <t>Tue</t>
        </is>
      </c>
      <c r="G141" s="14" t="inlineStr">
        <is>
          <t>Southern</t>
        </is>
      </c>
      <c r="H141" s="14" t="inlineStr">
        <is>
          <t>KEM</t>
        </is>
      </c>
      <c r="I141" s="14" t="inlineStr">
        <is>
          <t>OPS - KEM</t>
        </is>
      </c>
      <c r="J141" s="14" t="inlineStr">
        <is>
          <t>OPS (generic hub account)</t>
        </is>
      </c>
      <c r="K141" s="14" t="inlineStr">
        <is>
          <t>91856410</t>
        </is>
      </c>
      <c r="L141" s="14" t="n">
        <v>1</v>
      </c>
      <c r="M141" s="14" t="inlineStr">
        <is>
          <t>LM</t>
        </is>
      </c>
      <c r="N141" s="14" t="inlineStr">
        <is>
          <t>Fake Fail</t>
        </is>
      </c>
      <c r="O141" s="14" t="inlineStr">
        <is>
          <t>Call not connected / no response</t>
        </is>
      </c>
      <c r="P141" s="14" t="inlineStr">
        <is>
          <t>No</t>
        </is>
      </c>
      <c r="Q141" s="14" t="inlineStr">
        <is>
          <t>Yes</t>
        </is>
      </c>
      <c r="R141" s="14" t="inlineStr">
        <is>
          <t>OPs did not attach valid call log instead only blocked wss</t>
        </is>
      </c>
      <c r="S141" s="14" t="inlineStr">
        <is>
          <t>Syak</t>
        </is>
      </c>
      <c r="T141" s="14">
        <f>COUNTIF($B$2:$B$499,B141)</f>
        <v/>
      </c>
      <c r="U141" s="14">
        <f>COUNTIF($I$2:$I$499,I141)</f>
        <v/>
      </c>
      <c r="V141" s="14">
        <f>IF(ISNA(MATCH(B141,'Metabase Lookup'!$A:$A,0)),"Not found",IF(INDEX('Metabase Lookup'!$B:$B,MATCH(B141,'Metabase Lookup'!$A:$A,0))="","Pending",INDEX('Metabase Lookup'!$B:$B,MATCH(B141,'Metabase Lookup'!$A:$A,0))))</f>
        <v/>
      </c>
      <c r="W141" s="14">
        <f>IF(ISNA(MATCH(B141,'Metabase Lookup'!$A:$A,0)),"Not found",IF(INDEX('Metabase Lookup'!$C:$C,MATCH(B141,'Metabase Lookup'!$A:$A,0))="","Pending",INDEX('Metabase Lookup'!$C:$C,MATCH(B141,'Metabase Lookup'!$A:$A,0))))</f>
        <v/>
      </c>
      <c r="X141" s="14">
        <f>IF(ISNA(MATCH(B141,'Metabase Lookup'!$A:$A,0)),"",IF(INDEX('Metabase Lookup'!$D:$D,MATCH(B141,'Metabase Lookup'!$A:$A,0))="","",INDEX('Metabase Lookup'!$D:$D,MATCH(B141,'Metabase Lookup'!$A:$A,0))))</f>
        <v/>
      </c>
      <c r="Y141" s="14">
        <f>IF(ISNUMBER(W141),IF(W141&gt;0,"Yes","No"),"Pending")</f>
        <v/>
      </c>
      <c r="Z141" s="14" t="inlineStr">
        <is>
          <t>Driver not identified (OPS account)</t>
        </is>
      </c>
    </row>
    <row r="142">
      <c r="A142" s="14" t="n">
        <v>141</v>
      </c>
      <c r="B142" s="14" t="inlineStr">
        <is>
          <t>NVMYNINJA002513766</t>
        </is>
      </c>
      <c r="C142" s="15" t="inlineStr">
        <is>
          <t>269382651462</t>
        </is>
      </c>
      <c r="D142" s="16" t="n">
        <v>46287.44436342592</v>
      </c>
      <c r="E142" s="17" t="n">
        <v>46287</v>
      </c>
      <c r="F142" s="14" t="inlineStr">
        <is>
          <t>Tue</t>
        </is>
      </c>
      <c r="G142" s="14" t="inlineStr">
        <is>
          <t>Southern</t>
        </is>
      </c>
      <c r="H142" s="14" t="inlineStr">
        <is>
          <t>MUA</t>
        </is>
      </c>
      <c r="I142" s="14" t="inlineStr">
        <is>
          <t>MUA - OPS</t>
        </is>
      </c>
      <c r="J142" s="14" t="inlineStr">
        <is>
          <t>OPS (generic hub account)</t>
        </is>
      </c>
      <c r="K142" s="14" t="inlineStr">
        <is>
          <t>91859625</t>
        </is>
      </c>
      <c r="L142" s="14" t="n">
        <v>1</v>
      </c>
      <c r="M142" s="14" t="inlineStr">
        <is>
          <t>LM</t>
        </is>
      </c>
      <c r="N142" s="14" t="inlineStr">
        <is>
          <t>Fake Fail</t>
        </is>
      </c>
      <c r="O142" s="14" t="inlineStr">
        <is>
          <t>Invalid location / site photo</t>
        </is>
      </c>
      <c r="P142" s="14" t="inlineStr">
        <is>
          <t>Yes</t>
        </is>
      </c>
      <c r="Q142" s="14" t="inlineStr">
        <is>
          <t>No</t>
        </is>
      </c>
      <c r="R142" s="14" t="inlineStr">
        <is>
          <t>driver attach wrong location the picture is not customer address</t>
        </is>
      </c>
      <c r="S142" s="14" t="inlineStr">
        <is>
          <t>Zati</t>
        </is>
      </c>
      <c r="T142" s="14">
        <f>COUNTIF($B$2:$B$499,B142)</f>
        <v/>
      </c>
      <c r="U142" s="14">
        <f>COUNTIF($I$2:$I$499,I142)</f>
        <v/>
      </c>
      <c r="V142" s="14">
        <f>IF(ISNA(MATCH(B142,'Metabase Lookup'!$A:$A,0)),"Not found",IF(INDEX('Metabase Lookup'!$B:$B,MATCH(B142,'Metabase Lookup'!$A:$A,0))="","Pending",INDEX('Metabase Lookup'!$B:$B,MATCH(B142,'Metabase Lookup'!$A:$A,0))))</f>
        <v/>
      </c>
      <c r="W142" s="14">
        <f>IF(ISNA(MATCH(B142,'Metabase Lookup'!$A:$A,0)),"Not found",IF(INDEX('Metabase Lookup'!$C:$C,MATCH(B142,'Metabase Lookup'!$A:$A,0))="","Pending",INDEX('Metabase Lookup'!$C:$C,MATCH(B142,'Metabase Lookup'!$A:$A,0))))</f>
        <v/>
      </c>
      <c r="X142" s="14">
        <f>IF(ISNA(MATCH(B142,'Metabase Lookup'!$A:$A,0)),"",IF(INDEX('Metabase Lookup'!$D:$D,MATCH(B142,'Metabase Lookup'!$A:$A,0))="","",INDEX('Metabase Lookup'!$D:$D,MATCH(B142,'Metabase Lookup'!$A:$A,0))))</f>
        <v/>
      </c>
      <c r="Y142" s="14">
        <f>IF(ISNUMBER(W142),IF(W142&gt;0,"Yes","No"),"Pending")</f>
        <v/>
      </c>
      <c r="Z142" s="14" t="inlineStr">
        <is>
          <t>Driver not identified (OPS account)</t>
        </is>
      </c>
    </row>
    <row r="143">
      <c r="A143" s="14" t="n">
        <v>142</v>
      </c>
      <c r="B143" s="14" t="inlineStr">
        <is>
          <t>NVMYMYWRI000002165</t>
        </is>
      </c>
      <c r="C143" s="15" t="inlineStr">
        <is>
          <t>262772652117</t>
        </is>
      </c>
      <c r="D143" s="16" t="n">
        <v>46287.448125</v>
      </c>
      <c r="E143" s="17" t="n">
        <v>46287</v>
      </c>
      <c r="F143" s="14" t="inlineStr">
        <is>
          <t>Tue</t>
        </is>
      </c>
      <c r="G143" s="14" t="inlineStr">
        <is>
          <t>Southern</t>
        </is>
      </c>
      <c r="H143" s="14" t="inlineStr">
        <is>
          <t>NSJ</t>
        </is>
      </c>
      <c r="I143" s="14" t="inlineStr">
        <is>
          <t>OPS - NSJ</t>
        </is>
      </c>
      <c r="J143" s="14" t="inlineStr">
        <is>
          <t>OPS (generic hub account)</t>
        </is>
      </c>
      <c r="K143" s="14" t="inlineStr">
        <is>
          <t>91844859</t>
        </is>
      </c>
      <c r="L143" s="14" t="n">
        <v>1</v>
      </c>
      <c r="M143" s="14" t="inlineStr">
        <is>
          <t>LM</t>
        </is>
      </c>
      <c r="N143" s="14" t="inlineStr">
        <is>
          <t>Fake Fail</t>
        </is>
      </c>
      <c r="O143" s="14" t="inlineStr">
        <is>
          <t>No call / call log missing</t>
        </is>
      </c>
      <c r="P143" s="14" t="inlineStr">
        <is>
          <t>No</t>
        </is>
      </c>
      <c r="Q143" s="14" t="inlineStr">
        <is>
          <t>No</t>
        </is>
      </c>
      <c r="R143" s="14" t="inlineStr">
        <is>
          <t>driver attach invalid pod no call log attach</t>
        </is>
      </c>
      <c r="S143" s="14" t="inlineStr">
        <is>
          <t>Zati</t>
        </is>
      </c>
      <c r="T143" s="14">
        <f>COUNTIF($B$2:$B$499,B143)</f>
        <v/>
      </c>
      <c r="U143" s="14">
        <f>COUNTIF($I$2:$I$499,I143)</f>
        <v/>
      </c>
      <c r="V143" s="14">
        <f>IF(ISNA(MATCH(B143,'Metabase Lookup'!$A:$A,0)),"Not found",IF(INDEX('Metabase Lookup'!$B:$B,MATCH(B143,'Metabase Lookup'!$A:$A,0))="","Pending",INDEX('Metabase Lookup'!$B:$B,MATCH(B143,'Metabase Lookup'!$A:$A,0))))</f>
        <v/>
      </c>
      <c r="W143" s="14">
        <f>IF(ISNA(MATCH(B143,'Metabase Lookup'!$A:$A,0)),"Not found",IF(INDEX('Metabase Lookup'!$C:$C,MATCH(B143,'Metabase Lookup'!$A:$A,0))="","Pending",INDEX('Metabase Lookup'!$C:$C,MATCH(B143,'Metabase Lookup'!$A:$A,0))))</f>
        <v/>
      </c>
      <c r="X143" s="14">
        <f>IF(ISNA(MATCH(B143,'Metabase Lookup'!$A:$A,0)),"",IF(INDEX('Metabase Lookup'!$D:$D,MATCH(B143,'Metabase Lookup'!$A:$A,0))="","",INDEX('Metabase Lookup'!$D:$D,MATCH(B143,'Metabase Lookup'!$A:$A,0))))</f>
        <v/>
      </c>
      <c r="Y143" s="14">
        <f>IF(ISNUMBER(W143),IF(W143&gt;0,"Yes","No"),"Pending")</f>
        <v/>
      </c>
      <c r="Z143" s="14" t="inlineStr">
        <is>
          <t>TID had stray spaces/line breaks (cleaned); Driver not identified (OPS account)</t>
        </is>
      </c>
    </row>
    <row r="144">
      <c r="A144" s="14" t="n">
        <v>143</v>
      </c>
      <c r="B144" s="14" t="inlineStr">
        <is>
          <t>MUJIM0000089331003</t>
        </is>
      </c>
      <c r="C144" s="15" t="inlineStr">
        <is>
          <t>265262650384</t>
        </is>
      </c>
      <c r="D144" s="16" t="n">
        <v>46287.47675925926</v>
      </c>
      <c r="E144" s="17" t="n">
        <v>46287</v>
      </c>
      <c r="F144" s="14" t="inlineStr">
        <is>
          <t>Tue</t>
        </is>
      </c>
      <c r="G144" s="14" t="inlineStr">
        <is>
          <t>KV</t>
        </is>
      </c>
      <c r="H144" s="14" t="inlineStr">
        <is>
          <t>DSA</t>
        </is>
      </c>
      <c r="I144" s="14" t="inlineStr">
        <is>
          <t>OPS - DSA</t>
        </is>
      </c>
      <c r="J144" s="14" t="inlineStr">
        <is>
          <t>OPS (generic hub account)</t>
        </is>
      </c>
      <c r="K144" s="14" t="inlineStr">
        <is>
          <t>91844986</t>
        </is>
      </c>
      <c r="L144" s="14" t="n">
        <v>1</v>
      </c>
      <c r="M144" s="14" t="inlineStr">
        <is>
          <t>LM</t>
        </is>
      </c>
      <c r="N144" s="14" t="inlineStr">
        <is>
          <t>Fake Fail</t>
        </is>
      </c>
      <c r="O144" s="14" t="inlineStr">
        <is>
          <t>No call / call log missing</t>
        </is>
      </c>
      <c r="P144" s="14" t="inlineStr">
        <is>
          <t>Yes</t>
        </is>
      </c>
      <c r="Q144" s="14" t="inlineStr">
        <is>
          <t>No</t>
        </is>
      </c>
      <c r="R144" s="14" t="inlineStr">
        <is>
          <t>Invalid delivery attempt. POD invalid: No call log/location invalid</t>
        </is>
      </c>
      <c r="S144" s="14" t="inlineStr">
        <is>
          <t>Putri</t>
        </is>
      </c>
      <c r="T144" s="14">
        <f>COUNTIF($B$2:$B$499,B144)</f>
        <v/>
      </c>
      <c r="U144" s="14">
        <f>COUNTIF($I$2:$I$499,I144)</f>
        <v/>
      </c>
      <c r="V144" s="14">
        <f>IF(ISNA(MATCH(B144,'Metabase Lookup'!$A:$A,0)),"Not found",IF(INDEX('Metabase Lookup'!$B:$B,MATCH(B144,'Metabase Lookup'!$A:$A,0))="","Pending",INDEX('Metabase Lookup'!$B:$B,MATCH(B144,'Metabase Lookup'!$A:$A,0))))</f>
        <v/>
      </c>
      <c r="W144" s="14">
        <f>IF(ISNA(MATCH(B144,'Metabase Lookup'!$A:$A,0)),"Not found",IF(INDEX('Metabase Lookup'!$C:$C,MATCH(B144,'Metabase Lookup'!$A:$A,0))="","Pending",INDEX('Metabase Lookup'!$C:$C,MATCH(B144,'Metabase Lookup'!$A:$A,0))))</f>
        <v/>
      </c>
      <c r="X144" s="14">
        <f>IF(ISNA(MATCH(B144,'Metabase Lookup'!$A:$A,0)),"",IF(INDEX('Metabase Lookup'!$D:$D,MATCH(B144,'Metabase Lookup'!$A:$A,0))="","",INDEX('Metabase Lookup'!$D:$D,MATCH(B144,'Metabase Lookup'!$A:$A,0))))</f>
        <v/>
      </c>
      <c r="Y144" s="14">
        <f>IF(ISNUMBER(W144),IF(W144&gt;0,"Yes","No"),"Pending")</f>
        <v/>
      </c>
      <c r="Z144" s="14" t="inlineStr">
        <is>
          <t>Driver not identified (OPS account)</t>
        </is>
      </c>
    </row>
    <row r="145">
      <c r="A145" s="14" t="n">
        <v>144</v>
      </c>
      <c r="B145" s="14" t="inlineStr">
        <is>
          <t>APGUK012000005043821</t>
        </is>
      </c>
      <c r="C145" s="15" t="inlineStr">
        <is>
          <t>264662654641</t>
        </is>
      </c>
      <c r="D145" s="16" t="n">
        <v>46287.47898148148</v>
      </c>
      <c r="E145" s="17" t="n">
        <v>46287</v>
      </c>
      <c r="F145" s="14" t="inlineStr">
        <is>
          <t>Tue</t>
        </is>
      </c>
      <c r="G145" s="14" t="inlineStr">
        <is>
          <t>East MY</t>
        </is>
      </c>
      <c r="H145" s="14" t="inlineStr">
        <is>
          <t>BKW</t>
        </is>
      </c>
      <c r="I145" s="14" t="inlineStr">
        <is>
          <t>BKW - ID - KENNETH</t>
        </is>
      </c>
      <c r="J145" s="14" t="inlineStr">
        <is>
          <t>ID (named driver)</t>
        </is>
      </c>
      <c r="K145" s="14" t="inlineStr">
        <is>
          <t>91859984</t>
        </is>
      </c>
      <c r="L145" s="14" t="n">
        <v>1</v>
      </c>
      <c r="M145" s="14" t="inlineStr">
        <is>
          <t>LM</t>
        </is>
      </c>
      <c r="N145" s="14" t="inlineStr">
        <is>
          <t>Fake Fail</t>
        </is>
      </c>
      <c r="O145" s="14" t="inlineStr">
        <is>
          <t>Invalid call log (unspecified)</t>
        </is>
      </c>
      <c r="P145" s="14" t="inlineStr">
        <is>
          <t>Yes</t>
        </is>
      </c>
      <c r="Q145" s="14" t="inlineStr">
        <is>
          <t>No</t>
        </is>
      </c>
      <c r="R145" s="14" t="inlineStr">
        <is>
          <t>Invalid delivery attempt. POD invalid: Call log no cutsomer's number/location invalid</t>
        </is>
      </c>
      <c r="S145" s="14" t="inlineStr">
        <is>
          <t>Putri</t>
        </is>
      </c>
      <c r="T145" s="14">
        <f>COUNTIF($B$2:$B$499,B145)</f>
        <v/>
      </c>
      <c r="U145" s="14">
        <f>COUNTIF($I$2:$I$499,I145)</f>
        <v/>
      </c>
      <c r="V145" s="14">
        <f>IF(ISNA(MATCH(B145,'Metabase Lookup'!$A:$A,0)),"Not found",IF(INDEX('Metabase Lookup'!$B:$B,MATCH(B145,'Metabase Lookup'!$A:$A,0))="","Pending",INDEX('Metabase Lookup'!$B:$B,MATCH(B145,'Metabase Lookup'!$A:$A,0))))</f>
        <v/>
      </c>
      <c r="W145" s="14">
        <f>IF(ISNA(MATCH(B145,'Metabase Lookup'!$A:$A,0)),"Not found",IF(INDEX('Metabase Lookup'!$C:$C,MATCH(B145,'Metabase Lookup'!$A:$A,0))="","Pending",INDEX('Metabase Lookup'!$C:$C,MATCH(B145,'Metabase Lookup'!$A:$A,0))))</f>
        <v/>
      </c>
      <c r="X145" s="14">
        <f>IF(ISNA(MATCH(B145,'Metabase Lookup'!$A:$A,0)),"",IF(INDEX('Metabase Lookup'!$D:$D,MATCH(B145,'Metabase Lookup'!$A:$A,0))="","",INDEX('Metabase Lookup'!$D:$D,MATCH(B145,'Metabase Lookup'!$A:$A,0))))</f>
        <v/>
      </c>
      <c r="Y145" s="14">
        <f>IF(ISNUMBER(W145),IF(W145&gt;0,"Yes","No"),"Pending")</f>
        <v/>
      </c>
      <c r="Z145" s="14" t="inlineStr"/>
    </row>
    <row r="146">
      <c r="A146" s="14" t="n">
        <v>145</v>
      </c>
      <c r="B146" s="14" t="inlineStr">
        <is>
          <t>NVMY00SNS102333600</t>
        </is>
      </c>
      <c r="C146" s="15" t="inlineStr">
        <is>
          <t>267412651551</t>
        </is>
      </c>
      <c r="D146" s="16" t="n">
        <v>46287.48358796296</v>
      </c>
      <c r="E146" s="17" t="n">
        <v>46287</v>
      </c>
      <c r="F146" s="14" t="inlineStr">
        <is>
          <t>Tue</t>
        </is>
      </c>
      <c r="G146" s="14" t="inlineStr">
        <is>
          <t>KV</t>
        </is>
      </c>
      <c r="H146" s="14" t="inlineStr">
        <is>
          <t>BGR</t>
        </is>
      </c>
      <c r="I146" s="14" t="inlineStr">
        <is>
          <t>BGR - ID - ZZAID</t>
        </is>
      </c>
      <c r="J146" s="14" t="inlineStr">
        <is>
          <t>ID (named driver)</t>
        </is>
      </c>
      <c r="K146" s="14" t="inlineStr">
        <is>
          <t>91856739</t>
        </is>
      </c>
      <c r="L146" s="14" t="n">
        <v>1</v>
      </c>
      <c r="M146" s="14" t="inlineStr">
        <is>
          <t>LM</t>
        </is>
      </c>
      <c r="N146" s="14" t="inlineStr">
        <is>
          <t>Fake Fail</t>
        </is>
      </c>
      <c r="O146" s="14" t="inlineStr">
        <is>
          <t>Call not connected / no response</t>
        </is>
      </c>
      <c r="P146" s="14" t="inlineStr">
        <is>
          <t>Yes</t>
        </is>
      </c>
      <c r="Q146" s="14" t="inlineStr">
        <is>
          <t>No</t>
        </is>
      </c>
      <c r="R146" s="14" t="inlineStr">
        <is>
          <t>Invalid delivery attempt. POD invalid: Call log not connected, location invalid</t>
        </is>
      </c>
      <c r="S146" s="14" t="inlineStr">
        <is>
          <t>Putri</t>
        </is>
      </c>
      <c r="T146" s="14">
        <f>COUNTIF($B$2:$B$499,B146)</f>
        <v/>
      </c>
      <c r="U146" s="14">
        <f>COUNTIF($I$2:$I$499,I146)</f>
        <v/>
      </c>
      <c r="V146" s="14">
        <f>IF(ISNA(MATCH(B146,'Metabase Lookup'!$A:$A,0)),"Not found",IF(INDEX('Metabase Lookup'!$B:$B,MATCH(B146,'Metabase Lookup'!$A:$A,0))="","Pending",INDEX('Metabase Lookup'!$B:$B,MATCH(B146,'Metabase Lookup'!$A:$A,0))))</f>
        <v/>
      </c>
      <c r="W146" s="14">
        <f>IF(ISNA(MATCH(B146,'Metabase Lookup'!$A:$A,0)),"Not found",IF(INDEX('Metabase Lookup'!$C:$C,MATCH(B146,'Metabase Lookup'!$A:$A,0))="","Pending",INDEX('Metabase Lookup'!$C:$C,MATCH(B146,'Metabase Lookup'!$A:$A,0))))</f>
        <v/>
      </c>
      <c r="X146" s="14">
        <f>IF(ISNA(MATCH(B146,'Metabase Lookup'!$A:$A,0)),"",IF(INDEX('Metabase Lookup'!$D:$D,MATCH(B146,'Metabase Lookup'!$A:$A,0))="","",INDEX('Metabase Lookup'!$D:$D,MATCH(B146,'Metabase Lookup'!$A:$A,0))))</f>
        <v/>
      </c>
      <c r="Y146" s="14">
        <f>IF(ISNUMBER(W146),IF(W146&gt;0,"Yes","No"),"Pending")</f>
        <v/>
      </c>
      <c r="Z146" s="14" t="inlineStr"/>
    </row>
    <row r="147">
      <c r="A147" s="14" t="n">
        <v>146</v>
      </c>
      <c r="B147" s="14" t="inlineStr">
        <is>
          <t>NVMYTCALE000000964</t>
        </is>
      </c>
      <c r="C147" s="15" t="inlineStr">
        <is>
          <t>265052652608</t>
        </is>
      </c>
      <c r="D147" s="16" t="n">
        <v>46287.48446759259</v>
      </c>
      <c r="E147" s="17" t="n">
        <v>46287</v>
      </c>
      <c r="F147" s="14" t="inlineStr">
        <is>
          <t>Tue</t>
        </is>
      </c>
      <c r="G147" s="14" t="inlineStr">
        <is>
          <t>North West</t>
        </is>
      </c>
      <c r="H147" s="14" t="inlineStr">
        <is>
          <t>BAG</t>
        </is>
      </c>
      <c r="I147" s="14" t="inlineStr">
        <is>
          <t>BAG - OPS - ADAM</t>
        </is>
      </c>
      <c r="J147" s="14" t="inlineStr">
        <is>
          <t>OPS (generic hub account)</t>
        </is>
      </c>
      <c r="K147" s="14" t="inlineStr">
        <is>
          <t>91844972</t>
        </is>
      </c>
      <c r="L147" s="14" t="n">
        <v>1</v>
      </c>
      <c r="M147" s="14" t="inlineStr">
        <is>
          <t>LM</t>
        </is>
      </c>
      <c r="N147" s="14" t="inlineStr">
        <is>
          <t>Fake Fail</t>
        </is>
      </c>
      <c r="O147" s="14" t="inlineStr">
        <is>
          <t>Wrong number called</t>
        </is>
      </c>
      <c r="P147" s="14" t="inlineStr">
        <is>
          <t>No</t>
        </is>
      </c>
      <c r="Q147" s="14" t="inlineStr">
        <is>
          <t>No</t>
        </is>
      </c>
      <c r="R147" s="14" t="inlineStr">
        <is>
          <t>driver contact different number</t>
        </is>
      </c>
      <c r="S147" s="14" t="inlineStr">
        <is>
          <t>Hartini</t>
        </is>
      </c>
      <c r="T147" s="14">
        <f>COUNTIF($B$2:$B$499,B147)</f>
        <v/>
      </c>
      <c r="U147" s="14">
        <f>COUNTIF($I$2:$I$499,I147)</f>
        <v/>
      </c>
      <c r="V147" s="14">
        <f>IF(ISNA(MATCH(B147,'Metabase Lookup'!$A:$A,0)),"Not found",IF(INDEX('Metabase Lookup'!$B:$B,MATCH(B147,'Metabase Lookup'!$A:$A,0))="","Pending",INDEX('Metabase Lookup'!$B:$B,MATCH(B147,'Metabase Lookup'!$A:$A,0))))</f>
        <v/>
      </c>
      <c r="W147" s="14">
        <f>IF(ISNA(MATCH(B147,'Metabase Lookup'!$A:$A,0)),"Not found",IF(INDEX('Metabase Lookup'!$C:$C,MATCH(B147,'Metabase Lookup'!$A:$A,0))="","Pending",INDEX('Metabase Lookup'!$C:$C,MATCH(B147,'Metabase Lookup'!$A:$A,0))))</f>
        <v/>
      </c>
      <c r="X147" s="14">
        <f>IF(ISNA(MATCH(B147,'Metabase Lookup'!$A:$A,0)),"",IF(INDEX('Metabase Lookup'!$D:$D,MATCH(B147,'Metabase Lookup'!$A:$A,0))="","",INDEX('Metabase Lookup'!$D:$D,MATCH(B147,'Metabase Lookup'!$A:$A,0))))</f>
        <v/>
      </c>
      <c r="Y147" s="14">
        <f>IF(ISNUMBER(W147),IF(W147&gt;0,"Yes","No"),"Pending")</f>
        <v/>
      </c>
      <c r="Z147" s="14" t="inlineStr">
        <is>
          <t>Driver not identified (OPS account)</t>
        </is>
      </c>
    </row>
    <row r="148">
      <c r="A148" s="14" t="n">
        <v>147</v>
      </c>
      <c r="B148" s="14" t="inlineStr">
        <is>
          <t>ZMP274355945-2588</t>
        </is>
      </c>
      <c r="C148" s="15" t="inlineStr">
        <is>
          <t>268702650469</t>
        </is>
      </c>
      <c r="D148" s="16" t="n">
        <v>46287.48696759259</v>
      </c>
      <c r="E148" s="17" t="n">
        <v>46287</v>
      </c>
      <c r="F148" s="14" t="inlineStr">
        <is>
          <t>Tue</t>
        </is>
      </c>
      <c r="G148" s="14" t="inlineStr">
        <is>
          <t>KV</t>
        </is>
      </c>
      <c r="H148" s="14" t="inlineStr">
        <is>
          <t>SEG</t>
        </is>
      </c>
      <c r="I148" s="14" t="inlineStr">
        <is>
          <t>SEG - OPS - STATION HEAD</t>
        </is>
      </c>
      <c r="J148" s="14" t="inlineStr">
        <is>
          <t>OPS (generic hub account)</t>
        </is>
      </c>
      <c r="K148" s="14" t="inlineStr">
        <is>
          <t>91859281</t>
        </is>
      </c>
      <c r="L148" s="14" t="n">
        <v>1</v>
      </c>
      <c r="M148" s="14" t="inlineStr">
        <is>
          <t>LM</t>
        </is>
      </c>
      <c r="N148" s="14" t="inlineStr">
        <is>
          <t>Fake Fail</t>
        </is>
      </c>
      <c r="O148" s="14" t="inlineStr">
        <is>
          <t>Invalid call log (unspecified)</t>
        </is>
      </c>
      <c r="P148" s="14" t="inlineStr">
        <is>
          <t>No</t>
        </is>
      </c>
      <c r="Q148" s="14" t="inlineStr">
        <is>
          <t>No</t>
        </is>
      </c>
      <c r="R148" s="14" t="inlineStr">
        <is>
          <t>invalid call log and POD</t>
        </is>
      </c>
      <c r="S148" s="14" t="inlineStr">
        <is>
          <t>Naveen</t>
        </is>
      </c>
      <c r="T148" s="14">
        <f>COUNTIF($B$2:$B$499,B148)</f>
        <v/>
      </c>
      <c r="U148" s="14">
        <f>COUNTIF($I$2:$I$499,I148)</f>
        <v/>
      </c>
      <c r="V148" s="14">
        <f>IF(ISNA(MATCH(B148,'Metabase Lookup'!$A:$A,0)),"Not found",IF(INDEX('Metabase Lookup'!$B:$B,MATCH(B148,'Metabase Lookup'!$A:$A,0))="","Pending",INDEX('Metabase Lookup'!$B:$B,MATCH(B148,'Metabase Lookup'!$A:$A,0))))</f>
        <v/>
      </c>
      <c r="W148" s="14">
        <f>IF(ISNA(MATCH(B148,'Metabase Lookup'!$A:$A,0)),"Not found",IF(INDEX('Metabase Lookup'!$C:$C,MATCH(B148,'Metabase Lookup'!$A:$A,0))="","Pending",INDEX('Metabase Lookup'!$C:$C,MATCH(B148,'Metabase Lookup'!$A:$A,0))))</f>
        <v/>
      </c>
      <c r="X148" s="14">
        <f>IF(ISNA(MATCH(B148,'Metabase Lookup'!$A:$A,0)),"",IF(INDEX('Metabase Lookup'!$D:$D,MATCH(B148,'Metabase Lookup'!$A:$A,0))="","",INDEX('Metabase Lookup'!$D:$D,MATCH(B148,'Metabase Lookup'!$A:$A,0))))</f>
        <v/>
      </c>
      <c r="Y148" s="14">
        <f>IF(ISNUMBER(W148),IF(W148&gt;0,"Yes","No"),"Pending")</f>
        <v/>
      </c>
      <c r="Z148" s="14" t="inlineStr">
        <is>
          <t>TID logged more than once; TID had stray spaces/line breaks (cleaned); Driver not identified (OPS account)</t>
        </is>
      </c>
    </row>
    <row r="149">
      <c r="A149" s="14" t="n">
        <v>148</v>
      </c>
      <c r="B149" s="14" t="inlineStr">
        <is>
          <t>BBPE1550736921844985856</t>
        </is>
      </c>
      <c r="C149" s="15" t="inlineStr">
        <is>
          <t>266552653237</t>
        </is>
      </c>
      <c r="D149" s="16" t="n">
        <v>46287.4882175926</v>
      </c>
      <c r="E149" s="17" t="n">
        <v>46287</v>
      </c>
      <c r="F149" s="14" t="inlineStr">
        <is>
          <t>Tue</t>
        </is>
      </c>
      <c r="G149" s="14" t="inlineStr">
        <is>
          <t>KV</t>
        </is>
      </c>
      <c r="H149" s="14" t="inlineStr">
        <is>
          <t>PJY</t>
        </is>
      </c>
      <c r="I149" s="14" t="inlineStr">
        <is>
          <t>OPS - PJY</t>
        </is>
      </c>
      <c r="J149" s="14" t="inlineStr">
        <is>
          <t>OPS (generic hub account)</t>
        </is>
      </c>
      <c r="K149" s="14" t="inlineStr">
        <is>
          <t>91859712</t>
        </is>
      </c>
      <c r="L149" s="14" t="n">
        <v>1</v>
      </c>
      <c r="M149" s="14" t="inlineStr">
        <is>
          <t>LM</t>
        </is>
      </c>
      <c r="N149" s="14" t="inlineStr">
        <is>
          <t>Fake Fail</t>
        </is>
      </c>
      <c r="O149" s="14" t="inlineStr">
        <is>
          <t>Wrong number called</t>
        </is>
      </c>
      <c r="P149" s="14" t="inlineStr">
        <is>
          <t>No</t>
        </is>
      </c>
      <c r="Q149" s="14" t="inlineStr">
        <is>
          <t>No</t>
        </is>
      </c>
      <c r="R149" s="14" t="inlineStr">
        <is>
          <t>Invalid delivery attempt. POD invalid: Call log not customer's number</t>
        </is>
      </c>
      <c r="S149" s="14" t="inlineStr">
        <is>
          <t>Putri</t>
        </is>
      </c>
      <c r="T149" s="14">
        <f>COUNTIF($B$2:$B$499,B149)</f>
        <v/>
      </c>
      <c r="U149" s="14">
        <f>COUNTIF($I$2:$I$499,I149)</f>
        <v/>
      </c>
      <c r="V149" s="14">
        <f>IF(ISNA(MATCH(B149,'Metabase Lookup'!$A:$A,0)),"Not found",IF(INDEX('Metabase Lookup'!$B:$B,MATCH(B149,'Metabase Lookup'!$A:$A,0))="","Pending",INDEX('Metabase Lookup'!$B:$B,MATCH(B149,'Metabase Lookup'!$A:$A,0))))</f>
        <v/>
      </c>
      <c r="W149" s="14">
        <f>IF(ISNA(MATCH(B149,'Metabase Lookup'!$A:$A,0)),"Not found",IF(INDEX('Metabase Lookup'!$C:$C,MATCH(B149,'Metabase Lookup'!$A:$A,0))="","Pending",INDEX('Metabase Lookup'!$C:$C,MATCH(B149,'Metabase Lookup'!$A:$A,0))))</f>
        <v/>
      </c>
      <c r="X149" s="14">
        <f>IF(ISNA(MATCH(B149,'Metabase Lookup'!$A:$A,0)),"",IF(INDEX('Metabase Lookup'!$D:$D,MATCH(B149,'Metabase Lookup'!$A:$A,0))="","",INDEX('Metabase Lookup'!$D:$D,MATCH(B149,'Metabase Lookup'!$A:$A,0))))</f>
        <v/>
      </c>
      <c r="Y149" s="14">
        <f>IF(ISNUMBER(W149),IF(W149&gt;0,"Yes","No"),"Pending")</f>
        <v/>
      </c>
      <c r="Z149" s="14" t="inlineStr">
        <is>
          <t>Driver not identified (OPS account)</t>
        </is>
      </c>
    </row>
    <row r="150">
      <c r="A150" s="14" t="n">
        <v>149</v>
      </c>
      <c r="B150" s="14" t="inlineStr">
        <is>
          <t>TNGDV2608306813565210</t>
        </is>
      </c>
      <c r="C150" s="15" t="inlineStr">
        <is>
          <t>263112659952</t>
        </is>
      </c>
      <c r="D150" s="16" t="n">
        <v>46287.4903587963</v>
      </c>
      <c r="E150" s="17" t="n">
        <v>46287</v>
      </c>
      <c r="F150" s="14" t="inlineStr">
        <is>
          <t>Tue</t>
        </is>
      </c>
      <c r="G150" s="14" t="inlineStr">
        <is>
          <t>Southern</t>
        </is>
      </c>
      <c r="H150" s="14" t="inlineStr">
        <is>
          <t>LKN</t>
        </is>
      </c>
      <c r="I150" s="14" t="inlineStr">
        <is>
          <t>SWG - HD - NUH, LKN - OPS</t>
        </is>
      </c>
      <c r="J150" s="14" t="inlineStr">
        <is>
          <t>OPS (generic hub account)</t>
        </is>
      </c>
      <c r="K150" s="14" t="inlineStr">
        <is>
          <t>91836319, 91715305</t>
        </is>
      </c>
      <c r="L150" s="14" t="n">
        <v>2</v>
      </c>
      <c r="M150" s="14" t="inlineStr">
        <is>
          <t>LM</t>
        </is>
      </c>
      <c r="N150" s="14" t="inlineStr">
        <is>
          <t>Fake Fail</t>
        </is>
      </c>
      <c r="O150" s="14" t="inlineStr">
        <is>
          <t>Wrong number called</t>
        </is>
      </c>
      <c r="P150" s="14" t="inlineStr">
        <is>
          <t>No</t>
        </is>
      </c>
      <c r="Q150" s="14" t="inlineStr">
        <is>
          <t>No</t>
        </is>
      </c>
      <c r="R150" s="14" t="inlineStr">
        <is>
          <t>Invalid delivery attempt. POD invalid: Call log not customer's number/wrong driver route the parcel (SWG)</t>
        </is>
      </c>
      <c r="S150" s="14" t="inlineStr">
        <is>
          <t>Putri</t>
        </is>
      </c>
      <c r="T150" s="14">
        <f>COUNTIF($B$2:$B$499,B150)</f>
        <v/>
      </c>
      <c r="U150" s="14">
        <f>COUNTIF($I$2:$I$499,I150)</f>
        <v/>
      </c>
      <c r="V150" s="14">
        <f>IF(ISNA(MATCH(B150,'Metabase Lookup'!$A:$A,0)),"Not found",IF(INDEX('Metabase Lookup'!$B:$B,MATCH(B150,'Metabase Lookup'!$A:$A,0))="","Pending",INDEX('Metabase Lookup'!$B:$B,MATCH(B150,'Metabase Lookup'!$A:$A,0))))</f>
        <v/>
      </c>
      <c r="W150" s="14">
        <f>IF(ISNA(MATCH(B150,'Metabase Lookup'!$A:$A,0)),"Not found",IF(INDEX('Metabase Lookup'!$C:$C,MATCH(B150,'Metabase Lookup'!$A:$A,0))="","Pending",INDEX('Metabase Lookup'!$C:$C,MATCH(B150,'Metabase Lookup'!$A:$A,0))))</f>
        <v/>
      </c>
      <c r="X150" s="14">
        <f>IF(ISNA(MATCH(B150,'Metabase Lookup'!$A:$A,0)),"",IF(INDEX('Metabase Lookup'!$D:$D,MATCH(B150,'Metabase Lookup'!$A:$A,0))="","",INDEX('Metabase Lookup'!$D:$D,MATCH(B150,'Metabase Lookup'!$A:$A,0))))</f>
        <v/>
      </c>
      <c r="Y150" s="14">
        <f>IF(ISNUMBER(W150),IF(W150&gt;0,"Yes","No"),"Pending")</f>
        <v/>
      </c>
      <c r="Z150" s="14" t="inlineStr">
        <is>
          <t>Multiple route IDs; Driver not identified (OPS account)</t>
        </is>
      </c>
    </row>
    <row r="151">
      <c r="A151" s="14" t="n">
        <v>150</v>
      </c>
      <c r="B151" s="14" t="inlineStr">
        <is>
          <t>TNGE126007020392797000</t>
        </is>
      </c>
      <c r="C151" s="15" t="inlineStr">
        <is>
          <t>267792658085</t>
        </is>
      </c>
      <c r="D151" s="16" t="n">
        <v>46287.49474537037</v>
      </c>
      <c r="E151" s="17" t="n">
        <v>46287</v>
      </c>
      <c r="F151" s="14" t="inlineStr">
        <is>
          <t>Tue</t>
        </is>
      </c>
      <c r="G151" s="14" t="inlineStr">
        <is>
          <t>KV</t>
        </is>
      </c>
      <c r="H151" s="14" t="inlineStr">
        <is>
          <t>CJY</t>
        </is>
      </c>
      <c r="I151" s="14" t="inlineStr">
        <is>
          <t>CJY - ID - KHAIRUL AZMIL</t>
        </is>
      </c>
      <c r="J151" s="14" t="inlineStr">
        <is>
          <t>ID (named driver)</t>
        </is>
      </c>
      <c r="K151" s="14" t="inlineStr">
        <is>
          <t>91857588</t>
        </is>
      </c>
      <c r="L151" s="14" t="n">
        <v>1</v>
      </c>
      <c r="M151" s="14" t="inlineStr">
        <is>
          <t>LM</t>
        </is>
      </c>
      <c r="N151" s="14" t="inlineStr">
        <is>
          <t>Fake Fail</t>
        </is>
      </c>
      <c r="O151" s="14" t="inlineStr">
        <is>
          <t>Invalid call log (unspecified)</t>
        </is>
      </c>
      <c r="P151" s="14" t="inlineStr">
        <is>
          <t>Yes</t>
        </is>
      </c>
      <c r="Q151" s="14" t="inlineStr">
        <is>
          <t>No</t>
        </is>
      </c>
      <c r="R151" s="14" t="inlineStr">
        <is>
          <t>Invalid delivery attempt. POD invalid: Location not customer's/call log invalid</t>
        </is>
      </c>
      <c r="S151" s="14" t="inlineStr">
        <is>
          <t>Putri</t>
        </is>
      </c>
      <c r="T151" s="14">
        <f>COUNTIF($B$2:$B$499,B151)</f>
        <v/>
      </c>
      <c r="U151" s="14">
        <f>COUNTIF($I$2:$I$499,I151)</f>
        <v/>
      </c>
      <c r="V151" s="14">
        <f>IF(ISNA(MATCH(B151,'Metabase Lookup'!$A:$A,0)),"Not found",IF(INDEX('Metabase Lookup'!$B:$B,MATCH(B151,'Metabase Lookup'!$A:$A,0))="","Pending",INDEX('Metabase Lookup'!$B:$B,MATCH(B151,'Metabase Lookup'!$A:$A,0))))</f>
        <v/>
      </c>
      <c r="W151" s="14">
        <f>IF(ISNA(MATCH(B151,'Metabase Lookup'!$A:$A,0)),"Not found",IF(INDEX('Metabase Lookup'!$C:$C,MATCH(B151,'Metabase Lookup'!$A:$A,0))="","Pending",INDEX('Metabase Lookup'!$C:$C,MATCH(B151,'Metabase Lookup'!$A:$A,0))))</f>
        <v/>
      </c>
      <c r="X151" s="14">
        <f>IF(ISNA(MATCH(B151,'Metabase Lookup'!$A:$A,0)),"",IF(INDEX('Metabase Lookup'!$D:$D,MATCH(B151,'Metabase Lookup'!$A:$A,0))="","",INDEX('Metabase Lookup'!$D:$D,MATCH(B151,'Metabase Lookup'!$A:$A,0))))</f>
        <v/>
      </c>
      <c r="Y151" s="14">
        <f>IF(ISNUMBER(W151),IF(W151&gt;0,"Yes","No"),"Pending")</f>
        <v/>
      </c>
      <c r="Z151" s="14" t="inlineStr"/>
    </row>
    <row r="152">
      <c r="A152" s="14" t="n">
        <v>151</v>
      </c>
      <c r="B152" s="14" t="inlineStr">
        <is>
          <t>NVMYHJSBG000023117</t>
        </is>
      </c>
      <c r="C152" s="15" t="inlineStr">
        <is>
          <t>260392654141</t>
        </is>
      </c>
      <c r="D152" s="16" t="n">
        <v>46287.49773148148</v>
      </c>
      <c r="E152" s="17" t="n">
        <v>46287</v>
      </c>
      <c r="F152" s="14" t="inlineStr">
        <is>
          <t>Tue</t>
        </is>
      </c>
      <c r="G152" s="14" t="inlineStr">
        <is>
          <t>KV</t>
        </is>
      </c>
      <c r="H152" s="14" t="inlineStr">
        <is>
          <t>PJY</t>
        </is>
      </c>
      <c r="I152" s="14" t="inlineStr">
        <is>
          <t>OPS - PJY</t>
        </is>
      </c>
      <c r="J152" s="14" t="inlineStr">
        <is>
          <t>OPS (generic hub account)</t>
        </is>
      </c>
      <c r="K152" s="14" t="inlineStr">
        <is>
          <t>91844729</t>
        </is>
      </c>
      <c r="L152" s="14" t="n">
        <v>1</v>
      </c>
      <c r="M152" s="14" t="inlineStr">
        <is>
          <t>LM</t>
        </is>
      </c>
      <c r="N152" s="14" t="inlineStr">
        <is>
          <t>Fake Fail</t>
        </is>
      </c>
      <c r="O152" s="14" t="inlineStr">
        <is>
          <t>No call / call log missing</t>
        </is>
      </c>
      <c r="P152" s="14" t="inlineStr">
        <is>
          <t>Yes</t>
        </is>
      </c>
      <c r="Q152" s="14" t="inlineStr">
        <is>
          <t>No</t>
        </is>
      </c>
      <c r="R152" s="14" t="inlineStr">
        <is>
          <t>Invalid delivery attempt. POD invalid: No call log, location not customer's</t>
        </is>
      </c>
      <c r="S152" s="14" t="inlineStr">
        <is>
          <t>Putri</t>
        </is>
      </c>
      <c r="T152" s="14">
        <f>COUNTIF($B$2:$B$499,B152)</f>
        <v/>
      </c>
      <c r="U152" s="14">
        <f>COUNTIF($I$2:$I$499,I152)</f>
        <v/>
      </c>
      <c r="V152" s="14">
        <f>IF(ISNA(MATCH(B152,'Metabase Lookup'!$A:$A,0)),"Not found",IF(INDEX('Metabase Lookup'!$B:$B,MATCH(B152,'Metabase Lookup'!$A:$A,0))="","Pending",INDEX('Metabase Lookup'!$B:$B,MATCH(B152,'Metabase Lookup'!$A:$A,0))))</f>
        <v/>
      </c>
      <c r="W152" s="14">
        <f>IF(ISNA(MATCH(B152,'Metabase Lookup'!$A:$A,0)),"Not found",IF(INDEX('Metabase Lookup'!$C:$C,MATCH(B152,'Metabase Lookup'!$A:$A,0))="","Pending",INDEX('Metabase Lookup'!$C:$C,MATCH(B152,'Metabase Lookup'!$A:$A,0))))</f>
        <v/>
      </c>
      <c r="X152" s="14">
        <f>IF(ISNA(MATCH(B152,'Metabase Lookup'!$A:$A,0)),"",IF(INDEX('Metabase Lookup'!$D:$D,MATCH(B152,'Metabase Lookup'!$A:$A,0))="","",INDEX('Metabase Lookup'!$D:$D,MATCH(B152,'Metabase Lookup'!$A:$A,0))))</f>
        <v/>
      </c>
      <c r="Y152" s="14">
        <f>IF(ISNUMBER(W152),IF(W152&gt;0,"Yes","No"),"Pending")</f>
        <v/>
      </c>
      <c r="Z152" s="14" t="inlineStr">
        <is>
          <t>Driver not identified (OPS account)</t>
        </is>
      </c>
    </row>
    <row r="153">
      <c r="A153" s="14" t="n">
        <v>152</v>
      </c>
      <c r="B153" s="14" t="inlineStr">
        <is>
          <t>AEMYA000629951</t>
        </is>
      </c>
      <c r="C153" s="15" t="inlineStr">
        <is>
          <t>260662658947</t>
        </is>
      </c>
      <c r="D153" s="16" t="n">
        <v>46287.49962962963</v>
      </c>
      <c r="E153" s="17" t="n">
        <v>46287</v>
      </c>
      <c r="F153" s="14" t="inlineStr">
        <is>
          <t>Tue</t>
        </is>
      </c>
      <c r="G153" s="14" t="inlineStr">
        <is>
          <t>KV</t>
        </is>
      </c>
      <c r="H153" s="14" t="inlineStr">
        <is>
          <t>DSA</t>
        </is>
      </c>
      <c r="I153" s="14" t="inlineStr">
        <is>
          <t>OPS - DSA</t>
        </is>
      </c>
      <c r="J153" s="14" t="inlineStr">
        <is>
          <t>OPS (generic hub account)</t>
        </is>
      </c>
      <c r="K153" s="14" t="inlineStr">
        <is>
          <t>91854873</t>
        </is>
      </c>
      <c r="L153" s="14" t="n">
        <v>1</v>
      </c>
      <c r="M153" s="14" t="inlineStr">
        <is>
          <t>LM</t>
        </is>
      </c>
      <c r="N153" s="14" t="inlineStr">
        <is>
          <t>Fake Fail</t>
        </is>
      </c>
      <c r="O153" s="14" t="inlineStr">
        <is>
          <t>No call / call log missing</t>
        </is>
      </c>
      <c r="P153" s="14" t="inlineStr">
        <is>
          <t>Yes</t>
        </is>
      </c>
      <c r="Q153" s="14" t="inlineStr">
        <is>
          <t>No</t>
        </is>
      </c>
      <c r="R153" s="14" t="inlineStr">
        <is>
          <t>Invalid delivery attempt. POD invalid: No call log/location invalid</t>
        </is>
      </c>
      <c r="S153" s="14" t="inlineStr">
        <is>
          <t>Putri</t>
        </is>
      </c>
      <c r="T153" s="14">
        <f>COUNTIF($B$2:$B$499,B153)</f>
        <v/>
      </c>
      <c r="U153" s="14">
        <f>COUNTIF($I$2:$I$499,I153)</f>
        <v/>
      </c>
      <c r="V153" s="14">
        <f>IF(ISNA(MATCH(B153,'Metabase Lookup'!$A:$A,0)),"Not found",IF(INDEX('Metabase Lookup'!$B:$B,MATCH(B153,'Metabase Lookup'!$A:$A,0))="","Pending",INDEX('Metabase Lookup'!$B:$B,MATCH(B153,'Metabase Lookup'!$A:$A,0))))</f>
        <v/>
      </c>
      <c r="W153" s="14">
        <f>IF(ISNA(MATCH(B153,'Metabase Lookup'!$A:$A,0)),"Not found",IF(INDEX('Metabase Lookup'!$C:$C,MATCH(B153,'Metabase Lookup'!$A:$A,0))="","Pending",INDEX('Metabase Lookup'!$C:$C,MATCH(B153,'Metabase Lookup'!$A:$A,0))))</f>
        <v/>
      </c>
      <c r="X153" s="14">
        <f>IF(ISNA(MATCH(B153,'Metabase Lookup'!$A:$A,0)),"",IF(INDEX('Metabase Lookup'!$D:$D,MATCH(B153,'Metabase Lookup'!$A:$A,0))="","",INDEX('Metabase Lookup'!$D:$D,MATCH(B153,'Metabase Lookup'!$A:$A,0))))</f>
        <v/>
      </c>
      <c r="Y153" s="14">
        <f>IF(ISNUMBER(W153),IF(W153&gt;0,"Yes","No"),"Pending")</f>
        <v/>
      </c>
      <c r="Z153" s="14" t="inlineStr">
        <is>
          <t>Driver not identified (OPS account)</t>
        </is>
      </c>
    </row>
    <row r="154">
      <c r="A154" s="14" t="n">
        <v>153</v>
      </c>
      <c r="B154" s="14" t="inlineStr">
        <is>
          <t>NVMYTEPIS000003833</t>
        </is>
      </c>
      <c r="C154" s="15" t="inlineStr">
        <is>
          <t>268842659453</t>
        </is>
      </c>
      <c r="D154" s="16" t="n">
        <v>46287.51136574074</v>
      </c>
      <c r="E154" s="17" t="n">
        <v>46287</v>
      </c>
      <c r="F154" s="14" t="inlineStr">
        <is>
          <t>Tue</t>
        </is>
      </c>
      <c r="G154" s="14" t="inlineStr">
        <is>
          <t>Southern</t>
        </is>
      </c>
      <c r="H154" s="14" t="inlineStr">
        <is>
          <t>HTM</t>
        </is>
      </c>
      <c r="I154" s="14" t="inlineStr">
        <is>
          <t>HTM - HD - SAFIQAH</t>
        </is>
      </c>
      <c r="J154" s="14" t="inlineStr">
        <is>
          <t>HD (named)</t>
        </is>
      </c>
      <c r="K154" s="14" t="inlineStr">
        <is>
          <t>91856201</t>
        </is>
      </c>
      <c r="L154" s="14" t="n">
        <v>1</v>
      </c>
      <c r="M154" s="14" t="inlineStr">
        <is>
          <t>LM</t>
        </is>
      </c>
      <c r="N154" s="14" t="inlineStr">
        <is>
          <t>Fake Fail</t>
        </is>
      </c>
      <c r="O154" s="14" t="inlineStr">
        <is>
          <t>No call / call log missing</t>
        </is>
      </c>
      <c r="P154" s="14" t="inlineStr">
        <is>
          <t>Yes</t>
        </is>
      </c>
      <c r="Q154" s="14" t="inlineStr">
        <is>
          <t>No</t>
        </is>
      </c>
      <c r="R154" s="14" t="inlineStr">
        <is>
          <t>Invalid delivery attempt. POD invalid: No call log/No location/ Whatsapp unanswered</t>
        </is>
      </c>
      <c r="S154" s="14" t="inlineStr">
        <is>
          <t>Putri</t>
        </is>
      </c>
      <c r="T154" s="14">
        <f>COUNTIF($B$2:$B$499,B154)</f>
        <v/>
      </c>
      <c r="U154" s="14">
        <f>COUNTIF($I$2:$I$499,I154)</f>
        <v/>
      </c>
      <c r="V154" s="14">
        <f>IF(ISNA(MATCH(B154,'Metabase Lookup'!$A:$A,0)),"Not found",IF(INDEX('Metabase Lookup'!$B:$B,MATCH(B154,'Metabase Lookup'!$A:$A,0))="","Pending",INDEX('Metabase Lookup'!$B:$B,MATCH(B154,'Metabase Lookup'!$A:$A,0))))</f>
        <v/>
      </c>
      <c r="W154" s="14">
        <f>IF(ISNA(MATCH(B154,'Metabase Lookup'!$A:$A,0)),"Not found",IF(INDEX('Metabase Lookup'!$C:$C,MATCH(B154,'Metabase Lookup'!$A:$A,0))="","Pending",INDEX('Metabase Lookup'!$C:$C,MATCH(B154,'Metabase Lookup'!$A:$A,0))))</f>
        <v/>
      </c>
      <c r="X154" s="14">
        <f>IF(ISNA(MATCH(B154,'Metabase Lookup'!$A:$A,0)),"",IF(INDEX('Metabase Lookup'!$D:$D,MATCH(B154,'Metabase Lookup'!$A:$A,0))="","",INDEX('Metabase Lookup'!$D:$D,MATCH(B154,'Metabase Lookup'!$A:$A,0))))</f>
        <v/>
      </c>
      <c r="Y154" s="14">
        <f>IF(ISNUMBER(W154),IF(W154&gt;0,"Yes","No"),"Pending")</f>
        <v/>
      </c>
      <c r="Z154" s="14" t="inlineStr">
        <is>
          <t>TID logged more than once</t>
        </is>
      </c>
    </row>
    <row r="155">
      <c r="A155" s="14" t="n">
        <v>154</v>
      </c>
      <c r="B155" s="14" t="inlineStr">
        <is>
          <t>NVMYTEPIS000003807</t>
        </is>
      </c>
      <c r="C155" s="15" t="inlineStr">
        <is>
          <t>268842659453</t>
        </is>
      </c>
      <c r="D155" s="16" t="n">
        <v>46287.51555555555</v>
      </c>
      <c r="E155" s="17" t="n">
        <v>46287</v>
      </c>
      <c r="F155" s="14" t="inlineStr">
        <is>
          <t>Tue</t>
        </is>
      </c>
      <c r="G155" s="14" t="inlineStr">
        <is>
          <t>KV</t>
        </is>
      </c>
      <c r="H155" s="14" t="inlineStr">
        <is>
          <t>OUG</t>
        </is>
      </c>
      <c r="I155" s="14" t="inlineStr">
        <is>
          <t>OPS - OUG</t>
        </is>
      </c>
      <c r="J155" s="14" t="inlineStr">
        <is>
          <t>OPS (generic hub account)</t>
        </is>
      </c>
      <c r="K155" s="14" t="inlineStr">
        <is>
          <t>91845017</t>
        </is>
      </c>
      <c r="L155" s="14" t="n">
        <v>1</v>
      </c>
      <c r="M155" s="14" t="inlineStr">
        <is>
          <t>LM</t>
        </is>
      </c>
      <c r="N155" s="14" t="inlineStr">
        <is>
          <t>Fake Fail</t>
        </is>
      </c>
      <c r="O155" s="14" t="inlineStr">
        <is>
          <t>Call not connected / no response</t>
        </is>
      </c>
      <c r="P155" s="14" t="inlineStr">
        <is>
          <t>Yes</t>
        </is>
      </c>
      <c r="Q155" s="14" t="inlineStr">
        <is>
          <t>No</t>
        </is>
      </c>
      <c r="R155" s="14" t="inlineStr">
        <is>
          <t>Invalid delivery attempt. POD invalid: Call log not connected, location invalid</t>
        </is>
      </c>
      <c r="S155" s="14" t="inlineStr">
        <is>
          <t>Putri</t>
        </is>
      </c>
      <c r="T155" s="14">
        <f>COUNTIF($B$2:$B$499,B155)</f>
        <v/>
      </c>
      <c r="U155" s="14">
        <f>COUNTIF($I$2:$I$499,I155)</f>
        <v/>
      </c>
      <c r="V155" s="14">
        <f>IF(ISNA(MATCH(B155,'Metabase Lookup'!$A:$A,0)),"Not found",IF(INDEX('Metabase Lookup'!$B:$B,MATCH(B155,'Metabase Lookup'!$A:$A,0))="","Pending",INDEX('Metabase Lookup'!$B:$B,MATCH(B155,'Metabase Lookup'!$A:$A,0))))</f>
        <v/>
      </c>
      <c r="W155" s="14">
        <f>IF(ISNA(MATCH(B155,'Metabase Lookup'!$A:$A,0)),"Not found",IF(INDEX('Metabase Lookup'!$C:$C,MATCH(B155,'Metabase Lookup'!$A:$A,0))="","Pending",INDEX('Metabase Lookup'!$C:$C,MATCH(B155,'Metabase Lookup'!$A:$A,0))))</f>
        <v/>
      </c>
      <c r="X155" s="14">
        <f>IF(ISNA(MATCH(B155,'Metabase Lookup'!$A:$A,0)),"",IF(INDEX('Metabase Lookup'!$D:$D,MATCH(B155,'Metabase Lookup'!$A:$A,0))="","",INDEX('Metabase Lookup'!$D:$D,MATCH(B155,'Metabase Lookup'!$A:$A,0))))</f>
        <v/>
      </c>
      <c r="Y155" s="14">
        <f>IF(ISNUMBER(W155),IF(W155&gt;0,"Yes","No"),"Pending")</f>
        <v/>
      </c>
      <c r="Z155" s="14" t="inlineStr">
        <is>
          <t>Driver not identified (OPS account)</t>
        </is>
      </c>
    </row>
    <row r="156">
      <c r="A156" s="14" t="n">
        <v>155</v>
      </c>
      <c r="B156" s="14" t="inlineStr">
        <is>
          <t>NVMYNINJA002518185</t>
        </is>
      </c>
      <c r="C156" s="15" t="inlineStr">
        <is>
          <t>267022651082</t>
        </is>
      </c>
      <c r="D156" s="16" t="n">
        <v>46287.52005787037</v>
      </c>
      <c r="E156" s="17" t="n">
        <v>46287</v>
      </c>
      <c r="F156" s="14" t="inlineStr">
        <is>
          <t>Tue</t>
        </is>
      </c>
      <c r="G156" s="14" t="inlineStr">
        <is>
          <t>KV</t>
        </is>
      </c>
      <c r="H156" s="14" t="inlineStr">
        <is>
          <t>PJY</t>
        </is>
      </c>
      <c r="I156" s="14" t="inlineStr">
        <is>
          <t>OPS - PJY</t>
        </is>
      </c>
      <c r="J156" s="14" t="inlineStr">
        <is>
          <t>OPS (generic hub account)</t>
        </is>
      </c>
      <c r="K156" s="14" t="inlineStr">
        <is>
          <t>91859712</t>
        </is>
      </c>
      <c r="L156" s="14" t="n">
        <v>1</v>
      </c>
      <c r="M156" s="14" t="inlineStr">
        <is>
          <t>LM</t>
        </is>
      </c>
      <c r="N156" s="14" t="inlineStr">
        <is>
          <t>Fake Fail</t>
        </is>
      </c>
      <c r="O156" s="14" t="inlineStr">
        <is>
          <t>Call not connected / no response</t>
        </is>
      </c>
      <c r="P156" s="14" t="inlineStr">
        <is>
          <t>Yes</t>
        </is>
      </c>
      <c r="Q156" s="14" t="inlineStr">
        <is>
          <t>No</t>
        </is>
      </c>
      <c r="R156" s="14" t="inlineStr">
        <is>
          <t>Invalid delivery attempt. POD invalid: Call log not connected, location invalid</t>
        </is>
      </c>
      <c r="S156" s="14" t="inlineStr">
        <is>
          <t>Putri</t>
        </is>
      </c>
      <c r="T156" s="14">
        <f>COUNTIF($B$2:$B$499,B156)</f>
        <v/>
      </c>
      <c r="U156" s="14">
        <f>COUNTIF($I$2:$I$499,I156)</f>
        <v/>
      </c>
      <c r="V156" s="14">
        <f>IF(ISNA(MATCH(B156,'Metabase Lookup'!$A:$A,0)),"Not found",IF(INDEX('Metabase Lookup'!$B:$B,MATCH(B156,'Metabase Lookup'!$A:$A,0))="","Pending",INDEX('Metabase Lookup'!$B:$B,MATCH(B156,'Metabase Lookup'!$A:$A,0))))</f>
        <v/>
      </c>
      <c r="W156" s="14">
        <f>IF(ISNA(MATCH(B156,'Metabase Lookup'!$A:$A,0)),"Not found",IF(INDEX('Metabase Lookup'!$C:$C,MATCH(B156,'Metabase Lookup'!$A:$A,0))="","Pending",INDEX('Metabase Lookup'!$C:$C,MATCH(B156,'Metabase Lookup'!$A:$A,0))))</f>
        <v/>
      </c>
      <c r="X156" s="14">
        <f>IF(ISNA(MATCH(B156,'Metabase Lookup'!$A:$A,0)),"",IF(INDEX('Metabase Lookup'!$D:$D,MATCH(B156,'Metabase Lookup'!$A:$A,0))="","",INDEX('Metabase Lookup'!$D:$D,MATCH(B156,'Metabase Lookup'!$A:$A,0))))</f>
        <v/>
      </c>
      <c r="Y156" s="14">
        <f>IF(ISNUMBER(W156),IF(W156&gt;0,"Yes","No"),"Pending")</f>
        <v/>
      </c>
      <c r="Z156" s="14" t="inlineStr">
        <is>
          <t>TID logged more than once; Driver not identified (OPS account)</t>
        </is>
      </c>
    </row>
    <row r="157">
      <c r="A157" s="14" t="n">
        <v>156</v>
      </c>
      <c r="B157" s="14" t="inlineStr">
        <is>
          <t>TNGDV2609086877050030</t>
        </is>
      </c>
      <c r="C157" s="15" t="inlineStr">
        <is>
          <t>265512564468</t>
        </is>
      </c>
      <c r="D157" s="16" t="n">
        <v>46287.52584490741</v>
      </c>
      <c r="E157" s="17" t="n">
        <v>46287</v>
      </c>
      <c r="F157" s="14" t="inlineStr">
        <is>
          <t>Tue</t>
        </is>
      </c>
      <c r="G157" s="14" t="inlineStr">
        <is>
          <t>KV</t>
        </is>
      </c>
      <c r="H157" s="14" t="inlineStr">
        <is>
          <t>PUC</t>
        </is>
      </c>
      <c r="I157" s="14" t="inlineStr">
        <is>
          <t>PUC - HD - RASHID</t>
        </is>
      </c>
      <c r="J157" s="14" t="inlineStr">
        <is>
          <t>HD (named)</t>
        </is>
      </c>
      <c r="K157" s="14" t="inlineStr">
        <is>
          <t>91779280</t>
        </is>
      </c>
      <c r="L157" s="14" t="n">
        <v>1</v>
      </c>
      <c r="M157" s="14" t="inlineStr">
        <is>
          <t>LM</t>
        </is>
      </c>
      <c r="N157" s="14" t="inlineStr">
        <is>
          <t>Fake Success</t>
        </is>
      </c>
      <c r="O157" s="14" t="inlineStr"/>
      <c r="P157" s="14" t="inlineStr"/>
      <c r="Q157" s="14" t="inlineStr"/>
      <c r="R157" s="14" t="inlineStr">
        <is>
          <t>The parcel was completed on 11/9 but the customer received it a few days later</t>
        </is>
      </c>
      <c r="S157" s="14" t="inlineStr">
        <is>
          <t>Wani</t>
        </is>
      </c>
      <c r="T157" s="14">
        <f>COUNTIF($B$2:$B$499,B157)</f>
        <v/>
      </c>
      <c r="U157" s="14">
        <f>COUNTIF($I$2:$I$499,I157)</f>
        <v/>
      </c>
      <c r="V157" s="14">
        <f>IF(ISNA(MATCH(B157,'Metabase Lookup'!$A:$A,0)),"Not found",IF(INDEX('Metabase Lookup'!$B:$B,MATCH(B157,'Metabase Lookup'!$A:$A,0))="","Pending",INDEX('Metabase Lookup'!$B:$B,MATCH(B157,'Metabase Lookup'!$A:$A,0))))</f>
        <v/>
      </c>
      <c r="W157" s="14">
        <f>IF(ISNA(MATCH(B157,'Metabase Lookup'!$A:$A,0)),"Not found",IF(INDEX('Metabase Lookup'!$C:$C,MATCH(B157,'Metabase Lookup'!$A:$A,0))="","Pending",INDEX('Metabase Lookup'!$C:$C,MATCH(B157,'Metabase Lookup'!$A:$A,0))))</f>
        <v/>
      </c>
      <c r="X157" s="14">
        <f>IF(ISNA(MATCH(B157,'Metabase Lookup'!$A:$A,0)),"",IF(INDEX('Metabase Lookup'!$D:$D,MATCH(B157,'Metabase Lookup'!$A:$A,0))="","",INDEX('Metabase Lookup'!$D:$D,MATCH(B157,'Metabase Lookup'!$A:$A,0))))</f>
        <v/>
      </c>
      <c r="Y157" s="14">
        <f>IF(ISNUMBER(W157),IF(W157&gt;0,"Yes","No"),"Pending")</f>
        <v/>
      </c>
      <c r="Z157" s="14" t="inlineStr"/>
    </row>
    <row r="158">
      <c r="A158" s="14" t="n">
        <v>157</v>
      </c>
      <c r="B158" s="14" t="inlineStr">
        <is>
          <t>TNGDV2609096888689700</t>
        </is>
      </c>
      <c r="C158" s="15" t="inlineStr">
        <is>
          <t>269102611374</t>
        </is>
      </c>
      <c r="D158" s="16" t="n">
        <v>46287.5270949074</v>
      </c>
      <c r="E158" s="17" t="n">
        <v>46287</v>
      </c>
      <c r="F158" s="14" t="inlineStr">
        <is>
          <t>Tue</t>
        </is>
      </c>
      <c r="G158" s="14" t="inlineStr">
        <is>
          <t>Southern</t>
        </is>
      </c>
      <c r="H158" s="14" t="inlineStr">
        <is>
          <t>TRM</t>
        </is>
      </c>
      <c r="I158" s="14" t="inlineStr">
        <is>
          <t>JUNAI DAH</t>
        </is>
      </c>
      <c r="J158" s="14" t="inlineStr">
        <is>
          <t>Name only (no hub/code)</t>
        </is>
      </c>
      <c r="K158" s="14" t="inlineStr">
        <is>
          <t>91795125</t>
        </is>
      </c>
      <c r="L158" s="14" t="n">
        <v>1</v>
      </c>
      <c r="M158" s="14" t="inlineStr">
        <is>
          <t>LM</t>
        </is>
      </c>
      <c r="N158" s="14" t="inlineStr">
        <is>
          <t>Fake Success</t>
        </is>
      </c>
      <c r="O158" s="14" t="inlineStr"/>
      <c r="P158" s="14" t="inlineStr"/>
      <c r="Q158" s="14" t="inlineStr"/>
      <c r="R158" s="14" t="inlineStr">
        <is>
          <t>Driver success the delivery but the customer did not receive the parcel on 13/9/2026. After complaint was made, REC already revert the status and will resume delivery</t>
        </is>
      </c>
      <c r="S158" s="14" t="inlineStr">
        <is>
          <t>Daus</t>
        </is>
      </c>
      <c r="T158" s="14">
        <f>COUNTIF($B$2:$B$499,B158)</f>
        <v/>
      </c>
      <c r="U158" s="14">
        <f>COUNTIF($I$2:$I$499,I158)</f>
        <v/>
      </c>
      <c r="V158" s="14">
        <f>IF(ISNA(MATCH(B158,'Metabase Lookup'!$A:$A,0)),"Not found",IF(INDEX('Metabase Lookup'!$B:$B,MATCH(B158,'Metabase Lookup'!$A:$A,0))="","Pending",INDEX('Metabase Lookup'!$B:$B,MATCH(B158,'Metabase Lookup'!$A:$A,0))))</f>
        <v/>
      </c>
      <c r="W158" s="14">
        <f>IF(ISNA(MATCH(B158,'Metabase Lookup'!$A:$A,0)),"Not found",IF(INDEX('Metabase Lookup'!$C:$C,MATCH(B158,'Metabase Lookup'!$A:$A,0))="","Pending",INDEX('Metabase Lookup'!$C:$C,MATCH(B158,'Metabase Lookup'!$A:$A,0))))</f>
        <v/>
      </c>
      <c r="X158" s="14">
        <f>IF(ISNA(MATCH(B158,'Metabase Lookup'!$A:$A,0)),"",IF(INDEX('Metabase Lookup'!$D:$D,MATCH(B158,'Metabase Lookup'!$A:$A,0))="","",INDEX('Metabase Lookup'!$D:$D,MATCH(B158,'Metabase Lookup'!$A:$A,0))))</f>
        <v/>
      </c>
      <c r="Y158" s="14">
        <f>IF(ISNUMBER(W158),IF(W158&gt;0,"Yes","No"),"Pending")</f>
        <v/>
      </c>
      <c r="Z158" s="14" t="inlineStr"/>
    </row>
    <row r="159">
      <c r="A159" s="14" t="n">
        <v>158</v>
      </c>
      <c r="B159" s="14" t="inlineStr">
        <is>
          <t>TNGE125896323458678000</t>
        </is>
      </c>
      <c r="C159" s="15" t="inlineStr">
        <is>
          <t>260372615559</t>
        </is>
      </c>
      <c r="D159" s="16" t="n">
        <v>46287.53503472222</v>
      </c>
      <c r="E159" s="17" t="n">
        <v>46287</v>
      </c>
      <c r="F159" s="14" t="inlineStr">
        <is>
          <t>Tue</t>
        </is>
      </c>
      <c r="G159" s="14" t="inlineStr">
        <is>
          <t>Southern</t>
        </is>
      </c>
      <c r="H159" s="14" t="inlineStr">
        <is>
          <t>MAS</t>
        </is>
      </c>
      <c r="I159" s="14" t="inlineStr">
        <is>
          <t>MAS - ID - ZULKARNIAN</t>
        </is>
      </c>
      <c r="J159" s="14" t="inlineStr">
        <is>
          <t>ID (named driver)</t>
        </is>
      </c>
      <c r="K159" s="14" t="inlineStr">
        <is>
          <t>91722238</t>
        </is>
      </c>
      <c r="L159" s="14" t="n">
        <v>1</v>
      </c>
      <c r="M159" s="14" t="inlineStr">
        <is>
          <t>LM</t>
        </is>
      </c>
      <c r="N159" s="14" t="inlineStr">
        <is>
          <t>Fake Success</t>
        </is>
      </c>
      <c r="O159" s="14" t="inlineStr"/>
      <c r="P159" s="14" t="inlineStr"/>
      <c r="Q159" s="14" t="inlineStr"/>
      <c r="R159" s="14" t="inlineStr">
        <is>
          <t>Driver completed the delivery on 5/9/2026 but the customer did not receive it. After complaint was made, customer claimed the driver already compensate the customer on 22/9/2026</t>
        </is>
      </c>
      <c r="S159" s="14" t="inlineStr">
        <is>
          <t>Daus</t>
        </is>
      </c>
      <c r="T159" s="14">
        <f>COUNTIF($B$2:$B$499,B159)</f>
        <v/>
      </c>
      <c r="U159" s="14">
        <f>COUNTIF($I$2:$I$499,I159)</f>
        <v/>
      </c>
      <c r="V159" s="14">
        <f>IF(ISNA(MATCH(B159,'Metabase Lookup'!$A:$A,0)),"Not found",IF(INDEX('Metabase Lookup'!$B:$B,MATCH(B159,'Metabase Lookup'!$A:$A,0))="","Pending",INDEX('Metabase Lookup'!$B:$B,MATCH(B159,'Metabase Lookup'!$A:$A,0))))</f>
        <v/>
      </c>
      <c r="W159" s="14">
        <f>IF(ISNA(MATCH(B159,'Metabase Lookup'!$A:$A,0)),"Not found",IF(INDEX('Metabase Lookup'!$C:$C,MATCH(B159,'Metabase Lookup'!$A:$A,0))="","Pending",INDEX('Metabase Lookup'!$C:$C,MATCH(B159,'Metabase Lookup'!$A:$A,0))))</f>
        <v/>
      </c>
      <c r="X159" s="14">
        <f>IF(ISNA(MATCH(B159,'Metabase Lookup'!$A:$A,0)),"",IF(INDEX('Metabase Lookup'!$D:$D,MATCH(B159,'Metabase Lookup'!$A:$A,0))="","",INDEX('Metabase Lookup'!$D:$D,MATCH(B159,'Metabase Lookup'!$A:$A,0))))</f>
        <v/>
      </c>
      <c r="Y159" s="14">
        <f>IF(ISNUMBER(W159),IF(W159&gt;0,"Yes","No"),"Pending")</f>
        <v/>
      </c>
      <c r="Z159" s="14" t="inlineStr"/>
    </row>
    <row r="160">
      <c r="A160" s="14" t="n">
        <v>159</v>
      </c>
      <c r="B160" s="14" t="inlineStr">
        <is>
          <t>NVMYANIMO000001482</t>
        </is>
      </c>
      <c r="C160" s="15" t="inlineStr">
        <is>
          <t>266212652199</t>
        </is>
      </c>
      <c r="D160" s="16" t="n">
        <v>46287.53547453704</v>
      </c>
      <c r="E160" s="17" t="n">
        <v>46287</v>
      </c>
      <c r="F160" s="14" t="inlineStr">
        <is>
          <t>Tue</t>
        </is>
      </c>
      <c r="G160" s="14" t="inlineStr">
        <is>
          <t>KV</t>
        </is>
      </c>
      <c r="H160" s="14" t="inlineStr">
        <is>
          <t>SUN</t>
        </is>
      </c>
      <c r="I160" s="14" t="inlineStr">
        <is>
          <t>SUN - OPS - ADAM</t>
        </is>
      </c>
      <c r="J160" s="14" t="inlineStr">
        <is>
          <t>OPS (generic hub account)</t>
        </is>
      </c>
      <c r="K160" s="14" t="inlineStr">
        <is>
          <t>91837504, 91853671</t>
        </is>
      </c>
      <c r="L160" s="14" t="n">
        <v>2</v>
      </c>
      <c r="M160" s="14" t="inlineStr">
        <is>
          <t>LM</t>
        </is>
      </c>
      <c r="N160" s="14" t="inlineStr">
        <is>
          <t>Fake Fail</t>
        </is>
      </c>
      <c r="O160" s="14" t="inlineStr">
        <is>
          <t>Invalid location / site photo</t>
        </is>
      </c>
      <c r="P160" s="14" t="inlineStr">
        <is>
          <t>Yes</t>
        </is>
      </c>
      <c r="Q160" s="14" t="inlineStr">
        <is>
          <t>No</t>
        </is>
      </c>
      <c r="R160" s="14" t="inlineStr">
        <is>
          <t>POD not customer house</t>
        </is>
      </c>
      <c r="S160" s="14" t="inlineStr">
        <is>
          <t>Syafiq</t>
        </is>
      </c>
      <c r="T160" s="14">
        <f>COUNTIF($B$2:$B$499,B160)</f>
        <v/>
      </c>
      <c r="U160" s="14">
        <f>COUNTIF($I$2:$I$499,I160)</f>
        <v/>
      </c>
      <c r="V160" s="14">
        <f>IF(ISNA(MATCH(B160,'Metabase Lookup'!$A:$A,0)),"Not found",IF(INDEX('Metabase Lookup'!$B:$B,MATCH(B160,'Metabase Lookup'!$A:$A,0))="","Pending",INDEX('Metabase Lookup'!$B:$B,MATCH(B160,'Metabase Lookup'!$A:$A,0))))</f>
        <v/>
      </c>
      <c r="W160" s="14">
        <f>IF(ISNA(MATCH(B160,'Metabase Lookup'!$A:$A,0)),"Not found",IF(INDEX('Metabase Lookup'!$C:$C,MATCH(B160,'Metabase Lookup'!$A:$A,0))="","Pending",INDEX('Metabase Lookup'!$C:$C,MATCH(B160,'Metabase Lookup'!$A:$A,0))))</f>
        <v/>
      </c>
      <c r="X160" s="14">
        <f>IF(ISNA(MATCH(B160,'Metabase Lookup'!$A:$A,0)),"",IF(INDEX('Metabase Lookup'!$D:$D,MATCH(B160,'Metabase Lookup'!$A:$A,0))="","",INDEX('Metabase Lookup'!$D:$D,MATCH(B160,'Metabase Lookup'!$A:$A,0))))</f>
        <v/>
      </c>
      <c r="Y160" s="14">
        <f>IF(ISNUMBER(W160),IF(W160&gt;0,"Yes","No"),"Pending")</f>
        <v/>
      </c>
      <c r="Z160" s="14" t="inlineStr">
        <is>
          <t>Multiple route IDs; TID had stray spaces/line breaks (cleaned); Driver not identified (OPS account)</t>
        </is>
      </c>
    </row>
    <row r="161">
      <c r="A161" s="14" t="n">
        <v>160</v>
      </c>
      <c r="B161" s="14" t="inlineStr">
        <is>
          <t>ZMP212817945-9249</t>
        </is>
      </c>
      <c r="C161" s="15" t="inlineStr">
        <is>
          <t>269212656319</t>
        </is>
      </c>
      <c r="D161" s="16" t="n">
        <v>46287.54160879629</v>
      </c>
      <c r="E161" s="17" t="n">
        <v>46287</v>
      </c>
      <c r="F161" s="14" t="inlineStr">
        <is>
          <t>Tue</t>
        </is>
      </c>
      <c r="G161" s="14" t="inlineStr">
        <is>
          <t>KV</t>
        </is>
      </c>
      <c r="H161" s="14" t="inlineStr">
        <is>
          <t>SEG</t>
        </is>
      </c>
      <c r="I161" s="14" t="inlineStr">
        <is>
          <t>SEG - OPS - STATION HEAD</t>
        </is>
      </c>
      <c r="J161" s="14" t="inlineStr">
        <is>
          <t>OPS (generic hub account)</t>
        </is>
      </c>
      <c r="K161" s="14" t="inlineStr">
        <is>
          <t>91859281</t>
        </is>
      </c>
      <c r="L161" s="14" t="n">
        <v>1</v>
      </c>
      <c r="M161" s="14" t="inlineStr">
        <is>
          <t>LM</t>
        </is>
      </c>
      <c r="N161" s="14" t="inlineStr">
        <is>
          <t>Fake Fail</t>
        </is>
      </c>
      <c r="O161" s="14" t="inlineStr">
        <is>
          <t>Invalid call log (unspecified)</t>
        </is>
      </c>
      <c r="P161" s="14" t="inlineStr">
        <is>
          <t>Yes</t>
        </is>
      </c>
      <c r="Q161" s="14" t="inlineStr">
        <is>
          <t>No</t>
        </is>
      </c>
      <c r="R161" s="14" t="inlineStr">
        <is>
          <t>Call log &amp; site photo are not the customer's</t>
        </is>
      </c>
      <c r="S161" s="14" t="inlineStr">
        <is>
          <t>Wani</t>
        </is>
      </c>
      <c r="T161" s="14">
        <f>COUNTIF($B$2:$B$499,B161)</f>
        <v/>
      </c>
      <c r="U161" s="14">
        <f>COUNTIF($I$2:$I$499,I161)</f>
        <v/>
      </c>
      <c r="V161" s="14">
        <f>IF(ISNA(MATCH(B161,'Metabase Lookup'!$A:$A,0)),"Not found",IF(INDEX('Metabase Lookup'!$B:$B,MATCH(B161,'Metabase Lookup'!$A:$A,0))="","Pending",INDEX('Metabase Lookup'!$B:$B,MATCH(B161,'Metabase Lookup'!$A:$A,0))))</f>
        <v/>
      </c>
      <c r="W161" s="14">
        <f>IF(ISNA(MATCH(B161,'Metabase Lookup'!$A:$A,0)),"Not found",IF(INDEX('Metabase Lookup'!$C:$C,MATCH(B161,'Metabase Lookup'!$A:$A,0))="","Pending",INDEX('Metabase Lookup'!$C:$C,MATCH(B161,'Metabase Lookup'!$A:$A,0))))</f>
        <v/>
      </c>
      <c r="X161" s="14">
        <f>IF(ISNA(MATCH(B161,'Metabase Lookup'!$A:$A,0)),"",IF(INDEX('Metabase Lookup'!$D:$D,MATCH(B161,'Metabase Lookup'!$A:$A,0))="","",INDEX('Metabase Lookup'!$D:$D,MATCH(B161,'Metabase Lookup'!$A:$A,0))))</f>
        <v/>
      </c>
      <c r="Y161" s="14">
        <f>IF(ISNUMBER(W161),IF(W161&gt;0,"Yes","No"),"Pending")</f>
        <v/>
      </c>
      <c r="Z161" s="14" t="inlineStr">
        <is>
          <t>Driver not identified (OPS account)</t>
        </is>
      </c>
    </row>
    <row r="162">
      <c r="A162" s="14" t="n">
        <v>161</v>
      </c>
      <c r="B162" s="14" t="inlineStr">
        <is>
          <t>AEMYA000620728</t>
        </is>
      </c>
      <c r="C162" s="15" t="inlineStr">
        <is>
          <t>268122587333</t>
        </is>
      </c>
      <c r="D162" s="16" t="n">
        <v>46287.54596064815</v>
      </c>
      <c r="E162" s="17" t="n">
        <v>46287</v>
      </c>
      <c r="F162" s="14" t="inlineStr">
        <is>
          <t>Tue</t>
        </is>
      </c>
      <c r="G162" s="14" t="inlineStr">
        <is>
          <t>KV</t>
        </is>
      </c>
      <c r="H162" s="14" t="inlineStr">
        <is>
          <t>OUG</t>
        </is>
      </c>
      <c r="I162" s="14" t="inlineStr">
        <is>
          <t>OUG - ID - MUHAMAR</t>
        </is>
      </c>
      <c r="J162" s="14" t="inlineStr">
        <is>
          <t>ID (named driver)</t>
        </is>
      </c>
      <c r="K162" s="14" t="inlineStr">
        <is>
          <t>91785855</t>
        </is>
      </c>
      <c r="L162" s="14" t="n">
        <v>1</v>
      </c>
      <c r="M162" s="14" t="inlineStr">
        <is>
          <t>LM</t>
        </is>
      </c>
      <c r="N162" s="14" t="inlineStr">
        <is>
          <t>Fake Fail</t>
        </is>
      </c>
      <c r="O162" s="14" t="inlineStr">
        <is>
          <t>Customer disputes attempt</t>
        </is>
      </c>
      <c r="P162" s="14" t="inlineStr">
        <is>
          <t>No</t>
        </is>
      </c>
      <c r="Q162" s="14" t="inlineStr">
        <is>
          <t>No</t>
        </is>
      </c>
      <c r="R162" s="14" t="inlineStr">
        <is>
          <t>Driver deliver the parcel to wrong block on 12/9/2026. After complaint was made, customer already receive the parcel on 22/9/2026</t>
        </is>
      </c>
      <c r="S162" s="14" t="inlineStr">
        <is>
          <t>Daus</t>
        </is>
      </c>
      <c r="T162" s="14">
        <f>COUNTIF($B$2:$B$499,B162)</f>
        <v/>
      </c>
      <c r="U162" s="14">
        <f>COUNTIF($I$2:$I$499,I162)</f>
        <v/>
      </c>
      <c r="V162" s="14">
        <f>IF(ISNA(MATCH(B162,'Metabase Lookup'!$A:$A,0)),"Not found",IF(INDEX('Metabase Lookup'!$B:$B,MATCH(B162,'Metabase Lookup'!$A:$A,0))="","Pending",INDEX('Metabase Lookup'!$B:$B,MATCH(B162,'Metabase Lookup'!$A:$A,0))))</f>
        <v/>
      </c>
      <c r="W162" s="14">
        <f>IF(ISNA(MATCH(B162,'Metabase Lookup'!$A:$A,0)),"Not found",IF(INDEX('Metabase Lookup'!$C:$C,MATCH(B162,'Metabase Lookup'!$A:$A,0))="","Pending",INDEX('Metabase Lookup'!$C:$C,MATCH(B162,'Metabase Lookup'!$A:$A,0))))</f>
        <v/>
      </c>
      <c r="X162" s="14">
        <f>IF(ISNA(MATCH(B162,'Metabase Lookup'!$A:$A,0)),"",IF(INDEX('Metabase Lookup'!$D:$D,MATCH(B162,'Metabase Lookup'!$A:$A,0))="","",INDEX('Metabase Lookup'!$D:$D,MATCH(B162,'Metabase Lookup'!$A:$A,0))))</f>
        <v/>
      </c>
      <c r="Y162" s="14">
        <f>IF(ISNUMBER(W162),IF(W162&gt;0,"Yes","No"),"Pending")</f>
        <v/>
      </c>
      <c r="Z162" s="14" t="inlineStr"/>
    </row>
    <row r="163">
      <c r="A163" s="14" t="n">
        <v>162</v>
      </c>
      <c r="B163" s="14" t="inlineStr">
        <is>
          <t>JYHMYNJVM2026090738X</t>
        </is>
      </c>
      <c r="C163" s="15" t="inlineStr">
        <is>
          <t>265152658968</t>
        </is>
      </c>
      <c r="D163" s="16" t="n">
        <v>46287.54638888889</v>
      </c>
      <c r="E163" s="17" t="n">
        <v>46287</v>
      </c>
      <c r="F163" s="14" t="inlineStr">
        <is>
          <t>Tue</t>
        </is>
      </c>
      <c r="G163" s="14" t="inlineStr">
        <is>
          <t>Southern</t>
        </is>
      </c>
      <c r="H163" s="14" t="inlineStr">
        <is>
          <t>TRM</t>
        </is>
      </c>
      <c r="I163" s="14" t="inlineStr">
        <is>
          <t>TRM - ID - AZREEN</t>
        </is>
      </c>
      <c r="J163" s="14" t="inlineStr">
        <is>
          <t>ID (named driver)</t>
        </is>
      </c>
      <c r="K163" s="14" t="inlineStr">
        <is>
          <t>91857327</t>
        </is>
      </c>
      <c r="L163" s="14" t="n">
        <v>1</v>
      </c>
      <c r="M163" s="14" t="inlineStr">
        <is>
          <t>LM</t>
        </is>
      </c>
      <c r="N163" s="14" t="inlineStr">
        <is>
          <t>Fake Fail</t>
        </is>
      </c>
      <c r="O163" s="14" t="inlineStr">
        <is>
          <t>Wrong number called</t>
        </is>
      </c>
      <c r="P163" s="14" t="inlineStr">
        <is>
          <t>No</t>
        </is>
      </c>
      <c r="Q163" s="14" t="inlineStr">
        <is>
          <t>No</t>
        </is>
      </c>
      <c r="R163" s="14" t="inlineStr">
        <is>
          <t>Invalid delivery attempt. POD invalid: Call log not customer's number</t>
        </is>
      </c>
      <c r="S163" s="14" t="inlineStr">
        <is>
          <t>Putri</t>
        </is>
      </c>
      <c r="T163" s="14">
        <f>COUNTIF($B$2:$B$499,B163)</f>
        <v/>
      </c>
      <c r="U163" s="14">
        <f>COUNTIF($I$2:$I$499,I163)</f>
        <v/>
      </c>
      <c r="V163" s="14">
        <f>IF(ISNA(MATCH(B163,'Metabase Lookup'!$A:$A,0)),"Not found",IF(INDEX('Metabase Lookup'!$B:$B,MATCH(B163,'Metabase Lookup'!$A:$A,0))="","Pending",INDEX('Metabase Lookup'!$B:$B,MATCH(B163,'Metabase Lookup'!$A:$A,0))))</f>
        <v/>
      </c>
      <c r="W163" s="14">
        <f>IF(ISNA(MATCH(B163,'Metabase Lookup'!$A:$A,0)),"Not found",IF(INDEX('Metabase Lookup'!$C:$C,MATCH(B163,'Metabase Lookup'!$A:$A,0))="","Pending",INDEX('Metabase Lookup'!$C:$C,MATCH(B163,'Metabase Lookup'!$A:$A,0))))</f>
        <v/>
      </c>
      <c r="X163" s="14">
        <f>IF(ISNA(MATCH(B163,'Metabase Lookup'!$A:$A,0)),"",IF(INDEX('Metabase Lookup'!$D:$D,MATCH(B163,'Metabase Lookup'!$A:$A,0))="","",INDEX('Metabase Lookup'!$D:$D,MATCH(B163,'Metabase Lookup'!$A:$A,0))))</f>
        <v/>
      </c>
      <c r="Y163" s="14">
        <f>IF(ISNUMBER(W163),IF(W163&gt;0,"Yes","No"),"Pending")</f>
        <v/>
      </c>
      <c r="Z163" s="14" t="inlineStr"/>
    </row>
    <row r="164">
      <c r="A164" s="14" t="n">
        <v>163</v>
      </c>
      <c r="B164" s="14" t="inlineStr">
        <is>
          <t>WNJMY00915882908</t>
        </is>
      </c>
      <c r="C164" s="15" t="inlineStr">
        <is>
          <t>262362659423</t>
        </is>
      </c>
      <c r="D164" s="16" t="n">
        <v>46287.54844907407</v>
      </c>
      <c r="E164" s="17" t="n">
        <v>46287</v>
      </c>
      <c r="F164" s="14" t="inlineStr">
        <is>
          <t>Tue</t>
        </is>
      </c>
      <c r="G164" s="14" t="inlineStr">
        <is>
          <t>East MY</t>
        </is>
      </c>
      <c r="H164" s="14" t="inlineStr">
        <is>
          <t>BKW</t>
        </is>
      </c>
      <c r="I164" s="14" t="inlineStr">
        <is>
          <t>BKW - OPS - SELFCOLLECT</t>
        </is>
      </c>
      <c r="J164" s="14" t="inlineStr">
        <is>
          <t>OPS (generic hub account)</t>
        </is>
      </c>
      <c r="K164" s="14" t="inlineStr">
        <is>
          <t>91836350, 91859979</t>
        </is>
      </c>
      <c r="L164" s="14" t="n">
        <v>2</v>
      </c>
      <c r="M164" s="14" t="inlineStr">
        <is>
          <t>LM</t>
        </is>
      </c>
      <c r="N164" s="14" t="inlineStr">
        <is>
          <t>Fake Fail</t>
        </is>
      </c>
      <c r="O164" s="14" t="inlineStr">
        <is>
          <t>Invalid POD (no detail)</t>
        </is>
      </c>
      <c r="P164" s="14" t="inlineStr">
        <is>
          <t>No</t>
        </is>
      </c>
      <c r="Q164" s="14" t="inlineStr">
        <is>
          <t>No</t>
        </is>
      </c>
      <c r="R164" s="14" t="inlineStr">
        <is>
          <t>invalid POD</t>
        </is>
      </c>
      <c r="S164" s="14" t="inlineStr">
        <is>
          <t>Naveen</t>
        </is>
      </c>
      <c r="T164" s="14">
        <f>COUNTIF($B$2:$B$499,B164)</f>
        <v/>
      </c>
      <c r="U164" s="14">
        <f>COUNTIF($I$2:$I$499,I164)</f>
        <v/>
      </c>
      <c r="V164" s="14">
        <f>IF(ISNA(MATCH(B164,'Metabase Lookup'!$A:$A,0)),"Not found",IF(INDEX('Metabase Lookup'!$B:$B,MATCH(B164,'Metabase Lookup'!$A:$A,0))="","Pending",INDEX('Metabase Lookup'!$B:$B,MATCH(B164,'Metabase Lookup'!$A:$A,0))))</f>
        <v/>
      </c>
      <c r="W164" s="14">
        <f>IF(ISNA(MATCH(B164,'Metabase Lookup'!$A:$A,0)),"Not found",IF(INDEX('Metabase Lookup'!$C:$C,MATCH(B164,'Metabase Lookup'!$A:$A,0))="","Pending",INDEX('Metabase Lookup'!$C:$C,MATCH(B164,'Metabase Lookup'!$A:$A,0))))</f>
        <v/>
      </c>
      <c r="X164" s="14">
        <f>IF(ISNA(MATCH(B164,'Metabase Lookup'!$A:$A,0)),"",IF(INDEX('Metabase Lookup'!$D:$D,MATCH(B164,'Metabase Lookup'!$A:$A,0))="","",INDEX('Metabase Lookup'!$D:$D,MATCH(B164,'Metabase Lookup'!$A:$A,0))))</f>
        <v/>
      </c>
      <c r="Y164" s="14">
        <f>IF(ISNUMBER(W164),IF(W164&gt;0,"Yes","No"),"Pending")</f>
        <v/>
      </c>
      <c r="Z164" s="14" t="inlineStr">
        <is>
          <t>Multiple route IDs; Driver not identified (OPS account)</t>
        </is>
      </c>
    </row>
    <row r="165">
      <c r="A165" s="14" t="n">
        <v>164</v>
      </c>
      <c r="B165" s="14" t="inlineStr">
        <is>
          <t>NVMYMSNCK000003762</t>
        </is>
      </c>
      <c r="C165" s="15" t="inlineStr">
        <is>
          <t>267272622221</t>
        </is>
      </c>
      <c r="D165" s="16" t="n">
        <v>46287.55049768519</v>
      </c>
      <c r="E165" s="17" t="n">
        <v>46287</v>
      </c>
      <c r="F165" s="14" t="inlineStr">
        <is>
          <t>Tue</t>
        </is>
      </c>
      <c r="G165" s="14" t="inlineStr">
        <is>
          <t>KV</t>
        </is>
      </c>
      <c r="H165" s="14" t="inlineStr">
        <is>
          <t>BTR</t>
        </is>
      </c>
      <c r="I165" s="14" t="inlineStr">
        <is>
          <t>BTR - ID - KHAIRAN</t>
        </is>
      </c>
      <c r="J165" s="14" t="inlineStr">
        <is>
          <t>ID (named driver)</t>
        </is>
      </c>
      <c r="K165" s="14" t="inlineStr">
        <is>
          <t>91818675</t>
        </is>
      </c>
      <c r="L165" s="14" t="n">
        <v>1</v>
      </c>
      <c r="M165" s="14" t="inlineStr">
        <is>
          <t>LM</t>
        </is>
      </c>
      <c r="N165" s="14" t="inlineStr">
        <is>
          <t>Fake Success</t>
        </is>
      </c>
      <c r="O165" s="14" t="inlineStr"/>
      <c r="P165" s="14" t="inlineStr"/>
      <c r="Q165" s="14" t="inlineStr"/>
      <c r="R165" s="14" t="inlineStr">
        <is>
          <t>Driver success the delivery but provide invalid POD on 16/9/2026. After complaint was made, REC claimed parcel has been delivered to customer</t>
        </is>
      </c>
      <c r="S165" s="14" t="inlineStr">
        <is>
          <t>Daus</t>
        </is>
      </c>
      <c r="T165" s="14">
        <f>COUNTIF($B$2:$B$499,B165)</f>
        <v/>
      </c>
      <c r="U165" s="14">
        <f>COUNTIF($I$2:$I$499,I165)</f>
        <v/>
      </c>
      <c r="V165" s="14">
        <f>IF(ISNA(MATCH(B165,'Metabase Lookup'!$A:$A,0)),"Not found",IF(INDEX('Metabase Lookup'!$B:$B,MATCH(B165,'Metabase Lookup'!$A:$A,0))="","Pending",INDEX('Metabase Lookup'!$B:$B,MATCH(B165,'Metabase Lookup'!$A:$A,0))))</f>
        <v/>
      </c>
      <c r="W165" s="14">
        <f>IF(ISNA(MATCH(B165,'Metabase Lookup'!$A:$A,0)),"Not found",IF(INDEX('Metabase Lookup'!$C:$C,MATCH(B165,'Metabase Lookup'!$A:$A,0))="","Pending",INDEX('Metabase Lookup'!$C:$C,MATCH(B165,'Metabase Lookup'!$A:$A,0))))</f>
        <v/>
      </c>
      <c r="X165" s="14">
        <f>IF(ISNA(MATCH(B165,'Metabase Lookup'!$A:$A,0)),"",IF(INDEX('Metabase Lookup'!$D:$D,MATCH(B165,'Metabase Lookup'!$A:$A,0))="","",INDEX('Metabase Lookup'!$D:$D,MATCH(B165,'Metabase Lookup'!$A:$A,0))))</f>
        <v/>
      </c>
      <c r="Y165" s="14">
        <f>IF(ISNUMBER(W165),IF(W165&gt;0,"Yes","No"),"Pending")</f>
        <v/>
      </c>
      <c r="Z165" s="14" t="inlineStr"/>
    </row>
    <row r="166">
      <c r="A166" s="14" t="n">
        <v>165</v>
      </c>
      <c r="B166" s="14" t="inlineStr">
        <is>
          <t>NVMYZZTAP000002334</t>
        </is>
      </c>
      <c r="C166" s="15" t="inlineStr">
        <is>
          <t>263502657913</t>
        </is>
      </c>
      <c r="D166" s="16" t="n">
        <v>46287.55256944444</v>
      </c>
      <c r="E166" s="17" t="n">
        <v>46287</v>
      </c>
      <c r="F166" s="14" t="inlineStr">
        <is>
          <t>Tue</t>
        </is>
      </c>
      <c r="G166" s="14" t="inlineStr">
        <is>
          <t>KV</t>
        </is>
      </c>
      <c r="H166" s="14" t="inlineStr">
        <is>
          <t>KSR</t>
        </is>
      </c>
      <c r="I166" s="14" t="inlineStr">
        <is>
          <t>KSR - ID - AZRI</t>
        </is>
      </c>
      <c r="J166" s="14" t="inlineStr">
        <is>
          <t>ID (named driver)</t>
        </is>
      </c>
      <c r="K166" s="14" t="inlineStr">
        <is>
          <t>91840183, 91848462</t>
        </is>
      </c>
      <c r="L166" s="14" t="n">
        <v>2</v>
      </c>
      <c r="M166" s="14" t="inlineStr">
        <is>
          <t>LM</t>
        </is>
      </c>
      <c r="N166" s="14" t="inlineStr">
        <is>
          <t>Fake Fail</t>
        </is>
      </c>
      <c r="O166" s="14" t="inlineStr">
        <is>
          <t>Invalid POD (no detail)</t>
        </is>
      </c>
      <c r="P166" s="14" t="inlineStr">
        <is>
          <t>No</t>
        </is>
      </c>
      <c r="Q166" s="14" t="inlineStr">
        <is>
          <t>No</t>
        </is>
      </c>
      <c r="R166" s="14" t="inlineStr">
        <is>
          <t>Invalid POD</t>
        </is>
      </c>
      <c r="S166" s="14" t="inlineStr">
        <is>
          <t>Naveen</t>
        </is>
      </c>
      <c r="T166" s="14">
        <f>COUNTIF($B$2:$B$499,B166)</f>
        <v/>
      </c>
      <c r="U166" s="14">
        <f>COUNTIF($I$2:$I$499,I166)</f>
        <v/>
      </c>
      <c r="V166" s="14">
        <f>IF(ISNA(MATCH(B166,'Metabase Lookup'!$A:$A,0)),"Not found",IF(INDEX('Metabase Lookup'!$B:$B,MATCH(B166,'Metabase Lookup'!$A:$A,0))="","Pending",INDEX('Metabase Lookup'!$B:$B,MATCH(B166,'Metabase Lookup'!$A:$A,0))))</f>
        <v/>
      </c>
      <c r="W166" s="14">
        <f>IF(ISNA(MATCH(B166,'Metabase Lookup'!$A:$A,0)),"Not found",IF(INDEX('Metabase Lookup'!$C:$C,MATCH(B166,'Metabase Lookup'!$A:$A,0))="","Pending",INDEX('Metabase Lookup'!$C:$C,MATCH(B166,'Metabase Lookup'!$A:$A,0))))</f>
        <v/>
      </c>
      <c r="X166" s="14">
        <f>IF(ISNA(MATCH(B166,'Metabase Lookup'!$A:$A,0)),"",IF(INDEX('Metabase Lookup'!$D:$D,MATCH(B166,'Metabase Lookup'!$A:$A,0))="","",INDEX('Metabase Lookup'!$D:$D,MATCH(B166,'Metabase Lookup'!$A:$A,0))))</f>
        <v/>
      </c>
      <c r="Y166" s="14">
        <f>IF(ISNUMBER(W166),IF(W166&gt;0,"Yes","No"),"Pending")</f>
        <v/>
      </c>
      <c r="Z166" s="14" t="inlineStr">
        <is>
          <t>Multiple route IDs</t>
        </is>
      </c>
    </row>
    <row r="167">
      <c r="A167" s="14" t="n">
        <v>166</v>
      </c>
      <c r="B167" s="14" t="inlineStr">
        <is>
          <t>TNGDV2609116876150630</t>
        </is>
      </c>
      <c r="C167" s="15" t="inlineStr">
        <is>
          <t>264882628888</t>
        </is>
      </c>
      <c r="D167" s="16" t="n">
        <v>46287.55420138889</v>
      </c>
      <c r="E167" s="17" t="n">
        <v>46287</v>
      </c>
      <c r="F167" s="14" t="inlineStr">
        <is>
          <t>Tue</t>
        </is>
      </c>
      <c r="G167" s="14" t="inlineStr">
        <is>
          <t>North West</t>
        </is>
      </c>
      <c r="H167" s="14" t="inlineStr">
        <is>
          <t>TIN</t>
        </is>
      </c>
      <c r="I167" s="14" t="inlineStr">
        <is>
          <t>TIN - HD - AKHIYAR</t>
        </is>
      </c>
      <c r="J167" s="14" t="inlineStr">
        <is>
          <t>HD (named)</t>
        </is>
      </c>
      <c r="K167" s="14" t="inlineStr">
        <is>
          <t>91824945</t>
        </is>
      </c>
      <c r="L167" s="14" t="n">
        <v>1</v>
      </c>
      <c r="M167" s="14" t="inlineStr">
        <is>
          <t>LM</t>
        </is>
      </c>
      <c r="N167" s="14" t="inlineStr">
        <is>
          <t>Fake Success</t>
        </is>
      </c>
      <c r="O167" s="14" t="inlineStr"/>
      <c r="P167" s="14" t="inlineStr"/>
      <c r="Q167" s="14" t="inlineStr"/>
      <c r="R167" s="14" t="inlineStr">
        <is>
          <t>POD provided was invalid and customer did not receive on 17/9/2026. After complaint was made, customer claimed already receive on 21/9/2026</t>
        </is>
      </c>
      <c r="S167" s="14" t="inlineStr">
        <is>
          <t>Daus</t>
        </is>
      </c>
      <c r="T167" s="14">
        <f>COUNTIF($B$2:$B$499,B167)</f>
        <v/>
      </c>
      <c r="U167" s="14">
        <f>COUNTIF($I$2:$I$499,I167)</f>
        <v/>
      </c>
      <c r="V167" s="14">
        <f>IF(ISNA(MATCH(B167,'Metabase Lookup'!$A:$A,0)),"Not found",IF(INDEX('Metabase Lookup'!$B:$B,MATCH(B167,'Metabase Lookup'!$A:$A,0))="","Pending",INDEX('Metabase Lookup'!$B:$B,MATCH(B167,'Metabase Lookup'!$A:$A,0))))</f>
        <v/>
      </c>
      <c r="W167" s="14">
        <f>IF(ISNA(MATCH(B167,'Metabase Lookup'!$A:$A,0)),"Not found",IF(INDEX('Metabase Lookup'!$C:$C,MATCH(B167,'Metabase Lookup'!$A:$A,0))="","Pending",INDEX('Metabase Lookup'!$C:$C,MATCH(B167,'Metabase Lookup'!$A:$A,0))))</f>
        <v/>
      </c>
      <c r="X167" s="14">
        <f>IF(ISNA(MATCH(B167,'Metabase Lookup'!$A:$A,0)),"",IF(INDEX('Metabase Lookup'!$D:$D,MATCH(B167,'Metabase Lookup'!$A:$A,0))="","",INDEX('Metabase Lookup'!$D:$D,MATCH(B167,'Metabase Lookup'!$A:$A,0))))</f>
        <v/>
      </c>
      <c r="Y167" s="14">
        <f>IF(ISNUMBER(W167),IF(W167&gt;0,"Yes","No"),"Pending")</f>
        <v/>
      </c>
      <c r="Z167" s="14" t="inlineStr"/>
    </row>
    <row r="168">
      <c r="A168" s="14" t="n">
        <v>167</v>
      </c>
      <c r="B168" s="14" t="inlineStr">
        <is>
          <t>NVMY20168000067284</t>
        </is>
      </c>
      <c r="C168" s="15" t="inlineStr">
        <is>
          <t>266222643287</t>
        </is>
      </c>
      <c r="D168" s="16" t="n">
        <v>46287.56025462963</v>
      </c>
      <c r="E168" s="17" t="n">
        <v>46287</v>
      </c>
      <c r="F168" s="14" t="inlineStr">
        <is>
          <t>Tue</t>
        </is>
      </c>
      <c r="G168" s="14" t="inlineStr">
        <is>
          <t>Southern</t>
        </is>
      </c>
      <c r="H168" s="14" t="inlineStr">
        <is>
          <t>BPT</t>
        </is>
      </c>
      <c r="I168" s="14" t="inlineStr">
        <is>
          <t>BPT - ID - SUZIEANA ISA</t>
        </is>
      </c>
      <c r="J168" s="14" t="inlineStr">
        <is>
          <t>ID (named driver)</t>
        </is>
      </c>
      <c r="K168" s="14" t="inlineStr">
        <is>
          <t>91826364</t>
        </is>
      </c>
      <c r="L168" s="14" t="n">
        <v>1</v>
      </c>
      <c r="M168" s="14" t="inlineStr">
        <is>
          <t>LM</t>
        </is>
      </c>
      <c r="N168" s="14" t="inlineStr">
        <is>
          <t>Fake Success</t>
        </is>
      </c>
      <c r="O168" s="14" t="inlineStr"/>
      <c r="P168" s="14" t="inlineStr"/>
      <c r="Q168" s="14" t="inlineStr"/>
      <c r="R168" s="14" t="inlineStr">
        <is>
          <t>Driver success the delivery on 17/9/2026 but the customer did not receive the parcel. After complaint was made, customer already receive the parcel on 22/9/2026</t>
        </is>
      </c>
      <c r="S168" s="14" t="inlineStr">
        <is>
          <t>Daus</t>
        </is>
      </c>
      <c r="T168" s="14">
        <f>COUNTIF($B$2:$B$499,B168)</f>
        <v/>
      </c>
      <c r="U168" s="14">
        <f>COUNTIF($I$2:$I$499,I168)</f>
        <v/>
      </c>
      <c r="V168" s="14">
        <f>IF(ISNA(MATCH(B168,'Metabase Lookup'!$A:$A,0)),"Not found",IF(INDEX('Metabase Lookup'!$B:$B,MATCH(B168,'Metabase Lookup'!$A:$A,0))="","Pending",INDEX('Metabase Lookup'!$B:$B,MATCH(B168,'Metabase Lookup'!$A:$A,0))))</f>
        <v/>
      </c>
      <c r="W168" s="14">
        <f>IF(ISNA(MATCH(B168,'Metabase Lookup'!$A:$A,0)),"Not found",IF(INDEX('Metabase Lookup'!$C:$C,MATCH(B168,'Metabase Lookup'!$A:$A,0))="","Pending",INDEX('Metabase Lookup'!$C:$C,MATCH(B168,'Metabase Lookup'!$A:$A,0))))</f>
        <v/>
      </c>
      <c r="X168" s="14">
        <f>IF(ISNA(MATCH(B168,'Metabase Lookup'!$A:$A,0)),"",IF(INDEX('Metabase Lookup'!$D:$D,MATCH(B168,'Metabase Lookup'!$A:$A,0))="","",INDEX('Metabase Lookup'!$D:$D,MATCH(B168,'Metabase Lookup'!$A:$A,0))))</f>
        <v/>
      </c>
      <c r="Y168" s="14">
        <f>IF(ISNUMBER(W168),IF(W168&gt;0,"Yes","No"),"Pending")</f>
        <v/>
      </c>
      <c r="Z168" s="14" t="inlineStr"/>
    </row>
    <row r="169">
      <c r="A169" s="14" t="n">
        <v>168</v>
      </c>
      <c r="B169" s="14" t="inlineStr">
        <is>
          <t>KIMKB1528948758730264576</t>
        </is>
      </c>
      <c r="C169" s="15" t="inlineStr">
        <is>
          <t>266822644396</t>
        </is>
      </c>
      <c r="D169" s="16" t="n">
        <v>46287.57125</v>
      </c>
      <c r="E169" s="17" t="n">
        <v>46287</v>
      </c>
      <c r="F169" s="14" t="inlineStr">
        <is>
          <t>Tue</t>
        </is>
      </c>
      <c r="G169" s="14" t="inlineStr">
        <is>
          <t>KV</t>
        </is>
      </c>
      <c r="H169" s="14" t="inlineStr">
        <is>
          <t>BTR</t>
        </is>
      </c>
      <c r="I169" s="14" t="inlineStr">
        <is>
          <t>PUTERI NUR</t>
        </is>
      </c>
      <c r="J169" s="14" t="inlineStr">
        <is>
          <t>Name only (no hub/code)</t>
        </is>
      </c>
      <c r="K169" s="14" t="inlineStr">
        <is>
          <t>91822495</t>
        </is>
      </c>
      <c r="L169" s="14" t="n">
        <v>1</v>
      </c>
      <c r="M169" s="14" t="inlineStr">
        <is>
          <t>LM</t>
        </is>
      </c>
      <c r="N169" s="14" t="inlineStr">
        <is>
          <t>Fake Success</t>
        </is>
      </c>
      <c r="O169" s="14" t="inlineStr"/>
      <c r="P169" s="14" t="inlineStr"/>
      <c r="Q169" s="14" t="inlineStr"/>
      <c r="R169" s="14" t="inlineStr">
        <is>
          <t>Driver success the delivery under completed RTS on 17/9/2026. After complaint was made, REC already revert the status and redeliver to customer on 22/9/2026</t>
        </is>
      </c>
      <c r="S169" s="14" t="inlineStr">
        <is>
          <t>Daus</t>
        </is>
      </c>
      <c r="T169" s="14">
        <f>COUNTIF($B$2:$B$499,B169)</f>
        <v/>
      </c>
      <c r="U169" s="14">
        <f>COUNTIF($I$2:$I$499,I169)</f>
        <v/>
      </c>
      <c r="V169" s="14">
        <f>IF(ISNA(MATCH(B169,'Metabase Lookup'!$A:$A,0)),"Not found",IF(INDEX('Metabase Lookup'!$B:$B,MATCH(B169,'Metabase Lookup'!$A:$A,0))="","Pending",INDEX('Metabase Lookup'!$B:$B,MATCH(B169,'Metabase Lookup'!$A:$A,0))))</f>
        <v/>
      </c>
      <c r="W169" s="14">
        <f>IF(ISNA(MATCH(B169,'Metabase Lookup'!$A:$A,0)),"Not found",IF(INDEX('Metabase Lookup'!$C:$C,MATCH(B169,'Metabase Lookup'!$A:$A,0))="","Pending",INDEX('Metabase Lookup'!$C:$C,MATCH(B169,'Metabase Lookup'!$A:$A,0))))</f>
        <v/>
      </c>
      <c r="X169" s="14">
        <f>IF(ISNA(MATCH(B169,'Metabase Lookup'!$A:$A,0)),"",IF(INDEX('Metabase Lookup'!$D:$D,MATCH(B169,'Metabase Lookup'!$A:$A,0))="","",INDEX('Metabase Lookup'!$D:$D,MATCH(B169,'Metabase Lookup'!$A:$A,0))))</f>
        <v/>
      </c>
      <c r="Y169" s="14">
        <f>IF(ISNUMBER(W169),IF(W169&gt;0,"Yes","No"),"Pending")</f>
        <v/>
      </c>
      <c r="Z169" s="14" t="inlineStr"/>
    </row>
    <row r="170">
      <c r="A170" s="14" t="n">
        <v>169</v>
      </c>
      <c r="B170" s="14" t="inlineStr">
        <is>
          <t>AEMYA000625234</t>
        </is>
      </c>
      <c r="C170" s="15" t="inlineStr">
        <is>
          <t>268672658930</t>
        </is>
      </c>
      <c r="D170" s="16" t="n">
        <v>46287.57636574074</v>
      </c>
      <c r="E170" s="17" t="n">
        <v>46287</v>
      </c>
      <c r="F170" s="14" t="inlineStr">
        <is>
          <t>Tue</t>
        </is>
      </c>
      <c r="G170" s="14" t="inlineStr">
        <is>
          <t>Southern</t>
        </is>
      </c>
      <c r="H170" s="14" t="inlineStr">
        <is>
          <t>NSJ</t>
        </is>
      </c>
      <c r="I170" s="14" t="inlineStr">
        <is>
          <t>OPS - NSJ</t>
        </is>
      </c>
      <c r="J170" s="14" t="inlineStr">
        <is>
          <t>OPS (generic hub account)</t>
        </is>
      </c>
      <c r="K170" s="14" t="inlineStr">
        <is>
          <t>91832976</t>
        </is>
      </c>
      <c r="L170" s="14" t="n">
        <v>1</v>
      </c>
      <c r="M170" s="14" t="inlineStr">
        <is>
          <t>LM</t>
        </is>
      </c>
      <c r="N170" s="14" t="inlineStr">
        <is>
          <t>Fake Fail</t>
        </is>
      </c>
      <c r="O170" s="14" t="inlineStr">
        <is>
          <t>No call / call log missing</t>
        </is>
      </c>
      <c r="P170" s="14" t="inlineStr">
        <is>
          <t>Yes</t>
        </is>
      </c>
      <c r="Q170" s="14" t="inlineStr">
        <is>
          <t>No</t>
        </is>
      </c>
      <c r="R170" s="14" t="inlineStr">
        <is>
          <t>Invalid delivery attempt. POD invalid: No call log/location is not customer's</t>
        </is>
      </c>
      <c r="S170" s="14" t="inlineStr">
        <is>
          <t>Putri</t>
        </is>
      </c>
      <c r="T170" s="14">
        <f>COUNTIF($B$2:$B$499,B170)</f>
        <v/>
      </c>
      <c r="U170" s="14">
        <f>COUNTIF($I$2:$I$499,I170)</f>
        <v/>
      </c>
      <c r="V170" s="14">
        <f>IF(ISNA(MATCH(B170,'Metabase Lookup'!$A:$A,0)),"Not found",IF(INDEX('Metabase Lookup'!$B:$B,MATCH(B170,'Metabase Lookup'!$A:$A,0))="","Pending",INDEX('Metabase Lookup'!$B:$B,MATCH(B170,'Metabase Lookup'!$A:$A,0))))</f>
        <v/>
      </c>
      <c r="W170" s="14">
        <f>IF(ISNA(MATCH(B170,'Metabase Lookup'!$A:$A,0)),"Not found",IF(INDEX('Metabase Lookup'!$C:$C,MATCH(B170,'Metabase Lookup'!$A:$A,0))="","Pending",INDEX('Metabase Lookup'!$C:$C,MATCH(B170,'Metabase Lookup'!$A:$A,0))))</f>
        <v/>
      </c>
      <c r="X170" s="14">
        <f>IF(ISNA(MATCH(B170,'Metabase Lookup'!$A:$A,0)),"",IF(INDEX('Metabase Lookup'!$D:$D,MATCH(B170,'Metabase Lookup'!$A:$A,0))="","",INDEX('Metabase Lookup'!$D:$D,MATCH(B170,'Metabase Lookup'!$A:$A,0))))</f>
        <v/>
      </c>
      <c r="Y170" s="14">
        <f>IF(ISNUMBER(W170),IF(W170&gt;0,"Yes","No"),"Pending")</f>
        <v/>
      </c>
      <c r="Z170" s="14" t="inlineStr">
        <is>
          <t>Driver not identified (OPS account)</t>
        </is>
      </c>
    </row>
    <row r="171">
      <c r="A171" s="14" t="n">
        <v>170</v>
      </c>
      <c r="B171" s="14" t="inlineStr">
        <is>
          <t>XHY00400470</t>
        </is>
      </c>
      <c r="C171" s="15" t="inlineStr">
        <is>
          <t>264712650136</t>
        </is>
      </c>
      <c r="D171" s="16" t="n">
        <v>46287.57800925926</v>
      </c>
      <c r="E171" s="17" t="n">
        <v>46287</v>
      </c>
      <c r="F171" s="14" t="inlineStr">
        <is>
          <t>Tue</t>
        </is>
      </c>
      <c r="G171" s="14" t="inlineStr">
        <is>
          <t>Southern</t>
        </is>
      </c>
      <c r="H171" s="14" t="inlineStr">
        <is>
          <t>TRM</t>
        </is>
      </c>
      <c r="I171" s="14" t="inlineStr">
        <is>
          <t>TRM - OPS - ULU TIRAM</t>
        </is>
      </c>
      <c r="J171" s="14" t="inlineStr">
        <is>
          <t>OPS (generic hub account)</t>
        </is>
      </c>
      <c r="K171" s="14" t="inlineStr">
        <is>
          <t>91857337</t>
        </is>
      </c>
      <c r="L171" s="14" t="n">
        <v>1</v>
      </c>
      <c r="M171" s="14" t="inlineStr">
        <is>
          <t>LM</t>
        </is>
      </c>
      <c r="N171" s="14" t="inlineStr">
        <is>
          <t>Fake Fail</t>
        </is>
      </c>
      <c r="O171" s="14" t="inlineStr">
        <is>
          <t>Call not connected / no response</t>
        </is>
      </c>
      <c r="P171" s="14" t="inlineStr">
        <is>
          <t>Yes</t>
        </is>
      </c>
      <c r="Q171" s="14" t="inlineStr">
        <is>
          <t>No</t>
        </is>
      </c>
      <c r="R171" s="14" t="inlineStr">
        <is>
          <t>Invalid delivery attempt. POD invalid: Call log not connected, location invalid</t>
        </is>
      </c>
      <c r="S171" s="14" t="inlineStr">
        <is>
          <t>Putri</t>
        </is>
      </c>
      <c r="T171" s="14">
        <f>COUNTIF($B$2:$B$499,B171)</f>
        <v/>
      </c>
      <c r="U171" s="14">
        <f>COUNTIF($I$2:$I$499,I171)</f>
        <v/>
      </c>
      <c r="V171" s="14">
        <f>IF(ISNA(MATCH(B171,'Metabase Lookup'!$A:$A,0)),"Not found",IF(INDEX('Metabase Lookup'!$B:$B,MATCH(B171,'Metabase Lookup'!$A:$A,0))="","Pending",INDEX('Metabase Lookup'!$B:$B,MATCH(B171,'Metabase Lookup'!$A:$A,0))))</f>
        <v/>
      </c>
      <c r="W171" s="14">
        <f>IF(ISNA(MATCH(B171,'Metabase Lookup'!$A:$A,0)),"Not found",IF(INDEX('Metabase Lookup'!$C:$C,MATCH(B171,'Metabase Lookup'!$A:$A,0))="","Pending",INDEX('Metabase Lookup'!$C:$C,MATCH(B171,'Metabase Lookup'!$A:$A,0))))</f>
        <v/>
      </c>
      <c r="X171" s="14">
        <f>IF(ISNA(MATCH(B171,'Metabase Lookup'!$A:$A,0)),"",IF(INDEX('Metabase Lookup'!$D:$D,MATCH(B171,'Metabase Lookup'!$A:$A,0))="","",INDEX('Metabase Lookup'!$D:$D,MATCH(B171,'Metabase Lookup'!$A:$A,0))))</f>
        <v/>
      </c>
      <c r="Y171" s="14">
        <f>IF(ISNUMBER(W171),IF(W171&gt;0,"Yes","No"),"Pending")</f>
        <v/>
      </c>
      <c r="Z171" s="14" t="inlineStr">
        <is>
          <t>Driver not identified (OPS account)</t>
        </is>
      </c>
    </row>
    <row r="172">
      <c r="A172" s="14" t="n">
        <v>171</v>
      </c>
      <c r="B172" s="14" t="inlineStr">
        <is>
          <t>NVMYSFPRO000001022-001</t>
        </is>
      </c>
      <c r="C172" s="15" t="inlineStr">
        <is>
          <t>268952659103</t>
        </is>
      </c>
      <c r="D172" s="16" t="n">
        <v>46287.57910879629</v>
      </c>
      <c r="E172" s="17" t="n">
        <v>46287</v>
      </c>
      <c r="F172" s="14" t="inlineStr">
        <is>
          <t>Tue</t>
        </is>
      </c>
      <c r="G172" s="14" t="inlineStr">
        <is>
          <t>Southern</t>
        </is>
      </c>
      <c r="H172" s="14" t="inlineStr">
        <is>
          <t>KLI</t>
        </is>
      </c>
      <c r="I172" s="14" t="inlineStr">
        <is>
          <t>OPS - KULAI</t>
        </is>
      </c>
      <c r="J172" s="14" t="inlineStr">
        <is>
          <t>OPS (generic hub account)</t>
        </is>
      </c>
      <c r="K172" s="14" t="inlineStr">
        <is>
          <t>91823639</t>
        </is>
      </c>
      <c r="L172" s="14" t="n">
        <v>1</v>
      </c>
      <c r="M172" s="14" t="inlineStr">
        <is>
          <t>LM</t>
        </is>
      </c>
      <c r="N172" s="14" t="inlineStr">
        <is>
          <t>Fake Fail</t>
        </is>
      </c>
      <c r="O172" s="14" t="inlineStr">
        <is>
          <t>Call not connected / no response</t>
        </is>
      </c>
      <c r="P172" s="14" t="inlineStr">
        <is>
          <t>Yes</t>
        </is>
      </c>
      <c r="Q172" s="14" t="inlineStr">
        <is>
          <t>No</t>
        </is>
      </c>
      <c r="R172" s="14" t="inlineStr">
        <is>
          <t>Invalid delivery attempt. POD invalid: Call log not connected, location invalid</t>
        </is>
      </c>
      <c r="S172" s="14" t="inlineStr">
        <is>
          <t>Putri</t>
        </is>
      </c>
      <c r="T172" s="14">
        <f>COUNTIF($B$2:$B$499,B172)</f>
        <v/>
      </c>
      <c r="U172" s="14">
        <f>COUNTIF($I$2:$I$499,I172)</f>
        <v/>
      </c>
      <c r="V172" s="14">
        <f>IF(ISNA(MATCH(B172,'Metabase Lookup'!$A:$A,0)),"Not found",IF(INDEX('Metabase Lookup'!$B:$B,MATCH(B172,'Metabase Lookup'!$A:$A,0))="","Pending",INDEX('Metabase Lookup'!$B:$B,MATCH(B172,'Metabase Lookup'!$A:$A,0))))</f>
        <v/>
      </c>
      <c r="W172" s="14">
        <f>IF(ISNA(MATCH(B172,'Metabase Lookup'!$A:$A,0)),"Not found",IF(INDEX('Metabase Lookup'!$C:$C,MATCH(B172,'Metabase Lookup'!$A:$A,0))="","Pending",INDEX('Metabase Lookup'!$C:$C,MATCH(B172,'Metabase Lookup'!$A:$A,0))))</f>
        <v/>
      </c>
      <c r="X172" s="14">
        <f>IF(ISNA(MATCH(B172,'Metabase Lookup'!$A:$A,0)),"",IF(INDEX('Metabase Lookup'!$D:$D,MATCH(B172,'Metabase Lookup'!$A:$A,0))="","",INDEX('Metabase Lookup'!$D:$D,MATCH(B172,'Metabase Lookup'!$A:$A,0))))</f>
        <v/>
      </c>
      <c r="Y172" s="14">
        <f>IF(ISNUMBER(W172),IF(W172&gt;0,"Yes","No"),"Pending")</f>
        <v/>
      </c>
      <c r="Z172" s="14" t="inlineStr">
        <is>
          <t>Driver not identified (OPS account)</t>
        </is>
      </c>
    </row>
    <row r="173">
      <c r="A173" s="14" t="n">
        <v>172</v>
      </c>
      <c r="B173" s="14" t="inlineStr">
        <is>
          <t>MAILB1550392111345020928</t>
        </is>
      </c>
      <c r="C173" s="15" t="inlineStr">
        <is>
          <t>268742654521</t>
        </is>
      </c>
      <c r="D173" s="16" t="n">
        <v>46287.58295138889</v>
      </c>
      <c r="E173" s="17" t="n">
        <v>46287</v>
      </c>
      <c r="F173" s="14" t="inlineStr">
        <is>
          <t>Tue</t>
        </is>
      </c>
      <c r="G173" s="14" t="inlineStr">
        <is>
          <t>Southern</t>
        </is>
      </c>
      <c r="H173" s="14" t="inlineStr">
        <is>
          <t>TRM</t>
        </is>
      </c>
      <c r="I173" s="14" t="inlineStr">
        <is>
          <t>TRM - OPS - ULU TIRAM</t>
        </is>
      </c>
      <c r="J173" s="14" t="inlineStr">
        <is>
          <t>OPS (generic hub account)</t>
        </is>
      </c>
      <c r="K173" s="14" t="inlineStr">
        <is>
          <t>91857346</t>
        </is>
      </c>
      <c r="L173" s="14" t="n">
        <v>1</v>
      </c>
      <c r="M173" s="14" t="inlineStr">
        <is>
          <t>LM</t>
        </is>
      </c>
      <c r="N173" s="14" t="inlineStr">
        <is>
          <t>Fake Fail</t>
        </is>
      </c>
      <c r="O173" s="14" t="inlineStr">
        <is>
          <t>No call / call log missing</t>
        </is>
      </c>
      <c r="P173" s="14" t="inlineStr">
        <is>
          <t>No</t>
        </is>
      </c>
      <c r="Q173" s="14" t="inlineStr">
        <is>
          <t>No</t>
        </is>
      </c>
      <c r="R173" s="14" t="inlineStr">
        <is>
          <t>Invalid delivery attempt. POD invalid: No call log</t>
        </is>
      </c>
      <c r="S173" s="14" t="inlineStr">
        <is>
          <t>Putri</t>
        </is>
      </c>
      <c r="T173" s="14">
        <f>COUNTIF($B$2:$B$499,B173)</f>
        <v/>
      </c>
      <c r="U173" s="14">
        <f>COUNTIF($I$2:$I$499,I173)</f>
        <v/>
      </c>
      <c r="V173" s="14">
        <f>IF(ISNA(MATCH(B173,'Metabase Lookup'!$A:$A,0)),"Not found",IF(INDEX('Metabase Lookup'!$B:$B,MATCH(B173,'Metabase Lookup'!$A:$A,0))="","Pending",INDEX('Metabase Lookup'!$B:$B,MATCH(B173,'Metabase Lookup'!$A:$A,0))))</f>
        <v/>
      </c>
      <c r="W173" s="14">
        <f>IF(ISNA(MATCH(B173,'Metabase Lookup'!$A:$A,0)),"Not found",IF(INDEX('Metabase Lookup'!$C:$C,MATCH(B173,'Metabase Lookup'!$A:$A,0))="","Pending",INDEX('Metabase Lookup'!$C:$C,MATCH(B173,'Metabase Lookup'!$A:$A,0))))</f>
        <v/>
      </c>
      <c r="X173" s="14">
        <f>IF(ISNA(MATCH(B173,'Metabase Lookup'!$A:$A,0)),"",IF(INDEX('Metabase Lookup'!$D:$D,MATCH(B173,'Metabase Lookup'!$A:$A,0))="","",INDEX('Metabase Lookup'!$D:$D,MATCH(B173,'Metabase Lookup'!$A:$A,0))))</f>
        <v/>
      </c>
      <c r="Y173" s="14">
        <f>IF(ISNUMBER(W173),IF(W173&gt;0,"Yes","No"),"Pending")</f>
        <v/>
      </c>
      <c r="Z173" s="14" t="inlineStr">
        <is>
          <t>Driver not identified (OPS account)</t>
        </is>
      </c>
    </row>
    <row r="174">
      <c r="A174" s="14" t="n">
        <v>173</v>
      </c>
      <c r="B174" s="14" t="inlineStr">
        <is>
          <t>NVMY68168001493757</t>
        </is>
      </c>
      <c r="C174" s="15" t="inlineStr">
        <is>
          <t>267492654301</t>
        </is>
      </c>
      <c r="D174" s="16" t="n">
        <v>46287.58509259259</v>
      </c>
      <c r="E174" s="17" t="n">
        <v>46287</v>
      </c>
      <c r="F174" s="14" t="inlineStr">
        <is>
          <t>Tue</t>
        </is>
      </c>
      <c r="G174" s="14" t="inlineStr">
        <is>
          <t>Southern</t>
        </is>
      </c>
      <c r="H174" s="14" t="inlineStr">
        <is>
          <t>GLG</t>
        </is>
      </c>
      <c r="I174" s="14" t="inlineStr">
        <is>
          <t>GLG - OPS - ENGKU</t>
        </is>
      </c>
      <c r="J174" s="14" t="inlineStr">
        <is>
          <t>OPS (generic hub account)</t>
        </is>
      </c>
      <c r="K174" s="14" t="inlineStr">
        <is>
          <t>91859700</t>
        </is>
      </c>
      <c r="L174" s="14" t="n">
        <v>1</v>
      </c>
      <c r="M174" s="14" t="inlineStr">
        <is>
          <t>LM</t>
        </is>
      </c>
      <c r="N174" s="14" t="inlineStr">
        <is>
          <t>Fake Fail</t>
        </is>
      </c>
      <c r="O174" s="14" t="inlineStr">
        <is>
          <t>Call not connected / no response</t>
        </is>
      </c>
      <c r="P174" s="14" t="inlineStr">
        <is>
          <t>Yes</t>
        </is>
      </c>
      <c r="Q174" s="14" t="inlineStr">
        <is>
          <t>No</t>
        </is>
      </c>
      <c r="R174" s="14" t="inlineStr">
        <is>
          <t>Invalid delivery attempt. POD invalid: Call log not connected, location invalid</t>
        </is>
      </c>
      <c r="S174" s="14" t="inlineStr">
        <is>
          <t>Putri</t>
        </is>
      </c>
      <c r="T174" s="14">
        <f>COUNTIF($B$2:$B$499,B174)</f>
        <v/>
      </c>
      <c r="U174" s="14">
        <f>COUNTIF($I$2:$I$499,I174)</f>
        <v/>
      </c>
      <c r="V174" s="14">
        <f>IF(ISNA(MATCH(B174,'Metabase Lookup'!$A:$A,0)),"Not found",IF(INDEX('Metabase Lookup'!$B:$B,MATCH(B174,'Metabase Lookup'!$A:$A,0))="","Pending",INDEX('Metabase Lookup'!$B:$B,MATCH(B174,'Metabase Lookup'!$A:$A,0))))</f>
        <v/>
      </c>
      <c r="W174" s="14">
        <f>IF(ISNA(MATCH(B174,'Metabase Lookup'!$A:$A,0)),"Not found",IF(INDEX('Metabase Lookup'!$C:$C,MATCH(B174,'Metabase Lookup'!$A:$A,0))="","Pending",INDEX('Metabase Lookup'!$C:$C,MATCH(B174,'Metabase Lookup'!$A:$A,0))))</f>
        <v/>
      </c>
      <c r="X174" s="14">
        <f>IF(ISNA(MATCH(B174,'Metabase Lookup'!$A:$A,0)),"",IF(INDEX('Metabase Lookup'!$D:$D,MATCH(B174,'Metabase Lookup'!$A:$A,0))="","",INDEX('Metabase Lookup'!$D:$D,MATCH(B174,'Metabase Lookup'!$A:$A,0))))</f>
        <v/>
      </c>
      <c r="Y174" s="14">
        <f>IF(ISNUMBER(W174),IF(W174&gt;0,"Yes","No"),"Pending")</f>
        <v/>
      </c>
      <c r="Z174" s="14" t="inlineStr">
        <is>
          <t>Driver not identified (OPS account)</t>
        </is>
      </c>
    </row>
    <row r="175">
      <c r="A175" s="14" t="n">
        <v>174</v>
      </c>
      <c r="B175" s="14" t="inlineStr">
        <is>
          <t>MYNJV70049255468</t>
        </is>
      </c>
      <c r="C175" s="15" t="inlineStr">
        <is>
          <t>265732655039</t>
        </is>
      </c>
      <c r="D175" s="16" t="n">
        <v>46287.58633101852</v>
      </c>
      <c r="E175" s="17" t="n">
        <v>46287</v>
      </c>
      <c r="F175" s="14" t="inlineStr">
        <is>
          <t>Tue</t>
        </is>
      </c>
      <c r="G175" s="14" t="inlineStr">
        <is>
          <t>Northern</t>
        </is>
      </c>
      <c r="H175" s="14" t="inlineStr">
        <is>
          <t>PSN</t>
        </is>
      </c>
      <c r="I175" s="14" t="inlineStr">
        <is>
          <t>PSN - ID - IZZATI, PSN - OPS - PSN HUB</t>
        </is>
      </c>
      <c r="J175" s="14" t="inlineStr">
        <is>
          <t>OPS (generic hub account)</t>
        </is>
      </c>
      <c r="K175" s="14" t="inlineStr">
        <is>
          <t>91859914, 91824419</t>
        </is>
      </c>
      <c r="L175" s="14" t="n">
        <v>2</v>
      </c>
      <c r="M175" s="14" t="inlineStr">
        <is>
          <t>LM</t>
        </is>
      </c>
      <c r="N175" s="14" t="inlineStr">
        <is>
          <t>Fake Fail</t>
        </is>
      </c>
      <c r="O175" s="14" t="inlineStr">
        <is>
          <t>Call not connected / no response</t>
        </is>
      </c>
      <c r="P175" s="14" t="inlineStr">
        <is>
          <t>Yes</t>
        </is>
      </c>
      <c r="Q175" s="14" t="inlineStr">
        <is>
          <t>No</t>
        </is>
      </c>
      <c r="R175" s="14" t="inlineStr">
        <is>
          <t>Invalid delivery attempt. POD invalid: Call log not connected, location invalid</t>
        </is>
      </c>
      <c r="S175" s="14" t="inlineStr">
        <is>
          <t>Putri</t>
        </is>
      </c>
      <c r="T175" s="14">
        <f>COUNTIF($B$2:$B$499,B175)</f>
        <v/>
      </c>
      <c r="U175" s="14">
        <f>COUNTIF($I$2:$I$499,I175)</f>
        <v/>
      </c>
      <c r="V175" s="14">
        <f>IF(ISNA(MATCH(B175,'Metabase Lookup'!$A:$A,0)),"Not found",IF(INDEX('Metabase Lookup'!$B:$B,MATCH(B175,'Metabase Lookup'!$A:$A,0))="","Pending",INDEX('Metabase Lookup'!$B:$B,MATCH(B175,'Metabase Lookup'!$A:$A,0))))</f>
        <v/>
      </c>
      <c r="W175" s="14">
        <f>IF(ISNA(MATCH(B175,'Metabase Lookup'!$A:$A,0)),"Not found",IF(INDEX('Metabase Lookup'!$C:$C,MATCH(B175,'Metabase Lookup'!$A:$A,0))="","Pending",INDEX('Metabase Lookup'!$C:$C,MATCH(B175,'Metabase Lookup'!$A:$A,0))))</f>
        <v/>
      </c>
      <c r="X175" s="14">
        <f>IF(ISNA(MATCH(B175,'Metabase Lookup'!$A:$A,0)),"",IF(INDEX('Metabase Lookup'!$D:$D,MATCH(B175,'Metabase Lookup'!$A:$A,0))="","",INDEX('Metabase Lookup'!$D:$D,MATCH(B175,'Metabase Lookup'!$A:$A,0))))</f>
        <v/>
      </c>
      <c r="Y175" s="14">
        <f>IF(ISNUMBER(W175),IF(W175&gt;0,"Yes","No"),"Pending")</f>
        <v/>
      </c>
      <c r="Z175" s="14" t="inlineStr">
        <is>
          <t>Multiple route IDs; Driver not identified (OPS account)</t>
        </is>
      </c>
    </row>
    <row r="176">
      <c r="A176" s="14" t="n">
        <v>175</v>
      </c>
      <c r="B176" s="14" t="inlineStr">
        <is>
          <t>NVMYFRSTG000015870</t>
        </is>
      </c>
      <c r="C176" s="15" t="inlineStr">
        <is>
          <t>264662657503</t>
        </is>
      </c>
      <c r="D176" s="16" t="n">
        <v>46287.59934027777</v>
      </c>
      <c r="E176" s="17" t="n">
        <v>46287</v>
      </c>
      <c r="F176" s="14" t="inlineStr">
        <is>
          <t>Tue</t>
        </is>
      </c>
      <c r="G176" s="14" t="inlineStr">
        <is>
          <t>KV</t>
        </is>
      </c>
      <c r="H176" s="14" t="inlineStr">
        <is>
          <t>SHM</t>
        </is>
      </c>
      <c r="I176" s="14" t="inlineStr">
        <is>
          <t>SHM - ID - YUSOF</t>
        </is>
      </c>
      <c r="J176" s="14" t="inlineStr">
        <is>
          <t>ID (named driver)</t>
        </is>
      </c>
      <c r="K176" s="14" t="inlineStr">
        <is>
          <t>91853133</t>
        </is>
      </c>
      <c r="L176" s="14" t="n">
        <v>1</v>
      </c>
      <c r="M176" s="14" t="inlineStr">
        <is>
          <t>LM</t>
        </is>
      </c>
      <c r="N176" s="14" t="inlineStr">
        <is>
          <t>Fake Fail</t>
        </is>
      </c>
      <c r="O176" s="14" t="inlineStr">
        <is>
          <t>Call not connected / no response</t>
        </is>
      </c>
      <c r="P176" s="14" t="inlineStr">
        <is>
          <t>Yes</t>
        </is>
      </c>
      <c r="Q176" s="14" t="inlineStr">
        <is>
          <t>No</t>
        </is>
      </c>
      <c r="R176" s="14" t="inlineStr">
        <is>
          <t>POD invalid (No connected call or No responded chat, No unique identifier of the location)</t>
        </is>
      </c>
      <c r="S176" s="14" t="inlineStr">
        <is>
          <t>Huzair</t>
        </is>
      </c>
      <c r="T176" s="14">
        <f>COUNTIF($B$2:$B$499,B176)</f>
        <v/>
      </c>
      <c r="U176" s="14">
        <f>COUNTIF($I$2:$I$499,I176)</f>
        <v/>
      </c>
      <c r="V176" s="14">
        <f>IF(ISNA(MATCH(B176,'Metabase Lookup'!$A:$A,0)),"Not found",IF(INDEX('Metabase Lookup'!$B:$B,MATCH(B176,'Metabase Lookup'!$A:$A,0))="","Pending",INDEX('Metabase Lookup'!$B:$B,MATCH(B176,'Metabase Lookup'!$A:$A,0))))</f>
        <v/>
      </c>
      <c r="W176" s="14">
        <f>IF(ISNA(MATCH(B176,'Metabase Lookup'!$A:$A,0)),"Not found",IF(INDEX('Metabase Lookup'!$C:$C,MATCH(B176,'Metabase Lookup'!$A:$A,0))="","Pending",INDEX('Metabase Lookup'!$C:$C,MATCH(B176,'Metabase Lookup'!$A:$A,0))))</f>
        <v/>
      </c>
      <c r="X176" s="14">
        <f>IF(ISNA(MATCH(B176,'Metabase Lookup'!$A:$A,0)),"",IF(INDEX('Metabase Lookup'!$D:$D,MATCH(B176,'Metabase Lookup'!$A:$A,0))="","",INDEX('Metabase Lookup'!$D:$D,MATCH(B176,'Metabase Lookup'!$A:$A,0))))</f>
        <v/>
      </c>
      <c r="Y176" s="14">
        <f>IF(ISNUMBER(W176),IF(W176&gt;0,"Yes","No"),"Pending")</f>
        <v/>
      </c>
      <c r="Z176" s="14" t="inlineStr"/>
    </row>
    <row r="177">
      <c r="A177" s="14" t="n">
        <v>176</v>
      </c>
      <c r="B177" s="14" t="inlineStr">
        <is>
          <t>NVMYLIONF00LF10310-001NVMYLIONF00LF10310-002</t>
        </is>
      </c>
      <c r="C177" s="15" t="inlineStr">
        <is>
          <t>269852656116</t>
        </is>
      </c>
      <c r="D177" s="16" t="n">
        <v>46287.60592592593</v>
      </c>
      <c r="E177" s="17" t="n">
        <v>46287</v>
      </c>
      <c r="F177" s="14" t="inlineStr">
        <is>
          <t>Tue</t>
        </is>
      </c>
      <c r="G177" s="14" t="inlineStr">
        <is>
          <t>Southern</t>
        </is>
      </c>
      <c r="H177" s="14" t="inlineStr">
        <is>
          <t>PTN</t>
        </is>
      </c>
      <c r="I177" s="14" t="inlineStr">
        <is>
          <t>PTN - OPS - IZZ</t>
        </is>
      </c>
      <c r="J177" s="14" t="inlineStr">
        <is>
          <t>OPS (generic hub account)</t>
        </is>
      </c>
      <c r="K177" s="14" t="inlineStr">
        <is>
          <t>91845166</t>
        </is>
      </c>
      <c r="L177" s="14" t="n">
        <v>1</v>
      </c>
      <c r="M177" s="14" t="inlineStr">
        <is>
          <t>LM</t>
        </is>
      </c>
      <c r="N177" s="14" t="inlineStr">
        <is>
          <t>Fake Fail</t>
        </is>
      </c>
      <c r="O177" s="14" t="inlineStr">
        <is>
          <t>Invalid POD (no detail)</t>
        </is>
      </c>
      <c r="P177" s="14" t="inlineStr">
        <is>
          <t>No</t>
        </is>
      </c>
      <c r="Q177" s="14" t="inlineStr">
        <is>
          <t>No</t>
        </is>
      </c>
      <c r="R177" s="14" t="inlineStr">
        <is>
          <t>POD is not customer address</t>
        </is>
      </c>
      <c r="S177" s="14" t="inlineStr">
        <is>
          <t>Syafiq</t>
        </is>
      </c>
      <c r="T177" s="14">
        <f>COUNTIF($B$2:$B$499,B177)</f>
        <v/>
      </c>
      <c r="U177" s="14">
        <f>COUNTIF($I$2:$I$499,I177)</f>
        <v/>
      </c>
      <c r="V177" s="14">
        <f>IF(ISNA(MATCH(B177,'Metabase Lookup'!$A:$A,0)),"Not found",IF(INDEX('Metabase Lookup'!$B:$B,MATCH(B177,'Metabase Lookup'!$A:$A,0))="","Pending",INDEX('Metabase Lookup'!$B:$B,MATCH(B177,'Metabase Lookup'!$A:$A,0))))</f>
        <v/>
      </c>
      <c r="W177" s="14">
        <f>IF(ISNA(MATCH(B177,'Metabase Lookup'!$A:$A,0)),"Not found",IF(INDEX('Metabase Lookup'!$C:$C,MATCH(B177,'Metabase Lookup'!$A:$A,0))="","Pending",INDEX('Metabase Lookup'!$C:$C,MATCH(B177,'Metabase Lookup'!$A:$A,0))))</f>
        <v/>
      </c>
      <c r="X177" s="14">
        <f>IF(ISNA(MATCH(B177,'Metabase Lookup'!$A:$A,0)),"",IF(INDEX('Metabase Lookup'!$D:$D,MATCH(B177,'Metabase Lookup'!$A:$A,0))="","",INDEX('Metabase Lookup'!$D:$D,MATCH(B177,'Metabase Lookup'!$A:$A,0))))</f>
        <v/>
      </c>
      <c r="Y177" s="14">
        <f>IF(ISNUMBER(W177),IF(W177&gt;0,"Yes","No"),"Pending")</f>
        <v/>
      </c>
      <c r="Z177" s="14" t="inlineStr">
        <is>
          <t>TID had stray spaces/line breaks (cleaned); Driver not identified (OPS account)</t>
        </is>
      </c>
    </row>
    <row r="178">
      <c r="A178" s="14" t="n">
        <v>177</v>
      </c>
      <c r="B178" s="14" t="inlineStr">
        <is>
          <t>JSXPR1547540931444981760</t>
        </is>
      </c>
      <c r="C178" s="15" t="inlineStr">
        <is>
          <t>264382612044</t>
        </is>
      </c>
      <c r="D178" s="16" t="n">
        <v>46287.61011574074</v>
      </c>
      <c r="E178" s="17" t="n">
        <v>46287</v>
      </c>
      <c r="F178" s="14" t="inlineStr">
        <is>
          <t>Tue</t>
        </is>
      </c>
      <c r="G178" s="14" t="inlineStr">
        <is>
          <t>Southern</t>
        </is>
      </c>
      <c r="H178" s="14" t="inlineStr">
        <is>
          <t>MAS</t>
        </is>
      </c>
      <c r="I178" s="14" t="inlineStr">
        <is>
          <t>MAS - ID - HAFISZAN</t>
        </is>
      </c>
      <c r="J178" s="14" t="inlineStr">
        <is>
          <t>ID (named driver)</t>
        </is>
      </c>
      <c r="K178" s="14" t="inlineStr">
        <is>
          <t>91812108</t>
        </is>
      </c>
      <c r="L178" s="14" t="n">
        <v>1</v>
      </c>
      <c r="M178" s="14" t="inlineStr">
        <is>
          <t>LM</t>
        </is>
      </c>
      <c r="N178" s="14" t="inlineStr">
        <is>
          <t>Fake Success</t>
        </is>
      </c>
      <c r="O178" s="14" t="inlineStr"/>
      <c r="P178" s="14" t="inlineStr"/>
      <c r="Q178" s="14" t="inlineStr"/>
      <c r="R178" s="14" t="inlineStr">
        <is>
          <t>Driver completed the delivery on 15/9/2026 and customer did not receive it. After complaint was made, REC claimed parcel already delivered to customer</t>
        </is>
      </c>
      <c r="S178" s="14" t="inlineStr">
        <is>
          <t>Daus</t>
        </is>
      </c>
      <c r="T178" s="14">
        <f>COUNTIF($B$2:$B$499,B178)</f>
        <v/>
      </c>
      <c r="U178" s="14">
        <f>COUNTIF($I$2:$I$499,I178)</f>
        <v/>
      </c>
      <c r="V178" s="14">
        <f>IF(ISNA(MATCH(B178,'Metabase Lookup'!$A:$A,0)),"Not found",IF(INDEX('Metabase Lookup'!$B:$B,MATCH(B178,'Metabase Lookup'!$A:$A,0))="","Pending",INDEX('Metabase Lookup'!$B:$B,MATCH(B178,'Metabase Lookup'!$A:$A,0))))</f>
        <v/>
      </c>
      <c r="W178" s="14">
        <f>IF(ISNA(MATCH(B178,'Metabase Lookup'!$A:$A,0)),"Not found",IF(INDEX('Metabase Lookup'!$C:$C,MATCH(B178,'Metabase Lookup'!$A:$A,0))="","Pending",INDEX('Metabase Lookup'!$C:$C,MATCH(B178,'Metabase Lookup'!$A:$A,0))))</f>
        <v/>
      </c>
      <c r="X178" s="14">
        <f>IF(ISNA(MATCH(B178,'Metabase Lookup'!$A:$A,0)),"",IF(INDEX('Metabase Lookup'!$D:$D,MATCH(B178,'Metabase Lookup'!$A:$A,0))="","",INDEX('Metabase Lookup'!$D:$D,MATCH(B178,'Metabase Lookup'!$A:$A,0))))</f>
        <v/>
      </c>
      <c r="Y178" s="14">
        <f>IF(ISNUMBER(W178),IF(W178&gt;0,"Yes","No"),"Pending")</f>
        <v/>
      </c>
      <c r="Z178" s="14" t="inlineStr"/>
    </row>
    <row r="179">
      <c r="A179" s="14" t="n">
        <v>178</v>
      </c>
      <c r="B179" s="14" t="inlineStr">
        <is>
          <t>WNJMY00154402909</t>
        </is>
      </c>
      <c r="C179" s="15" t="inlineStr">
        <is>
          <t>267832647858</t>
        </is>
      </c>
      <c r="D179" s="16" t="n">
        <v>46287.61024305555</v>
      </c>
      <c r="E179" s="17" t="n">
        <v>46287</v>
      </c>
      <c r="F179" s="14" t="inlineStr">
        <is>
          <t>Tue</t>
        </is>
      </c>
      <c r="G179" s="14" t="inlineStr">
        <is>
          <t>East MY</t>
        </is>
      </c>
      <c r="H179" s="14" t="inlineStr">
        <is>
          <t>INM</t>
        </is>
      </c>
      <c r="I179" s="14" t="inlineStr">
        <is>
          <t>INM - ID - SALLEH_RASHID86</t>
        </is>
      </c>
      <c r="J179" s="14" t="inlineStr">
        <is>
          <t>ID (named driver)</t>
        </is>
      </c>
      <c r="K179" s="14" t="inlineStr">
        <is>
          <t>91853998</t>
        </is>
      </c>
      <c r="L179" s="14" t="n">
        <v>1</v>
      </c>
      <c r="M179" s="14" t="inlineStr">
        <is>
          <t>LM</t>
        </is>
      </c>
      <c r="N179" s="14" t="inlineStr">
        <is>
          <t>Deliver to Wrong Address</t>
        </is>
      </c>
      <c r="O179" s="14" t="inlineStr"/>
      <c r="P179" s="14" t="inlineStr"/>
      <c r="Q179" s="14" t="inlineStr"/>
      <c r="R179" s="14" t="inlineStr">
        <is>
          <t>Deliver to wrong address and no call from the driver</t>
        </is>
      </c>
      <c r="S179" s="14" t="inlineStr">
        <is>
          <t>Amir</t>
        </is>
      </c>
      <c r="T179" s="14">
        <f>COUNTIF($B$2:$B$499,B179)</f>
        <v/>
      </c>
      <c r="U179" s="14">
        <f>COUNTIF($I$2:$I$499,I179)</f>
        <v/>
      </c>
      <c r="V179" s="14">
        <f>IF(ISNA(MATCH(B179,'Metabase Lookup'!$A:$A,0)),"Not found",IF(INDEX('Metabase Lookup'!$B:$B,MATCH(B179,'Metabase Lookup'!$A:$A,0))="","Pending",INDEX('Metabase Lookup'!$B:$B,MATCH(B179,'Metabase Lookup'!$A:$A,0))))</f>
        <v/>
      </c>
      <c r="W179" s="14">
        <f>IF(ISNA(MATCH(B179,'Metabase Lookup'!$A:$A,0)),"Not found",IF(INDEX('Metabase Lookup'!$C:$C,MATCH(B179,'Metabase Lookup'!$A:$A,0))="","Pending",INDEX('Metabase Lookup'!$C:$C,MATCH(B179,'Metabase Lookup'!$A:$A,0))))</f>
        <v/>
      </c>
      <c r="X179" s="14">
        <f>IF(ISNA(MATCH(B179,'Metabase Lookup'!$A:$A,0)),"",IF(INDEX('Metabase Lookup'!$D:$D,MATCH(B179,'Metabase Lookup'!$A:$A,0))="","",INDEX('Metabase Lookup'!$D:$D,MATCH(B179,'Metabase Lookup'!$A:$A,0))))</f>
        <v/>
      </c>
      <c r="Y179" s="14">
        <f>IF(ISNUMBER(W179),IF(W179&gt;0,"Yes","No"),"Pending")</f>
        <v/>
      </c>
      <c r="Z179" s="14" t="inlineStr"/>
    </row>
    <row r="180">
      <c r="A180" s="14" t="n">
        <v>179</v>
      </c>
      <c r="B180" s="14" t="inlineStr">
        <is>
          <t>TNGDV2609166908059150</t>
        </is>
      </c>
      <c r="C180" s="15" t="inlineStr">
        <is>
          <t>263542659119</t>
        </is>
      </c>
      <c r="D180" s="16" t="n">
        <v>46287.61652777778</v>
      </c>
      <c r="E180" s="17" t="n">
        <v>46287</v>
      </c>
      <c r="F180" s="14" t="inlineStr">
        <is>
          <t>Tue</t>
        </is>
      </c>
      <c r="G180" s="14" t="inlineStr">
        <is>
          <t>KV</t>
        </is>
      </c>
      <c r="H180" s="14" t="inlineStr">
        <is>
          <t>CKT</t>
        </is>
      </c>
      <c r="I180" s="14" t="inlineStr">
        <is>
          <t>CKT - ID - HAMIZI</t>
        </is>
      </c>
      <c r="J180" s="14" t="inlineStr">
        <is>
          <t>ID (named driver)</t>
        </is>
      </c>
      <c r="K180" s="14" t="inlineStr">
        <is>
          <t>91853189</t>
        </is>
      </c>
      <c r="L180" s="14" t="n">
        <v>1</v>
      </c>
      <c r="M180" s="14" t="inlineStr">
        <is>
          <t>LM</t>
        </is>
      </c>
      <c r="N180" s="14" t="inlineStr">
        <is>
          <t>Deliver to Wrong Address</t>
        </is>
      </c>
      <c r="O180" s="14" t="inlineStr"/>
      <c r="P180" s="14" t="inlineStr"/>
      <c r="Q180" s="14" t="inlineStr"/>
      <c r="R180" s="14" t="inlineStr">
        <is>
          <t>Deliver to wrong location and no call from the driver</t>
        </is>
      </c>
      <c r="S180" s="14" t="inlineStr">
        <is>
          <t>Amir</t>
        </is>
      </c>
      <c r="T180" s="14">
        <f>COUNTIF($B$2:$B$499,B180)</f>
        <v/>
      </c>
      <c r="U180" s="14">
        <f>COUNTIF($I$2:$I$499,I180)</f>
        <v/>
      </c>
      <c r="V180" s="14">
        <f>IF(ISNA(MATCH(B180,'Metabase Lookup'!$A:$A,0)),"Not found",IF(INDEX('Metabase Lookup'!$B:$B,MATCH(B180,'Metabase Lookup'!$A:$A,0))="","Pending",INDEX('Metabase Lookup'!$B:$B,MATCH(B180,'Metabase Lookup'!$A:$A,0))))</f>
        <v/>
      </c>
      <c r="W180" s="14">
        <f>IF(ISNA(MATCH(B180,'Metabase Lookup'!$A:$A,0)),"Not found",IF(INDEX('Metabase Lookup'!$C:$C,MATCH(B180,'Metabase Lookup'!$A:$A,0))="","Pending",INDEX('Metabase Lookup'!$C:$C,MATCH(B180,'Metabase Lookup'!$A:$A,0))))</f>
        <v/>
      </c>
      <c r="X180" s="14">
        <f>IF(ISNA(MATCH(B180,'Metabase Lookup'!$A:$A,0)),"",IF(INDEX('Metabase Lookup'!$D:$D,MATCH(B180,'Metabase Lookup'!$A:$A,0))="","",INDEX('Metabase Lookup'!$D:$D,MATCH(B180,'Metabase Lookup'!$A:$A,0))))</f>
        <v/>
      </c>
      <c r="Y180" s="14">
        <f>IF(ISNUMBER(W180),IF(W180&gt;0,"Yes","No"),"Pending")</f>
        <v/>
      </c>
      <c r="Z180" s="14" t="inlineStr"/>
    </row>
    <row r="181">
      <c r="A181" s="14" t="n">
        <v>180</v>
      </c>
      <c r="B181" s="14" t="inlineStr">
        <is>
          <t>ESHP003313075</t>
        </is>
      </c>
      <c r="C181" s="15" t="inlineStr">
        <is>
          <t>265292647293</t>
        </is>
      </c>
      <c r="D181" s="16" t="n">
        <v>46287.63555555556</v>
      </c>
      <c r="E181" s="17" t="n">
        <v>46287</v>
      </c>
      <c r="F181" s="14" t="inlineStr">
        <is>
          <t>Tue</t>
        </is>
      </c>
      <c r="G181" s="14" t="inlineStr">
        <is>
          <t>KV</t>
        </is>
      </c>
      <c r="H181" s="14" t="inlineStr">
        <is>
          <t>WMJ</t>
        </is>
      </c>
      <c r="I181" s="14" t="inlineStr">
        <is>
          <t>WMJ - ID - MOHD TAUFIK</t>
        </is>
      </c>
      <c r="J181" s="14" t="inlineStr">
        <is>
          <t>ID (named driver)</t>
        </is>
      </c>
      <c r="K181" s="14" t="inlineStr">
        <is>
          <t>91846396</t>
        </is>
      </c>
      <c r="L181" s="14" t="n">
        <v>1</v>
      </c>
      <c r="M181" s="14" t="inlineStr">
        <is>
          <t>LM</t>
        </is>
      </c>
      <c r="N181" s="14" t="inlineStr">
        <is>
          <t>Deliver to Wrong Address</t>
        </is>
      </c>
      <c r="O181" s="14" t="inlineStr"/>
      <c r="P181" s="14" t="inlineStr"/>
      <c r="Q181" s="14" t="inlineStr"/>
      <c r="R181" s="14" t="inlineStr">
        <is>
          <t>the driver deliveredthe parcel to wrong address instead of customers address</t>
        </is>
      </c>
      <c r="S181" s="14" t="inlineStr">
        <is>
          <t>Naveen</t>
        </is>
      </c>
      <c r="T181" s="14">
        <f>COUNTIF($B$2:$B$499,B181)</f>
        <v/>
      </c>
      <c r="U181" s="14">
        <f>COUNTIF($I$2:$I$499,I181)</f>
        <v/>
      </c>
      <c r="V181" s="14">
        <f>IF(ISNA(MATCH(B181,'Metabase Lookup'!$A:$A,0)),"Not found",IF(INDEX('Metabase Lookup'!$B:$B,MATCH(B181,'Metabase Lookup'!$A:$A,0))="","Pending",INDEX('Metabase Lookup'!$B:$B,MATCH(B181,'Metabase Lookup'!$A:$A,0))))</f>
        <v/>
      </c>
      <c r="W181" s="14">
        <f>IF(ISNA(MATCH(B181,'Metabase Lookup'!$A:$A,0)),"Not found",IF(INDEX('Metabase Lookup'!$C:$C,MATCH(B181,'Metabase Lookup'!$A:$A,0))="","Pending",INDEX('Metabase Lookup'!$C:$C,MATCH(B181,'Metabase Lookup'!$A:$A,0))))</f>
        <v/>
      </c>
      <c r="X181" s="14">
        <f>IF(ISNA(MATCH(B181,'Metabase Lookup'!$A:$A,0)),"",IF(INDEX('Metabase Lookup'!$D:$D,MATCH(B181,'Metabase Lookup'!$A:$A,0))="","",INDEX('Metabase Lookup'!$D:$D,MATCH(B181,'Metabase Lookup'!$A:$A,0))))</f>
        <v/>
      </c>
      <c r="Y181" s="14">
        <f>IF(ISNUMBER(W181),IF(W181&gt;0,"Yes","No"),"Pending")</f>
        <v/>
      </c>
      <c r="Z181" s="14" t="inlineStr"/>
    </row>
    <row r="182">
      <c r="A182" s="14" t="n">
        <v>181</v>
      </c>
      <c r="B182" s="14" t="inlineStr">
        <is>
          <t>NVMYALM2Y050520741</t>
        </is>
      </c>
      <c r="C182" s="15" t="inlineStr">
        <is>
          <t>264732651239</t>
        </is>
      </c>
      <c r="D182" s="16" t="n">
        <v>46287.63592592593</v>
      </c>
      <c r="E182" s="17" t="n">
        <v>46287</v>
      </c>
      <c r="F182" s="14" t="inlineStr">
        <is>
          <t>Tue</t>
        </is>
      </c>
      <c r="G182" s="14" t="inlineStr">
        <is>
          <t>Northern</t>
        </is>
      </c>
      <c r="H182" s="14" t="inlineStr">
        <is>
          <t>KGR</t>
        </is>
      </c>
      <c r="I182" s="14" t="inlineStr">
        <is>
          <t>KGR - OPS - ROUTED</t>
        </is>
      </c>
      <c r="J182" s="14" t="inlineStr">
        <is>
          <t>OPS (generic hub account)</t>
        </is>
      </c>
      <c r="K182" s="14" t="inlineStr">
        <is>
          <t>91825241</t>
        </is>
      </c>
      <c r="L182" s="14" t="n">
        <v>1</v>
      </c>
      <c r="M182" s="14" t="inlineStr">
        <is>
          <t>LM</t>
        </is>
      </c>
      <c r="N182" s="14" t="inlineStr">
        <is>
          <t>Fake Fail</t>
        </is>
      </c>
      <c r="O182" s="14" t="inlineStr">
        <is>
          <t>No call / call log missing</t>
        </is>
      </c>
      <c r="P182" s="14" t="inlineStr">
        <is>
          <t>No</t>
        </is>
      </c>
      <c r="Q182" s="14" t="inlineStr">
        <is>
          <t>No</t>
        </is>
      </c>
      <c r="R182" s="14" t="inlineStr">
        <is>
          <t>Invalid delivery attempt. POD invalid: No call log</t>
        </is>
      </c>
      <c r="S182" s="14" t="inlineStr">
        <is>
          <t>Putri</t>
        </is>
      </c>
      <c r="T182" s="14">
        <f>COUNTIF($B$2:$B$499,B182)</f>
        <v/>
      </c>
      <c r="U182" s="14">
        <f>COUNTIF($I$2:$I$499,I182)</f>
        <v/>
      </c>
      <c r="V182" s="14">
        <f>IF(ISNA(MATCH(B182,'Metabase Lookup'!$A:$A,0)),"Not found",IF(INDEX('Metabase Lookup'!$B:$B,MATCH(B182,'Metabase Lookup'!$A:$A,0))="","Pending",INDEX('Metabase Lookup'!$B:$B,MATCH(B182,'Metabase Lookup'!$A:$A,0))))</f>
        <v/>
      </c>
      <c r="W182" s="14">
        <f>IF(ISNA(MATCH(B182,'Metabase Lookup'!$A:$A,0)),"Not found",IF(INDEX('Metabase Lookup'!$C:$C,MATCH(B182,'Metabase Lookup'!$A:$A,0))="","Pending",INDEX('Metabase Lookup'!$C:$C,MATCH(B182,'Metabase Lookup'!$A:$A,0))))</f>
        <v/>
      </c>
      <c r="X182" s="14">
        <f>IF(ISNA(MATCH(B182,'Metabase Lookup'!$A:$A,0)),"",IF(INDEX('Metabase Lookup'!$D:$D,MATCH(B182,'Metabase Lookup'!$A:$A,0))="","",INDEX('Metabase Lookup'!$D:$D,MATCH(B182,'Metabase Lookup'!$A:$A,0))))</f>
        <v/>
      </c>
      <c r="Y182" s="14">
        <f>IF(ISNUMBER(W182),IF(W182&gt;0,"Yes","No"),"Pending")</f>
        <v/>
      </c>
      <c r="Z182" s="14" t="inlineStr">
        <is>
          <t>Driver not identified (OPS account)</t>
        </is>
      </c>
    </row>
    <row r="183">
      <c r="A183" s="14" t="n">
        <v>182</v>
      </c>
      <c r="B183" s="14" t="inlineStr">
        <is>
          <t>ZMP264265945-5730</t>
        </is>
      </c>
      <c r="C183" s="15" t="inlineStr">
        <is>
          <t>264582652246</t>
        </is>
      </c>
      <c r="D183" s="16" t="n">
        <v>46287.63614583333</v>
      </c>
      <c r="E183" s="17" t="n">
        <v>46287</v>
      </c>
      <c r="F183" s="14" t="inlineStr">
        <is>
          <t>Tue</t>
        </is>
      </c>
      <c r="G183" s="14" t="inlineStr">
        <is>
          <t>Northern</t>
        </is>
      </c>
      <c r="H183" s="14" t="inlineStr">
        <is>
          <t>FLM</t>
        </is>
      </c>
      <c r="I183" s="14" t="inlineStr">
        <is>
          <t>hasanizal othman</t>
        </is>
      </c>
      <c r="J183" s="14" t="inlineStr">
        <is>
          <t>Name only (no hub/code)</t>
        </is>
      </c>
      <c r="K183" s="14" t="inlineStr">
        <is>
          <t>91833867, 91857489</t>
        </is>
      </c>
      <c r="L183" s="14" t="n">
        <v>2</v>
      </c>
      <c r="M183" s="14" t="inlineStr">
        <is>
          <t>LM</t>
        </is>
      </c>
      <c r="N183" s="14" t="inlineStr">
        <is>
          <t>Pull Out Route (POR)</t>
        </is>
      </c>
      <c r="O183" s="14" t="inlineStr"/>
      <c r="P183" s="14" t="inlineStr"/>
      <c r="Q183" s="14" t="inlineStr"/>
      <c r="R183" s="14" t="inlineStr">
        <is>
          <t>18/9 POR on 2026-09-19 14:45:06 by faiz nasir 21/9 POR on 2026-09-22 11:42:44 by faiz nasir OVFD but no delivery attempt</t>
        </is>
      </c>
      <c r="S183" s="14" t="inlineStr">
        <is>
          <t>Wani</t>
        </is>
      </c>
      <c r="T183" s="14">
        <f>COUNTIF($B$2:$B$499,B183)</f>
        <v/>
      </c>
      <c r="U183" s="14">
        <f>COUNTIF($I$2:$I$499,I183)</f>
        <v/>
      </c>
      <c r="V183" s="14">
        <f>IF(ISNA(MATCH(B183,'Metabase Lookup'!$A:$A,0)),"Not found",IF(INDEX('Metabase Lookup'!$B:$B,MATCH(B183,'Metabase Lookup'!$A:$A,0))="","Pending",INDEX('Metabase Lookup'!$B:$B,MATCH(B183,'Metabase Lookup'!$A:$A,0))))</f>
        <v/>
      </c>
      <c r="W183" s="14">
        <f>IF(ISNA(MATCH(B183,'Metabase Lookup'!$A:$A,0)),"Not found",IF(INDEX('Metabase Lookup'!$C:$C,MATCH(B183,'Metabase Lookup'!$A:$A,0))="","Pending",INDEX('Metabase Lookup'!$C:$C,MATCH(B183,'Metabase Lookup'!$A:$A,0))))</f>
        <v/>
      </c>
      <c r="X183" s="14">
        <f>IF(ISNA(MATCH(B183,'Metabase Lookup'!$A:$A,0)),"",IF(INDEX('Metabase Lookup'!$D:$D,MATCH(B183,'Metabase Lookup'!$A:$A,0))="","",INDEX('Metabase Lookup'!$D:$D,MATCH(B183,'Metabase Lookup'!$A:$A,0))))</f>
        <v/>
      </c>
      <c r="Y183" s="14">
        <f>IF(ISNUMBER(W183),IF(W183&gt;0,"Yes","No"),"Pending")</f>
        <v/>
      </c>
      <c r="Z183" s="14" t="inlineStr">
        <is>
          <t>Multiple route IDs</t>
        </is>
      </c>
    </row>
    <row r="184">
      <c r="A184" s="14" t="n">
        <v>183</v>
      </c>
      <c r="B184" s="14" t="inlineStr">
        <is>
          <t>NVMY41A68000004589</t>
        </is>
      </c>
      <c r="C184" s="15" t="inlineStr">
        <is>
          <t>264702656192</t>
        </is>
      </c>
      <c r="D184" s="16" t="n">
        <v>46287.63700231481</v>
      </c>
      <c r="E184" s="17" t="n">
        <v>46287</v>
      </c>
      <c r="F184" s="14" t="inlineStr">
        <is>
          <t>Tue</t>
        </is>
      </c>
      <c r="G184" s="14" t="inlineStr">
        <is>
          <t>KV</t>
        </is>
      </c>
      <c r="H184" s="14" t="inlineStr">
        <is>
          <t>SEG</t>
        </is>
      </c>
      <c r="I184" s="14" t="inlineStr">
        <is>
          <t>SEG - OPS - STATION HEAD</t>
        </is>
      </c>
      <c r="J184" s="14" t="inlineStr">
        <is>
          <t>OPS (generic hub account)</t>
        </is>
      </c>
      <c r="K184" s="14" t="inlineStr">
        <is>
          <t>91859281</t>
        </is>
      </c>
      <c r="L184" s="14" t="n">
        <v>1</v>
      </c>
      <c r="M184" s="14" t="inlineStr">
        <is>
          <t>LM</t>
        </is>
      </c>
      <c r="N184" s="14" t="inlineStr">
        <is>
          <t>Fake Fail</t>
        </is>
      </c>
      <c r="O184" s="14" t="inlineStr">
        <is>
          <t>Invalid call log (unspecified)</t>
        </is>
      </c>
      <c r="P184" s="14" t="inlineStr">
        <is>
          <t>No</t>
        </is>
      </c>
      <c r="Q184" s="14" t="inlineStr">
        <is>
          <t>No</t>
        </is>
      </c>
      <c r="R184" s="14" t="inlineStr">
        <is>
          <t>Call log invalid</t>
        </is>
      </c>
      <c r="S184" s="14" t="inlineStr">
        <is>
          <t>Syafiq</t>
        </is>
      </c>
      <c r="T184" s="14">
        <f>COUNTIF($B$2:$B$499,B184)</f>
        <v/>
      </c>
      <c r="U184" s="14">
        <f>COUNTIF($I$2:$I$499,I184)</f>
        <v/>
      </c>
      <c r="V184" s="14">
        <f>IF(ISNA(MATCH(B184,'Metabase Lookup'!$A:$A,0)),"Not found",IF(INDEX('Metabase Lookup'!$B:$B,MATCH(B184,'Metabase Lookup'!$A:$A,0))="","Pending",INDEX('Metabase Lookup'!$B:$B,MATCH(B184,'Metabase Lookup'!$A:$A,0))))</f>
        <v/>
      </c>
      <c r="W184" s="14">
        <f>IF(ISNA(MATCH(B184,'Metabase Lookup'!$A:$A,0)),"Not found",IF(INDEX('Metabase Lookup'!$C:$C,MATCH(B184,'Metabase Lookup'!$A:$A,0))="","Pending",INDEX('Metabase Lookup'!$C:$C,MATCH(B184,'Metabase Lookup'!$A:$A,0))))</f>
        <v/>
      </c>
      <c r="X184" s="14">
        <f>IF(ISNA(MATCH(B184,'Metabase Lookup'!$A:$A,0)),"",IF(INDEX('Metabase Lookup'!$D:$D,MATCH(B184,'Metabase Lookup'!$A:$A,0))="","",INDEX('Metabase Lookup'!$D:$D,MATCH(B184,'Metabase Lookup'!$A:$A,0))))</f>
        <v/>
      </c>
      <c r="Y184" s="14">
        <f>IF(ISNUMBER(W184),IF(W184&gt;0,"Yes","No"),"Pending")</f>
        <v/>
      </c>
      <c r="Z184" s="14" t="inlineStr">
        <is>
          <t>TID had stray spaces/line breaks (cleaned); Driver not identified (OPS account)</t>
        </is>
      </c>
    </row>
    <row r="185">
      <c r="A185" s="14" t="n">
        <v>184</v>
      </c>
      <c r="B185" s="14" t="inlineStr">
        <is>
          <t>NVMYKNKAD000005234</t>
        </is>
      </c>
      <c r="C185" s="15" t="inlineStr">
        <is>
          <t>260392657003</t>
        </is>
      </c>
      <c r="D185" s="16" t="n">
        <v>46287.64856481482</v>
      </c>
      <c r="E185" s="17" t="n">
        <v>46287</v>
      </c>
      <c r="F185" s="14" t="inlineStr">
        <is>
          <t>Tue</t>
        </is>
      </c>
      <c r="G185" s="14" t="inlineStr">
        <is>
          <t>Southern</t>
        </is>
      </c>
      <c r="H185" s="14" t="inlineStr">
        <is>
          <t>NSJ</t>
        </is>
      </c>
      <c r="I185" s="14" t="inlineStr">
        <is>
          <t>OPS - NSJ</t>
        </is>
      </c>
      <c r="J185" s="14" t="inlineStr">
        <is>
          <t>OPS (generic hub account)</t>
        </is>
      </c>
      <c r="K185" s="14" t="inlineStr">
        <is>
          <t>91857895</t>
        </is>
      </c>
      <c r="L185" s="14" t="n">
        <v>1</v>
      </c>
      <c r="M185" s="14" t="inlineStr">
        <is>
          <t>LM</t>
        </is>
      </c>
      <c r="N185" s="14" t="inlineStr">
        <is>
          <t>Fake Fail</t>
        </is>
      </c>
      <c r="O185" s="14" t="inlineStr">
        <is>
          <t>Invalid POD (no detail)</t>
        </is>
      </c>
      <c r="P185" s="14" t="inlineStr">
        <is>
          <t>No</t>
        </is>
      </c>
      <c r="Q185" s="14" t="inlineStr">
        <is>
          <t>No</t>
        </is>
      </c>
      <c r="R185" s="14" t="inlineStr">
        <is>
          <t>POD invalid</t>
        </is>
      </c>
      <c r="S185" s="14" t="inlineStr">
        <is>
          <t>Syafiq</t>
        </is>
      </c>
      <c r="T185" s="14">
        <f>COUNTIF($B$2:$B$499,B185)</f>
        <v/>
      </c>
      <c r="U185" s="14">
        <f>COUNTIF($I$2:$I$499,I185)</f>
        <v/>
      </c>
      <c r="V185" s="14">
        <f>IF(ISNA(MATCH(B185,'Metabase Lookup'!$A:$A,0)),"Not found",IF(INDEX('Metabase Lookup'!$B:$B,MATCH(B185,'Metabase Lookup'!$A:$A,0))="","Pending",INDEX('Metabase Lookup'!$B:$B,MATCH(B185,'Metabase Lookup'!$A:$A,0))))</f>
        <v/>
      </c>
      <c r="W185" s="14">
        <f>IF(ISNA(MATCH(B185,'Metabase Lookup'!$A:$A,0)),"Not found",IF(INDEX('Metabase Lookup'!$C:$C,MATCH(B185,'Metabase Lookup'!$A:$A,0))="","Pending",INDEX('Metabase Lookup'!$C:$C,MATCH(B185,'Metabase Lookup'!$A:$A,0))))</f>
        <v/>
      </c>
      <c r="X185" s="14">
        <f>IF(ISNA(MATCH(B185,'Metabase Lookup'!$A:$A,0)),"",IF(INDEX('Metabase Lookup'!$D:$D,MATCH(B185,'Metabase Lookup'!$A:$A,0))="","",INDEX('Metabase Lookup'!$D:$D,MATCH(B185,'Metabase Lookup'!$A:$A,0))))</f>
        <v/>
      </c>
      <c r="Y185" s="14">
        <f>IF(ISNUMBER(W185),IF(W185&gt;0,"Yes","No"),"Pending")</f>
        <v/>
      </c>
      <c r="Z185" s="14" t="inlineStr">
        <is>
          <t>TID had stray spaces/line breaks (cleaned); Driver not identified (OPS account)</t>
        </is>
      </c>
    </row>
    <row r="186">
      <c r="A186" s="14" t="n">
        <v>185</v>
      </c>
      <c r="B186" s="14" t="inlineStr">
        <is>
          <t>DESAR1550025465117274112</t>
        </is>
      </c>
      <c r="C186" s="15" t="inlineStr">
        <is>
          <t>267442627035</t>
        </is>
      </c>
      <c r="D186" s="16" t="n">
        <v>46287.65106481482</v>
      </c>
      <c r="E186" s="17" t="n">
        <v>46287</v>
      </c>
      <c r="F186" s="14" t="inlineStr">
        <is>
          <t>Tue</t>
        </is>
      </c>
      <c r="G186" s="14" t="inlineStr">
        <is>
          <t>KV</t>
        </is>
      </c>
      <c r="H186" s="14" t="inlineStr">
        <is>
          <t>KAJ</t>
        </is>
      </c>
      <c r="I186" s="14" t="inlineStr">
        <is>
          <t>KAJ - ID - MOHD NASIR</t>
        </is>
      </c>
      <c r="J186" s="14" t="inlineStr">
        <is>
          <t>ID (named driver)</t>
        </is>
      </c>
      <c r="K186" s="14" t="inlineStr">
        <is>
          <t>91844446</t>
        </is>
      </c>
      <c r="L186" s="14" t="n">
        <v>1</v>
      </c>
      <c r="M186" s="14" t="inlineStr">
        <is>
          <t>LM</t>
        </is>
      </c>
      <c r="N186" s="14" t="inlineStr">
        <is>
          <t>Fake Success</t>
        </is>
      </c>
      <c r="O186" s="14" t="inlineStr"/>
      <c r="P186" s="14" t="inlineStr"/>
      <c r="Q186" s="14" t="inlineStr"/>
      <c r="R186" s="14" t="inlineStr">
        <is>
          <t>the driver completed the parcel but delivered after making a call</t>
        </is>
      </c>
      <c r="S186" s="14" t="inlineStr">
        <is>
          <t>Naveen</t>
        </is>
      </c>
      <c r="T186" s="14">
        <f>COUNTIF($B$2:$B$499,B186)</f>
        <v/>
      </c>
      <c r="U186" s="14">
        <f>COUNTIF($I$2:$I$499,I186)</f>
        <v/>
      </c>
      <c r="V186" s="14">
        <f>IF(ISNA(MATCH(B186,'Metabase Lookup'!$A:$A,0)),"Not found",IF(INDEX('Metabase Lookup'!$B:$B,MATCH(B186,'Metabase Lookup'!$A:$A,0))="","Pending",INDEX('Metabase Lookup'!$B:$B,MATCH(B186,'Metabase Lookup'!$A:$A,0))))</f>
        <v/>
      </c>
      <c r="W186" s="14">
        <f>IF(ISNA(MATCH(B186,'Metabase Lookup'!$A:$A,0)),"Not found",IF(INDEX('Metabase Lookup'!$C:$C,MATCH(B186,'Metabase Lookup'!$A:$A,0))="","Pending",INDEX('Metabase Lookup'!$C:$C,MATCH(B186,'Metabase Lookup'!$A:$A,0))))</f>
        <v/>
      </c>
      <c r="X186" s="14">
        <f>IF(ISNA(MATCH(B186,'Metabase Lookup'!$A:$A,0)),"",IF(INDEX('Metabase Lookup'!$D:$D,MATCH(B186,'Metabase Lookup'!$A:$A,0))="","",INDEX('Metabase Lookup'!$D:$D,MATCH(B186,'Metabase Lookup'!$A:$A,0))))</f>
        <v/>
      </c>
      <c r="Y186" s="14">
        <f>IF(ISNUMBER(W186),IF(W186&gt;0,"Yes","No"),"Pending")</f>
        <v/>
      </c>
      <c r="Z186" s="14" t="inlineStr"/>
    </row>
    <row r="187">
      <c r="A187" s="14" t="n">
        <v>186</v>
      </c>
      <c r="B187" s="14" t="inlineStr">
        <is>
          <t>NLMYWA04659528</t>
        </is>
      </c>
      <c r="C187" s="15" t="inlineStr">
        <is>
          <t>269192654789</t>
        </is>
      </c>
      <c r="D187" s="16" t="n">
        <v>46287.65668981482</v>
      </c>
      <c r="E187" s="17" t="n">
        <v>46287</v>
      </c>
      <c r="F187" s="14" t="inlineStr">
        <is>
          <t>Tue</t>
        </is>
      </c>
      <c r="G187" s="14" t="inlineStr">
        <is>
          <t>KV</t>
        </is>
      </c>
      <c r="H187" s="14" t="inlineStr">
        <is>
          <t>PJY</t>
        </is>
      </c>
      <c r="I187" s="14" t="inlineStr">
        <is>
          <t>OPS - PJY</t>
        </is>
      </c>
      <c r="J187" s="14" t="inlineStr">
        <is>
          <t>OPS (generic hub account)</t>
        </is>
      </c>
      <c r="K187" s="14" t="inlineStr">
        <is>
          <t>91859712</t>
        </is>
      </c>
      <c r="L187" s="14" t="n">
        <v>1</v>
      </c>
      <c r="M187" s="14" t="inlineStr">
        <is>
          <t>LM</t>
        </is>
      </c>
      <c r="N187" s="14" t="inlineStr">
        <is>
          <t>Fake Fail</t>
        </is>
      </c>
      <c r="O187" s="14" t="inlineStr">
        <is>
          <t>No call / call log missing</t>
        </is>
      </c>
      <c r="P187" s="14" t="inlineStr">
        <is>
          <t>Yes</t>
        </is>
      </c>
      <c r="Q187" s="14" t="inlineStr">
        <is>
          <t>No</t>
        </is>
      </c>
      <c r="R187" s="14" t="inlineStr">
        <is>
          <t>Invalid delivery attempt. POD invalid: No call log/No location</t>
        </is>
      </c>
      <c r="S187" s="14" t="inlineStr">
        <is>
          <t>Putri</t>
        </is>
      </c>
      <c r="T187" s="14">
        <f>COUNTIF($B$2:$B$499,B187)</f>
        <v/>
      </c>
      <c r="U187" s="14">
        <f>COUNTIF($I$2:$I$499,I187)</f>
        <v/>
      </c>
      <c r="V187" s="14">
        <f>IF(ISNA(MATCH(B187,'Metabase Lookup'!$A:$A,0)),"Not found",IF(INDEX('Metabase Lookup'!$B:$B,MATCH(B187,'Metabase Lookup'!$A:$A,0))="","Pending",INDEX('Metabase Lookup'!$B:$B,MATCH(B187,'Metabase Lookup'!$A:$A,0))))</f>
        <v/>
      </c>
      <c r="W187" s="14">
        <f>IF(ISNA(MATCH(B187,'Metabase Lookup'!$A:$A,0)),"Not found",IF(INDEX('Metabase Lookup'!$C:$C,MATCH(B187,'Metabase Lookup'!$A:$A,0))="","Pending",INDEX('Metabase Lookup'!$C:$C,MATCH(B187,'Metabase Lookup'!$A:$A,0))))</f>
        <v/>
      </c>
      <c r="X187" s="14">
        <f>IF(ISNA(MATCH(B187,'Metabase Lookup'!$A:$A,0)),"",IF(INDEX('Metabase Lookup'!$D:$D,MATCH(B187,'Metabase Lookup'!$A:$A,0))="","",INDEX('Metabase Lookup'!$D:$D,MATCH(B187,'Metabase Lookup'!$A:$A,0))))</f>
        <v/>
      </c>
      <c r="Y187" s="14">
        <f>IF(ISNUMBER(W187),IF(W187&gt;0,"Yes","No"),"Pending")</f>
        <v/>
      </c>
      <c r="Z187" s="14" t="inlineStr">
        <is>
          <t>Driver not identified (OPS account)</t>
        </is>
      </c>
    </row>
    <row r="188">
      <c r="A188" s="14" t="n">
        <v>187</v>
      </c>
      <c r="B188" s="14" t="inlineStr">
        <is>
          <t>GMJI9701623533001</t>
        </is>
      </c>
      <c r="C188" s="15" t="inlineStr">
        <is>
          <t>267962657529</t>
        </is>
      </c>
      <c r="D188" s="16" t="n">
        <v>46287.66179398148</v>
      </c>
      <c r="E188" s="17" t="n">
        <v>46287</v>
      </c>
      <c r="F188" s="14" t="inlineStr">
        <is>
          <t>Tue</t>
        </is>
      </c>
      <c r="G188" s="14" t="inlineStr">
        <is>
          <t>KV</t>
        </is>
      </c>
      <c r="H188" s="14" t="inlineStr">
        <is>
          <t>KAJ</t>
        </is>
      </c>
      <c r="I188" s="14" t="inlineStr">
        <is>
          <t>KAJ - ID - NAWWAR AIN</t>
        </is>
      </c>
      <c r="J188" s="14" t="inlineStr">
        <is>
          <t>ID (named driver)</t>
        </is>
      </c>
      <c r="K188" s="14" t="inlineStr">
        <is>
          <t>91772001</t>
        </is>
      </c>
      <c r="L188" s="14" t="n">
        <v>1</v>
      </c>
      <c r="M188" s="14" t="inlineStr">
        <is>
          <t>LM</t>
        </is>
      </c>
      <c r="N188" s="14" t="inlineStr">
        <is>
          <t>Fake Success</t>
        </is>
      </c>
      <c r="O188" s="14" t="inlineStr"/>
      <c r="P188" s="14" t="inlineStr"/>
      <c r="Q188" s="14" t="inlineStr"/>
      <c r="R188" s="14" t="inlineStr">
        <is>
          <t>Driver did not notify the customer that the parcel was delivered and POD did not indicate which office address but the unit number is correct, however, customer did not receive until now. investigation exceeded 7 days</t>
        </is>
      </c>
      <c r="S188" s="14" t="inlineStr">
        <is>
          <t>Putri</t>
        </is>
      </c>
      <c r="T188" s="14">
        <f>COUNTIF($B$2:$B$499,B188)</f>
        <v/>
      </c>
      <c r="U188" s="14">
        <f>COUNTIF($I$2:$I$499,I188)</f>
        <v/>
      </c>
      <c r="V188" s="14">
        <f>IF(ISNA(MATCH(B188,'Metabase Lookup'!$A:$A,0)),"Not found",IF(INDEX('Metabase Lookup'!$B:$B,MATCH(B188,'Metabase Lookup'!$A:$A,0))="","Pending",INDEX('Metabase Lookup'!$B:$B,MATCH(B188,'Metabase Lookup'!$A:$A,0))))</f>
        <v/>
      </c>
      <c r="W188" s="14">
        <f>IF(ISNA(MATCH(B188,'Metabase Lookup'!$A:$A,0)),"Not found",IF(INDEX('Metabase Lookup'!$C:$C,MATCH(B188,'Metabase Lookup'!$A:$A,0))="","Pending",INDEX('Metabase Lookup'!$C:$C,MATCH(B188,'Metabase Lookup'!$A:$A,0))))</f>
        <v/>
      </c>
      <c r="X188" s="14">
        <f>IF(ISNA(MATCH(B188,'Metabase Lookup'!$A:$A,0)),"",IF(INDEX('Metabase Lookup'!$D:$D,MATCH(B188,'Metabase Lookup'!$A:$A,0))="","",INDEX('Metabase Lookup'!$D:$D,MATCH(B188,'Metabase Lookup'!$A:$A,0))))</f>
        <v/>
      </c>
      <c r="Y188" s="14">
        <f>IF(ISNUMBER(W188),IF(W188&gt;0,"Yes","No"),"Pending")</f>
        <v/>
      </c>
      <c r="Z188" s="14" t="inlineStr"/>
    </row>
    <row r="189">
      <c r="A189" s="14" t="n">
        <v>188</v>
      </c>
      <c r="B189" s="14" t="inlineStr">
        <is>
          <t>NVMYNUYUS000003404</t>
        </is>
      </c>
      <c r="C189" s="15" t="inlineStr">
        <is>
          <t>265482653192</t>
        </is>
      </c>
      <c r="D189" s="16" t="n">
        <v>46287.66427083333</v>
      </c>
      <c r="E189" s="17" t="n">
        <v>46287</v>
      </c>
      <c r="F189" s="14" t="inlineStr">
        <is>
          <t>Tue</t>
        </is>
      </c>
      <c r="G189" s="14" t="inlineStr">
        <is>
          <t>Southern</t>
        </is>
      </c>
      <c r="H189" s="14" t="inlineStr">
        <is>
          <t>TRM</t>
        </is>
      </c>
      <c r="I189" s="14" t="inlineStr">
        <is>
          <t>TRM - ID - FADHLI</t>
        </is>
      </c>
      <c r="J189" s="14" t="inlineStr">
        <is>
          <t>ID (named driver)</t>
        </is>
      </c>
      <c r="K189" s="14" t="inlineStr">
        <is>
          <t>91857329</t>
        </is>
      </c>
      <c r="L189" s="14" t="n">
        <v>1</v>
      </c>
      <c r="M189" s="14" t="inlineStr">
        <is>
          <t>LM</t>
        </is>
      </c>
      <c r="N189" s="14" t="inlineStr">
        <is>
          <t>Fake Fail</t>
        </is>
      </c>
      <c r="O189" s="14" t="inlineStr">
        <is>
          <t>Invalid location / site photo</t>
        </is>
      </c>
      <c r="P189" s="14" t="inlineStr">
        <is>
          <t>Yes</t>
        </is>
      </c>
      <c r="Q189" s="14" t="inlineStr">
        <is>
          <t>No</t>
        </is>
      </c>
      <c r="R189" s="14" t="inlineStr">
        <is>
          <t>location pod not customer house</t>
        </is>
      </c>
      <c r="S189" s="14" t="inlineStr">
        <is>
          <t>Ninja Hadif</t>
        </is>
      </c>
      <c r="T189" s="14">
        <f>COUNTIF($B$2:$B$499,B189)</f>
        <v/>
      </c>
      <c r="U189" s="14">
        <f>COUNTIF($I$2:$I$499,I189)</f>
        <v/>
      </c>
      <c r="V189" s="14">
        <f>IF(ISNA(MATCH(B189,'Metabase Lookup'!$A:$A,0)),"Not found",IF(INDEX('Metabase Lookup'!$B:$B,MATCH(B189,'Metabase Lookup'!$A:$A,0))="","Pending",INDEX('Metabase Lookup'!$B:$B,MATCH(B189,'Metabase Lookup'!$A:$A,0))))</f>
        <v/>
      </c>
      <c r="W189" s="14">
        <f>IF(ISNA(MATCH(B189,'Metabase Lookup'!$A:$A,0)),"Not found",IF(INDEX('Metabase Lookup'!$C:$C,MATCH(B189,'Metabase Lookup'!$A:$A,0))="","Pending",INDEX('Metabase Lookup'!$C:$C,MATCH(B189,'Metabase Lookup'!$A:$A,0))))</f>
        <v/>
      </c>
      <c r="X189" s="14">
        <f>IF(ISNA(MATCH(B189,'Metabase Lookup'!$A:$A,0)),"",IF(INDEX('Metabase Lookup'!$D:$D,MATCH(B189,'Metabase Lookup'!$A:$A,0))="","",INDEX('Metabase Lookup'!$D:$D,MATCH(B189,'Metabase Lookup'!$A:$A,0))))</f>
        <v/>
      </c>
      <c r="Y189" s="14">
        <f>IF(ISNUMBER(W189),IF(W189&gt;0,"Yes","No"),"Pending")</f>
        <v/>
      </c>
      <c r="Z189" s="14" t="inlineStr"/>
    </row>
    <row r="190">
      <c r="A190" s="14" t="n">
        <v>189</v>
      </c>
      <c r="B190" s="14" t="inlineStr">
        <is>
          <t>NVMYDOCMY000089692</t>
        </is>
      </c>
      <c r="C190" s="15" t="inlineStr">
        <is>
          <t>264962653400</t>
        </is>
      </c>
      <c r="D190" s="16" t="n">
        <v>46287.67086805555</v>
      </c>
      <c r="E190" s="17" t="n">
        <v>46287</v>
      </c>
      <c r="F190" s="14" t="inlineStr">
        <is>
          <t>Tue</t>
        </is>
      </c>
      <c r="G190" s="14" t="inlineStr">
        <is>
          <t>KV</t>
        </is>
      </c>
      <c r="H190" s="14" t="inlineStr">
        <is>
          <t>SHA</t>
        </is>
      </c>
      <c r="I190" s="14" t="inlineStr">
        <is>
          <t>SHA - HR - IZWAN</t>
        </is>
      </c>
      <c r="J190" s="14" t="inlineStr">
        <is>
          <t>HR (named)</t>
        </is>
      </c>
      <c r="K190" s="14" t="inlineStr">
        <is>
          <t>91863445</t>
        </is>
      </c>
      <c r="L190" s="14" t="n">
        <v>1</v>
      </c>
      <c r="M190" s="14" t="inlineStr">
        <is>
          <t>LM</t>
        </is>
      </c>
      <c r="N190" s="14" t="inlineStr">
        <is>
          <t>Fake Fail</t>
        </is>
      </c>
      <c r="O190" s="14" t="inlineStr">
        <is>
          <t>No call / call log missing</t>
        </is>
      </c>
      <c r="P190" s="14" t="inlineStr">
        <is>
          <t>Yes</t>
        </is>
      </c>
      <c r="Q190" s="14" t="inlineStr">
        <is>
          <t>No</t>
        </is>
      </c>
      <c r="R190" s="14" t="inlineStr">
        <is>
          <t>Invalid delivery attempt. POD invalid: No call log/No location</t>
        </is>
      </c>
      <c r="S190" s="14" t="inlineStr">
        <is>
          <t>Putri</t>
        </is>
      </c>
      <c r="T190" s="14">
        <f>COUNTIF($B$2:$B$499,B190)</f>
        <v/>
      </c>
      <c r="U190" s="14">
        <f>COUNTIF($I$2:$I$499,I190)</f>
        <v/>
      </c>
      <c r="V190" s="14">
        <f>IF(ISNA(MATCH(B190,'Metabase Lookup'!$A:$A,0)),"Not found",IF(INDEX('Metabase Lookup'!$B:$B,MATCH(B190,'Metabase Lookup'!$A:$A,0))="","Pending",INDEX('Metabase Lookup'!$B:$B,MATCH(B190,'Metabase Lookup'!$A:$A,0))))</f>
        <v/>
      </c>
      <c r="W190" s="14">
        <f>IF(ISNA(MATCH(B190,'Metabase Lookup'!$A:$A,0)),"Not found",IF(INDEX('Metabase Lookup'!$C:$C,MATCH(B190,'Metabase Lookup'!$A:$A,0))="","Pending",INDEX('Metabase Lookup'!$C:$C,MATCH(B190,'Metabase Lookup'!$A:$A,0))))</f>
        <v/>
      </c>
      <c r="X190" s="14">
        <f>IF(ISNA(MATCH(B190,'Metabase Lookup'!$A:$A,0)),"",IF(INDEX('Metabase Lookup'!$D:$D,MATCH(B190,'Metabase Lookup'!$A:$A,0))="","",INDEX('Metabase Lookup'!$D:$D,MATCH(B190,'Metabase Lookup'!$A:$A,0))))</f>
        <v/>
      </c>
      <c r="Y190" s="14">
        <f>IF(ISNUMBER(W190),IF(W190&gt;0,"Yes","No"),"Pending")</f>
        <v/>
      </c>
      <c r="Z190" s="14" t="inlineStr"/>
    </row>
    <row r="191">
      <c r="A191" s="14" t="n">
        <v>190</v>
      </c>
      <c r="B191" s="14" t="inlineStr">
        <is>
          <t>MYNJV70088605618</t>
        </is>
      </c>
      <c r="C191" s="15" t="inlineStr">
        <is>
          <t>261922650591</t>
        </is>
      </c>
      <c r="D191" s="16" t="n">
        <v>46287.67353009259</v>
      </c>
      <c r="E191" s="17" t="n">
        <v>46287</v>
      </c>
      <c r="F191" s="14" t="inlineStr">
        <is>
          <t>Tue</t>
        </is>
      </c>
      <c r="G191" s="14" t="inlineStr">
        <is>
          <t>KV</t>
        </is>
      </c>
      <c r="H191" s="14" t="inlineStr">
        <is>
          <t>PJY</t>
        </is>
      </c>
      <c r="I191" s="14" t="inlineStr">
        <is>
          <t>OPS - PJY</t>
        </is>
      </c>
      <c r="J191" s="14" t="inlineStr">
        <is>
          <t>OPS (generic hub account)</t>
        </is>
      </c>
      <c r="K191" s="14" t="inlineStr">
        <is>
          <t>91844729</t>
        </is>
      </c>
      <c r="L191" s="14" t="n">
        <v>1</v>
      </c>
      <c r="M191" s="14" t="inlineStr">
        <is>
          <t>LM</t>
        </is>
      </c>
      <c r="N191" s="14" t="inlineStr">
        <is>
          <t>Fake Fail</t>
        </is>
      </c>
      <c r="O191" s="14" t="inlineStr">
        <is>
          <t>No call / call log missing</t>
        </is>
      </c>
      <c r="P191" s="14" t="inlineStr">
        <is>
          <t>Yes</t>
        </is>
      </c>
      <c r="Q191" s="14" t="inlineStr">
        <is>
          <t>No</t>
        </is>
      </c>
      <c r="R191" s="14" t="inlineStr">
        <is>
          <t>Invalid delivery attempt. POD invalid: No call log/No location</t>
        </is>
      </c>
      <c r="S191" s="14" t="inlineStr">
        <is>
          <t>Putri</t>
        </is>
      </c>
      <c r="T191" s="14">
        <f>COUNTIF($B$2:$B$499,B191)</f>
        <v/>
      </c>
      <c r="U191" s="14">
        <f>COUNTIF($I$2:$I$499,I191)</f>
        <v/>
      </c>
      <c r="V191" s="14">
        <f>IF(ISNA(MATCH(B191,'Metabase Lookup'!$A:$A,0)),"Not found",IF(INDEX('Metabase Lookup'!$B:$B,MATCH(B191,'Metabase Lookup'!$A:$A,0))="","Pending",INDEX('Metabase Lookup'!$B:$B,MATCH(B191,'Metabase Lookup'!$A:$A,0))))</f>
        <v/>
      </c>
      <c r="W191" s="14">
        <f>IF(ISNA(MATCH(B191,'Metabase Lookup'!$A:$A,0)),"Not found",IF(INDEX('Metabase Lookup'!$C:$C,MATCH(B191,'Metabase Lookup'!$A:$A,0))="","Pending",INDEX('Metabase Lookup'!$C:$C,MATCH(B191,'Metabase Lookup'!$A:$A,0))))</f>
        <v/>
      </c>
      <c r="X191" s="14">
        <f>IF(ISNA(MATCH(B191,'Metabase Lookup'!$A:$A,0)),"",IF(INDEX('Metabase Lookup'!$D:$D,MATCH(B191,'Metabase Lookup'!$A:$A,0))="","",INDEX('Metabase Lookup'!$D:$D,MATCH(B191,'Metabase Lookup'!$A:$A,0))))</f>
        <v/>
      </c>
      <c r="Y191" s="14">
        <f>IF(ISNUMBER(W191),IF(W191&gt;0,"Yes","No"),"Pending")</f>
        <v/>
      </c>
      <c r="Z191" s="14" t="inlineStr">
        <is>
          <t>Driver not identified (OPS account)</t>
        </is>
      </c>
    </row>
    <row r="192">
      <c r="A192" s="14" t="n">
        <v>191</v>
      </c>
      <c r="B192" s="14" t="inlineStr">
        <is>
          <t>ZRP856253222893ZRP857883224124</t>
        </is>
      </c>
      <c r="C192" s="15" t="inlineStr">
        <is>
          <t>263972657195</t>
        </is>
      </c>
      <c r="D192" s="16" t="n">
        <v>46287.68243055556</v>
      </c>
      <c r="E192" s="17" t="n">
        <v>46287</v>
      </c>
      <c r="F192" s="14" t="inlineStr">
        <is>
          <t>Tue</t>
        </is>
      </c>
      <c r="G192" s="14" t="inlineStr">
        <is>
          <t>Northern</t>
        </is>
      </c>
      <c r="H192" s="14" t="inlineStr">
        <is>
          <t>GEO</t>
        </is>
      </c>
      <c r="I192" s="14" t="inlineStr">
        <is>
          <t>GEO - ID - SHAFIEQAAL</t>
        </is>
      </c>
      <c r="J192" s="14" t="inlineStr">
        <is>
          <t>ID (named driver)</t>
        </is>
      </c>
      <c r="K192" s="14" t="inlineStr">
        <is>
          <t>91824651</t>
        </is>
      </c>
      <c r="L192" s="14" t="n">
        <v>1</v>
      </c>
      <c r="M192" s="14" t="inlineStr">
        <is>
          <t>LM</t>
        </is>
      </c>
      <c r="N192" s="14" t="inlineStr">
        <is>
          <t>Failed pick-up</t>
        </is>
      </c>
      <c r="O192" s="14" t="inlineStr"/>
      <c r="P192" s="14" t="inlineStr"/>
      <c r="Q192" s="14" t="inlineStr"/>
      <c r="R192" s="14" t="inlineStr">
        <is>
          <t>No call log attached</t>
        </is>
      </c>
      <c r="S192" s="14" t="inlineStr">
        <is>
          <t>Wani</t>
        </is>
      </c>
      <c r="T192" s="14">
        <f>COUNTIF($B$2:$B$499,B192)</f>
        <v/>
      </c>
      <c r="U192" s="14">
        <f>COUNTIF($I$2:$I$499,I192)</f>
        <v/>
      </c>
      <c r="V192" s="14">
        <f>IF(ISNA(MATCH(B192,'Metabase Lookup'!$A:$A,0)),"Not found",IF(INDEX('Metabase Lookup'!$B:$B,MATCH(B192,'Metabase Lookup'!$A:$A,0))="","Pending",INDEX('Metabase Lookup'!$B:$B,MATCH(B192,'Metabase Lookup'!$A:$A,0))))</f>
        <v/>
      </c>
      <c r="W192" s="14">
        <f>IF(ISNA(MATCH(B192,'Metabase Lookup'!$A:$A,0)),"Not found",IF(INDEX('Metabase Lookup'!$C:$C,MATCH(B192,'Metabase Lookup'!$A:$A,0))="","Pending",INDEX('Metabase Lookup'!$C:$C,MATCH(B192,'Metabase Lookup'!$A:$A,0))))</f>
        <v/>
      </c>
      <c r="X192" s="14">
        <f>IF(ISNA(MATCH(B192,'Metabase Lookup'!$A:$A,0)),"",IF(INDEX('Metabase Lookup'!$D:$D,MATCH(B192,'Metabase Lookup'!$A:$A,0))="","",INDEX('Metabase Lookup'!$D:$D,MATCH(B192,'Metabase Lookup'!$A:$A,0))))</f>
        <v/>
      </c>
      <c r="Y192" s="14">
        <f>IF(ISNUMBER(W192),IF(W192&gt;0,"Yes","No"),"Pending")</f>
        <v/>
      </c>
      <c r="Z192" s="14" t="inlineStr">
        <is>
          <t>TID had stray spaces/line breaks (cleaned)</t>
        </is>
      </c>
    </row>
    <row r="193">
      <c r="A193" s="14" t="n">
        <v>192</v>
      </c>
      <c r="B193" s="14" t="inlineStr">
        <is>
          <t>RNCNV000500472</t>
        </is>
      </c>
      <c r="C193" s="15" t="inlineStr">
        <is>
          <t>265562654516</t>
        </is>
      </c>
      <c r="D193" s="16" t="n">
        <v>46287.68965277778</v>
      </c>
      <c r="E193" s="17" t="n">
        <v>46287</v>
      </c>
      <c r="F193" s="14" t="inlineStr">
        <is>
          <t>Tue</t>
        </is>
      </c>
      <c r="G193" s="14" t="inlineStr">
        <is>
          <t>Northern</t>
        </is>
      </c>
      <c r="H193" s="14" t="inlineStr">
        <is>
          <t>KLM</t>
        </is>
      </c>
      <c r="I193" s="14" t="inlineStr">
        <is>
          <t>KLM - ID - SHIMAISA</t>
        </is>
      </c>
      <c r="J193" s="14" t="inlineStr">
        <is>
          <t>ID (named driver)</t>
        </is>
      </c>
      <c r="K193" s="14" t="inlineStr">
        <is>
          <t>91852366</t>
        </is>
      </c>
      <c r="L193" s="14" t="n">
        <v>1</v>
      </c>
      <c r="M193" s="14" t="inlineStr">
        <is>
          <t>LM</t>
        </is>
      </c>
      <c r="N193" s="14" t="inlineStr">
        <is>
          <t>Failed pick-up</t>
        </is>
      </c>
      <c r="O193" s="14" t="inlineStr"/>
      <c r="P193" s="14" t="inlineStr"/>
      <c r="Q193" s="14" t="inlineStr"/>
      <c r="R193" s="14" t="inlineStr">
        <is>
          <t>Invalid delivery attempt. POD invalid: No call log, whatsapp driver did not even sent</t>
        </is>
      </c>
      <c r="S193" s="14" t="inlineStr">
        <is>
          <t>Putri</t>
        </is>
      </c>
      <c r="T193" s="14">
        <f>COUNTIF($B$2:$B$499,B193)</f>
        <v/>
      </c>
      <c r="U193" s="14">
        <f>COUNTIF($I$2:$I$499,I193)</f>
        <v/>
      </c>
      <c r="V193" s="14">
        <f>IF(ISNA(MATCH(B193,'Metabase Lookup'!$A:$A,0)),"Not found",IF(INDEX('Metabase Lookup'!$B:$B,MATCH(B193,'Metabase Lookup'!$A:$A,0))="","Pending",INDEX('Metabase Lookup'!$B:$B,MATCH(B193,'Metabase Lookup'!$A:$A,0))))</f>
        <v/>
      </c>
      <c r="W193" s="14">
        <f>IF(ISNA(MATCH(B193,'Metabase Lookup'!$A:$A,0)),"Not found",IF(INDEX('Metabase Lookup'!$C:$C,MATCH(B193,'Metabase Lookup'!$A:$A,0))="","Pending",INDEX('Metabase Lookup'!$C:$C,MATCH(B193,'Metabase Lookup'!$A:$A,0))))</f>
        <v/>
      </c>
      <c r="X193" s="14">
        <f>IF(ISNA(MATCH(B193,'Metabase Lookup'!$A:$A,0)),"",IF(INDEX('Metabase Lookup'!$D:$D,MATCH(B193,'Metabase Lookup'!$A:$A,0))="","",INDEX('Metabase Lookup'!$D:$D,MATCH(B193,'Metabase Lookup'!$A:$A,0))))</f>
        <v/>
      </c>
      <c r="Y193" s="14">
        <f>IF(ISNUMBER(W193),IF(W193&gt;0,"Yes","No"),"Pending")</f>
        <v/>
      </c>
      <c r="Z193" s="14" t="inlineStr"/>
    </row>
    <row r="194">
      <c r="A194" s="14" t="n">
        <v>193</v>
      </c>
      <c r="B194" s="14" t="inlineStr">
        <is>
          <t>NVMYKBARA000008766</t>
        </is>
      </c>
      <c r="C194" s="15" t="inlineStr">
        <is>
          <t>267632650425</t>
        </is>
      </c>
      <c r="D194" s="16" t="n">
        <v>46287.68980324074</v>
      </c>
      <c r="E194" s="17" t="n">
        <v>46287</v>
      </c>
      <c r="F194" s="14" t="inlineStr">
        <is>
          <t>Tue</t>
        </is>
      </c>
      <c r="G194" s="14" t="inlineStr">
        <is>
          <t>Southern</t>
        </is>
      </c>
      <c r="H194" s="14" t="inlineStr">
        <is>
          <t>NSJ</t>
        </is>
      </c>
      <c r="I194" s="14" t="inlineStr">
        <is>
          <t>OPS - NSJ</t>
        </is>
      </c>
      <c r="J194" s="14" t="inlineStr">
        <is>
          <t>OPS (generic hub account)</t>
        </is>
      </c>
      <c r="K194" s="14" t="inlineStr">
        <is>
          <t>91857895</t>
        </is>
      </c>
      <c r="L194" s="14" t="n">
        <v>1</v>
      </c>
      <c r="M194" s="14" t="inlineStr">
        <is>
          <t>LM</t>
        </is>
      </c>
      <c r="N194" s="14" t="inlineStr">
        <is>
          <t>Fake Fail</t>
        </is>
      </c>
      <c r="O194" s="14" t="inlineStr">
        <is>
          <t>Invalid POD (no detail)</t>
        </is>
      </c>
      <c r="P194" s="14" t="inlineStr">
        <is>
          <t>No</t>
        </is>
      </c>
      <c r="Q194" s="14" t="inlineStr">
        <is>
          <t>No</t>
        </is>
      </c>
      <c r="R194" s="14" t="inlineStr">
        <is>
          <t>POD invalid</t>
        </is>
      </c>
      <c r="S194" s="14" t="inlineStr">
        <is>
          <t>Syafiq</t>
        </is>
      </c>
      <c r="T194" s="14">
        <f>COUNTIF($B$2:$B$499,B194)</f>
        <v/>
      </c>
      <c r="U194" s="14">
        <f>COUNTIF($I$2:$I$499,I194)</f>
        <v/>
      </c>
      <c r="V194" s="14">
        <f>IF(ISNA(MATCH(B194,'Metabase Lookup'!$A:$A,0)),"Not found",IF(INDEX('Metabase Lookup'!$B:$B,MATCH(B194,'Metabase Lookup'!$A:$A,0))="","Pending",INDEX('Metabase Lookup'!$B:$B,MATCH(B194,'Metabase Lookup'!$A:$A,0))))</f>
        <v/>
      </c>
      <c r="W194" s="14">
        <f>IF(ISNA(MATCH(B194,'Metabase Lookup'!$A:$A,0)),"Not found",IF(INDEX('Metabase Lookup'!$C:$C,MATCH(B194,'Metabase Lookup'!$A:$A,0))="","Pending",INDEX('Metabase Lookup'!$C:$C,MATCH(B194,'Metabase Lookup'!$A:$A,0))))</f>
        <v/>
      </c>
      <c r="X194" s="14">
        <f>IF(ISNA(MATCH(B194,'Metabase Lookup'!$A:$A,0)),"",IF(INDEX('Metabase Lookup'!$D:$D,MATCH(B194,'Metabase Lookup'!$A:$A,0))="","",INDEX('Metabase Lookup'!$D:$D,MATCH(B194,'Metabase Lookup'!$A:$A,0))))</f>
        <v/>
      </c>
      <c r="Y194" s="14">
        <f>IF(ISNUMBER(W194),IF(W194&gt;0,"Yes","No"),"Pending")</f>
        <v/>
      </c>
      <c r="Z194" s="14" t="inlineStr">
        <is>
          <t>TID had stray spaces/line breaks (cleaned); Driver not identified (OPS account)</t>
        </is>
      </c>
    </row>
    <row r="195">
      <c r="A195" s="14" t="n">
        <v>194</v>
      </c>
      <c r="B195" s="14" t="inlineStr">
        <is>
          <t>MAILB1550405881677856768</t>
        </is>
      </c>
      <c r="C195" s="15" t="inlineStr">
        <is>
          <t>264132651557</t>
        </is>
      </c>
      <c r="D195" s="16" t="n">
        <v>46287.69304398148</v>
      </c>
      <c r="E195" s="17" t="n">
        <v>46287</v>
      </c>
      <c r="F195" s="14" t="inlineStr">
        <is>
          <t>Tue</t>
        </is>
      </c>
      <c r="G195" s="14" t="inlineStr">
        <is>
          <t>Northern</t>
        </is>
      </c>
      <c r="H195" s="14" t="inlineStr">
        <is>
          <t>AOR</t>
        </is>
      </c>
      <c r="I195" s="14" t="inlineStr">
        <is>
          <t>AOR - FM - Ihsan Rashid</t>
        </is>
      </c>
      <c r="J195" s="14" t="inlineStr">
        <is>
          <t>FM (first-mile)</t>
        </is>
      </c>
      <c r="K195" s="14" t="inlineStr">
        <is>
          <t>91844628</t>
        </is>
      </c>
      <c r="L195" s="14" t="n">
        <v>1</v>
      </c>
      <c r="M195" s="14" t="inlineStr">
        <is>
          <t>LM</t>
        </is>
      </c>
      <c r="N195" s="14" t="inlineStr">
        <is>
          <t>Fake Fail</t>
        </is>
      </c>
      <c r="O195" s="14" t="inlineStr">
        <is>
          <t>Wrong number called</t>
        </is>
      </c>
      <c r="P195" s="14" t="inlineStr">
        <is>
          <t>Yes</t>
        </is>
      </c>
      <c r="Q195" s="14" t="inlineStr">
        <is>
          <t>No</t>
        </is>
      </c>
      <c r="R195" s="14" t="inlineStr">
        <is>
          <t>driver contact different number and location is office address not home address</t>
        </is>
      </c>
      <c r="S195" s="14" t="inlineStr">
        <is>
          <t>Hartini</t>
        </is>
      </c>
      <c r="T195" s="14">
        <f>COUNTIF($B$2:$B$499,B195)</f>
        <v/>
      </c>
      <c r="U195" s="14">
        <f>COUNTIF($I$2:$I$499,I195)</f>
        <v/>
      </c>
      <c r="V195" s="14">
        <f>IF(ISNA(MATCH(B195,'Metabase Lookup'!$A:$A,0)),"Not found",IF(INDEX('Metabase Lookup'!$B:$B,MATCH(B195,'Metabase Lookup'!$A:$A,0))="","Pending",INDEX('Metabase Lookup'!$B:$B,MATCH(B195,'Metabase Lookup'!$A:$A,0))))</f>
        <v/>
      </c>
      <c r="W195" s="14">
        <f>IF(ISNA(MATCH(B195,'Metabase Lookup'!$A:$A,0)),"Not found",IF(INDEX('Metabase Lookup'!$C:$C,MATCH(B195,'Metabase Lookup'!$A:$A,0))="","Pending",INDEX('Metabase Lookup'!$C:$C,MATCH(B195,'Metabase Lookup'!$A:$A,0))))</f>
        <v/>
      </c>
      <c r="X195" s="14">
        <f>IF(ISNA(MATCH(B195,'Metabase Lookup'!$A:$A,0)),"",IF(INDEX('Metabase Lookup'!$D:$D,MATCH(B195,'Metabase Lookup'!$A:$A,0))="","",INDEX('Metabase Lookup'!$D:$D,MATCH(B195,'Metabase Lookup'!$A:$A,0))))</f>
        <v/>
      </c>
      <c r="Y195" s="14">
        <f>IF(ISNUMBER(W195),IF(W195&gt;0,"Yes","No"),"Pending")</f>
        <v/>
      </c>
      <c r="Z195" s="14" t="inlineStr"/>
    </row>
    <row r="196">
      <c r="A196" s="14" t="n">
        <v>195</v>
      </c>
      <c r="B196" s="14" t="inlineStr">
        <is>
          <t>MYNJV70074605248,NVMYVTJSS000041886</t>
        </is>
      </c>
      <c r="C196" s="15" t="inlineStr">
        <is>
          <t>263682651298</t>
        </is>
      </c>
      <c r="D196" s="16" t="n">
        <v>46287.69401620371</v>
      </c>
      <c r="E196" s="17" t="n">
        <v>46287</v>
      </c>
      <c r="F196" s="14" t="inlineStr">
        <is>
          <t>Tue</t>
        </is>
      </c>
      <c r="G196" s="14" t="inlineStr">
        <is>
          <t>KV</t>
        </is>
      </c>
      <c r="H196" s="14" t="inlineStr">
        <is>
          <t>BTR</t>
        </is>
      </c>
      <c r="I196" s="14" t="inlineStr">
        <is>
          <t>Aliff Rosidy</t>
        </is>
      </c>
      <c r="J196" s="14" t="inlineStr">
        <is>
          <t>Name only (no hub/code)</t>
        </is>
      </c>
      <c r="K196" s="14" t="inlineStr">
        <is>
          <t>91861879, 91847382, 91841444, 91856225, 91831241</t>
        </is>
      </c>
      <c r="L196" s="14" t="n">
        <v>5</v>
      </c>
      <c r="M196" s="14" t="inlineStr">
        <is>
          <t>LM</t>
        </is>
      </c>
      <c r="N196" s="14" t="inlineStr">
        <is>
          <t>Pull Out Route (POR)</t>
        </is>
      </c>
      <c r="O196" s="14" t="inlineStr"/>
      <c r="P196" s="14" t="inlineStr"/>
      <c r="Q196" s="14" t="inlineStr"/>
      <c r="R196" s="14" t="inlineStr">
        <is>
          <t>Parcel has PULL OUT OF ROUTE on 2026-09-18 - 2026-09-22. Driver failed the delivery, invalid attempt.</t>
        </is>
      </c>
      <c r="S196" s="14" t="inlineStr">
        <is>
          <t>Putri</t>
        </is>
      </c>
      <c r="T196" s="14">
        <f>COUNTIF($B$2:$B$499,B196)</f>
        <v/>
      </c>
      <c r="U196" s="14">
        <f>COUNTIF($I$2:$I$499,I196)</f>
        <v/>
      </c>
      <c r="V196" s="14">
        <f>IF(ISNA(MATCH(B196,'Metabase Lookup'!$A:$A,0)),"Not found",IF(INDEX('Metabase Lookup'!$B:$B,MATCH(B196,'Metabase Lookup'!$A:$A,0))="","Pending",INDEX('Metabase Lookup'!$B:$B,MATCH(B196,'Metabase Lookup'!$A:$A,0))))</f>
        <v/>
      </c>
      <c r="W196" s="14">
        <f>IF(ISNA(MATCH(B196,'Metabase Lookup'!$A:$A,0)),"Not found",IF(INDEX('Metabase Lookup'!$C:$C,MATCH(B196,'Metabase Lookup'!$A:$A,0))="","Pending",INDEX('Metabase Lookup'!$C:$C,MATCH(B196,'Metabase Lookup'!$A:$A,0))))</f>
        <v/>
      </c>
      <c r="X196" s="14">
        <f>IF(ISNA(MATCH(B196,'Metabase Lookup'!$A:$A,0)),"",IF(INDEX('Metabase Lookup'!$D:$D,MATCH(B196,'Metabase Lookup'!$A:$A,0))="","",INDEX('Metabase Lookup'!$D:$D,MATCH(B196,'Metabase Lookup'!$A:$A,0))))</f>
        <v/>
      </c>
      <c r="Y196" s="14">
        <f>IF(ISNUMBER(W196),IF(W196&gt;0,"Yes","No"),"Pending")</f>
        <v/>
      </c>
      <c r="Z196" s="14" t="inlineStr">
        <is>
          <t>Multiple route IDs; TID had stray spaces/line breaks (cleaned)</t>
        </is>
      </c>
    </row>
    <row r="197">
      <c r="A197" s="14" t="n">
        <v>196</v>
      </c>
      <c r="B197" s="14" t="inlineStr">
        <is>
          <t>NVMYTA1SI000343229</t>
        </is>
      </c>
      <c r="C197" s="15" t="inlineStr">
        <is>
          <t>260202650016</t>
        </is>
      </c>
      <c r="D197" s="16" t="n">
        <v>46287.70055555556</v>
      </c>
      <c r="E197" s="17" t="n">
        <v>46287</v>
      </c>
      <c r="F197" s="14" t="inlineStr">
        <is>
          <t>Tue</t>
        </is>
      </c>
      <c r="G197" s="14" t="inlineStr">
        <is>
          <t>KV</t>
        </is>
      </c>
      <c r="H197" s="14" t="inlineStr">
        <is>
          <t>SHM</t>
        </is>
      </c>
      <c r="I197" s="14" t="inlineStr">
        <is>
          <t>OPS - SHM</t>
        </is>
      </c>
      <c r="J197" s="14" t="inlineStr">
        <is>
          <t>OPS (generic hub account)</t>
        </is>
      </c>
      <c r="K197" s="14" t="inlineStr">
        <is>
          <t>91827454</t>
        </is>
      </c>
      <c r="L197" s="14" t="n">
        <v>1</v>
      </c>
      <c r="M197" s="14" t="inlineStr">
        <is>
          <t>LM</t>
        </is>
      </c>
      <c r="N197" s="14" t="inlineStr">
        <is>
          <t>Pull Out Route (POR)</t>
        </is>
      </c>
      <c r="O197" s="14" t="inlineStr"/>
      <c r="P197" s="14" t="inlineStr"/>
      <c r="Q197" s="14" t="inlineStr"/>
      <c r="R197" s="14" t="inlineStr">
        <is>
          <t>Parcel has PULL OUT OF ROUTE on 2026-09-18 15:11:13 . Driver failed the delivery, invalid attempt.</t>
        </is>
      </c>
      <c r="S197" s="14" t="inlineStr">
        <is>
          <t>Putri</t>
        </is>
      </c>
      <c r="T197" s="14">
        <f>COUNTIF($B$2:$B$499,B197)</f>
        <v/>
      </c>
      <c r="U197" s="14">
        <f>COUNTIF($I$2:$I$499,I197)</f>
        <v/>
      </c>
      <c r="V197" s="14">
        <f>IF(ISNA(MATCH(B197,'Metabase Lookup'!$A:$A,0)),"Not found",IF(INDEX('Metabase Lookup'!$B:$B,MATCH(B197,'Metabase Lookup'!$A:$A,0))="","Pending",INDEX('Metabase Lookup'!$B:$B,MATCH(B197,'Metabase Lookup'!$A:$A,0))))</f>
        <v/>
      </c>
      <c r="W197" s="14">
        <f>IF(ISNA(MATCH(B197,'Metabase Lookup'!$A:$A,0)),"Not found",IF(INDEX('Metabase Lookup'!$C:$C,MATCH(B197,'Metabase Lookup'!$A:$A,0))="","Pending",INDEX('Metabase Lookup'!$C:$C,MATCH(B197,'Metabase Lookup'!$A:$A,0))))</f>
        <v/>
      </c>
      <c r="X197" s="14">
        <f>IF(ISNA(MATCH(B197,'Metabase Lookup'!$A:$A,0)),"",IF(INDEX('Metabase Lookup'!$D:$D,MATCH(B197,'Metabase Lookup'!$A:$A,0))="","",INDEX('Metabase Lookup'!$D:$D,MATCH(B197,'Metabase Lookup'!$A:$A,0))))</f>
        <v/>
      </c>
      <c r="Y197" s="14">
        <f>IF(ISNUMBER(W197),IF(W197&gt;0,"Yes","No"),"Pending")</f>
        <v/>
      </c>
      <c r="Z197" s="14" t="inlineStr">
        <is>
          <t>Driver not identified (OPS account)</t>
        </is>
      </c>
    </row>
    <row r="198">
      <c r="A198" s="14" t="n">
        <v>197</v>
      </c>
      <c r="B198" s="14" t="inlineStr">
        <is>
          <t>NVMY47011000005541</t>
        </is>
      </c>
      <c r="C198" s="15" t="inlineStr">
        <is>
          <t>263162651503</t>
        </is>
      </c>
      <c r="D198" s="16" t="n">
        <v>46287.70427083333</v>
      </c>
      <c r="E198" s="17" t="n">
        <v>46287</v>
      </c>
      <c r="F198" s="14" t="inlineStr">
        <is>
          <t>Tue</t>
        </is>
      </c>
      <c r="G198" s="14" t="inlineStr">
        <is>
          <t>KV</t>
        </is>
      </c>
      <c r="H198" s="14" t="inlineStr">
        <is>
          <t>PJY</t>
        </is>
      </c>
      <c r="I198" s="14" t="inlineStr">
        <is>
          <t>OPS - PJY</t>
        </is>
      </c>
      <c r="J198" s="14" t="inlineStr">
        <is>
          <t>OPS (generic hub account)</t>
        </is>
      </c>
      <c r="K198" s="14" t="inlineStr">
        <is>
          <t>91841536</t>
        </is>
      </c>
      <c r="L198" s="14" t="n">
        <v>1</v>
      </c>
      <c r="M198" s="14" t="inlineStr">
        <is>
          <t>LM</t>
        </is>
      </c>
      <c r="N198" s="14" t="inlineStr">
        <is>
          <t>Fake Fail</t>
        </is>
      </c>
      <c r="O198" s="14" t="inlineStr">
        <is>
          <t>Call not connected / no response</t>
        </is>
      </c>
      <c r="P198" s="14" t="inlineStr">
        <is>
          <t>Yes</t>
        </is>
      </c>
      <c r="Q198" s="14" t="inlineStr">
        <is>
          <t>No</t>
        </is>
      </c>
      <c r="R198" s="14" t="inlineStr">
        <is>
          <t>Invalid delivery attempt. POD invalid: Call log not connected, location invalid</t>
        </is>
      </c>
      <c r="S198" s="14" t="inlineStr">
        <is>
          <t>Putri</t>
        </is>
      </c>
      <c r="T198" s="14">
        <f>COUNTIF($B$2:$B$499,B198)</f>
        <v/>
      </c>
      <c r="U198" s="14">
        <f>COUNTIF($I$2:$I$499,I198)</f>
        <v/>
      </c>
      <c r="V198" s="14">
        <f>IF(ISNA(MATCH(B198,'Metabase Lookup'!$A:$A,0)),"Not found",IF(INDEX('Metabase Lookup'!$B:$B,MATCH(B198,'Metabase Lookup'!$A:$A,0))="","Pending",INDEX('Metabase Lookup'!$B:$B,MATCH(B198,'Metabase Lookup'!$A:$A,0))))</f>
        <v/>
      </c>
      <c r="W198" s="14">
        <f>IF(ISNA(MATCH(B198,'Metabase Lookup'!$A:$A,0)),"Not found",IF(INDEX('Metabase Lookup'!$C:$C,MATCH(B198,'Metabase Lookup'!$A:$A,0))="","Pending",INDEX('Metabase Lookup'!$C:$C,MATCH(B198,'Metabase Lookup'!$A:$A,0))))</f>
        <v/>
      </c>
      <c r="X198" s="14">
        <f>IF(ISNA(MATCH(B198,'Metabase Lookup'!$A:$A,0)),"",IF(INDEX('Metabase Lookup'!$D:$D,MATCH(B198,'Metabase Lookup'!$A:$A,0))="","",INDEX('Metabase Lookup'!$D:$D,MATCH(B198,'Metabase Lookup'!$A:$A,0))))</f>
        <v/>
      </c>
      <c r="Y198" s="14">
        <f>IF(ISNUMBER(W198),IF(W198&gt;0,"Yes","No"),"Pending")</f>
        <v/>
      </c>
      <c r="Z198" s="14" t="inlineStr">
        <is>
          <t>Driver not identified (OPS account)</t>
        </is>
      </c>
    </row>
    <row r="199">
      <c r="A199" s="14" t="n">
        <v>198</v>
      </c>
      <c r="B199" s="14" t="inlineStr">
        <is>
          <t>TNGDV2609136901043020</t>
        </is>
      </c>
      <c r="C199" s="15" t="inlineStr">
        <is>
          <t>260242642296</t>
        </is>
      </c>
      <c r="D199" s="16" t="n">
        <v>46287.70636574074</v>
      </c>
      <c r="E199" s="17" t="n">
        <v>46287</v>
      </c>
      <c r="F199" s="14" t="inlineStr">
        <is>
          <t>Tue</t>
        </is>
      </c>
      <c r="G199" s="14" t="inlineStr">
        <is>
          <t>Northern</t>
        </is>
      </c>
      <c r="H199" s="14" t="inlineStr">
        <is>
          <t>GRN</t>
        </is>
      </c>
      <c r="I199" s="14" t="inlineStr">
        <is>
          <t>GRN - ID - ROHEMI</t>
        </is>
      </c>
      <c r="J199" s="14" t="inlineStr">
        <is>
          <t>ID (named driver)</t>
        </is>
      </c>
      <c r="K199" s="14" t="inlineStr">
        <is>
          <t>91834680</t>
        </is>
      </c>
      <c r="L199" s="14" t="n">
        <v>1</v>
      </c>
      <c r="M199" s="14" t="inlineStr">
        <is>
          <t>LM</t>
        </is>
      </c>
      <c r="N199" s="14" t="inlineStr">
        <is>
          <t>Fake Fail</t>
        </is>
      </c>
      <c r="O199" s="14" t="inlineStr">
        <is>
          <t>Type mismatch (detail not Fake Fail)</t>
        </is>
      </c>
      <c r="P199" s="14" t="inlineStr">
        <is>
          <t>No</t>
        </is>
      </c>
      <c r="Q199" s="14" t="inlineStr">
        <is>
          <t>No</t>
        </is>
      </c>
      <c r="R199" s="14" t="inlineStr">
        <is>
          <t>the driver delivered the parcel to wrong address instead of customers address</t>
        </is>
      </c>
      <c r="S199" s="14" t="inlineStr">
        <is>
          <t>Naveen</t>
        </is>
      </c>
      <c r="T199" s="14">
        <f>COUNTIF($B$2:$B$499,B199)</f>
        <v/>
      </c>
      <c r="U199" s="14">
        <f>COUNTIF($I$2:$I$499,I199)</f>
        <v/>
      </c>
      <c r="V199" s="14">
        <f>IF(ISNA(MATCH(B199,'Metabase Lookup'!$A:$A,0)),"Not found",IF(INDEX('Metabase Lookup'!$B:$B,MATCH(B199,'Metabase Lookup'!$A:$A,0))="","Pending",INDEX('Metabase Lookup'!$B:$B,MATCH(B199,'Metabase Lookup'!$A:$A,0))))</f>
        <v/>
      </c>
      <c r="W199" s="14">
        <f>IF(ISNA(MATCH(B199,'Metabase Lookup'!$A:$A,0)),"Not found",IF(INDEX('Metabase Lookup'!$C:$C,MATCH(B199,'Metabase Lookup'!$A:$A,0))="","Pending",INDEX('Metabase Lookup'!$C:$C,MATCH(B199,'Metabase Lookup'!$A:$A,0))))</f>
        <v/>
      </c>
      <c r="X199" s="14">
        <f>IF(ISNA(MATCH(B199,'Metabase Lookup'!$A:$A,0)),"",IF(INDEX('Metabase Lookup'!$D:$D,MATCH(B199,'Metabase Lookup'!$A:$A,0))="","",INDEX('Metabase Lookup'!$D:$D,MATCH(B199,'Metabase Lookup'!$A:$A,0))))</f>
        <v/>
      </c>
      <c r="Y199" s="14">
        <f>IF(ISNUMBER(W199),IF(W199&gt;0,"Yes","No"),"Pending")</f>
        <v/>
      </c>
      <c r="Z199" s="14" t="inlineStr">
        <is>
          <t>Complaint type does not match details</t>
        </is>
      </c>
    </row>
    <row r="200">
      <c r="A200" s="14" t="n">
        <v>199</v>
      </c>
      <c r="B200" s="14" t="inlineStr">
        <is>
          <t>DEONL1549361821138235392</t>
        </is>
      </c>
      <c r="C200" s="15" t="inlineStr">
        <is>
          <t>261342652011</t>
        </is>
      </c>
      <c r="D200" s="16" t="n">
        <v>46287.70689814815</v>
      </c>
      <c r="E200" s="17" t="n">
        <v>46287</v>
      </c>
      <c r="F200" s="14" t="inlineStr">
        <is>
          <t>Tue</t>
        </is>
      </c>
      <c r="G200" s="14" t="inlineStr">
        <is>
          <t>East MY</t>
        </is>
      </c>
      <c r="H200" s="14" t="inlineStr">
        <is>
          <t>SBW</t>
        </is>
      </c>
      <c r="I200" s="14" t="inlineStr">
        <is>
          <t>SBW - ID - ZULHELMI</t>
        </is>
      </c>
      <c r="J200" s="14" t="inlineStr">
        <is>
          <t>ID (named driver)</t>
        </is>
      </c>
      <c r="K200" s="14" t="inlineStr">
        <is>
          <t>91848215, 91856433</t>
        </is>
      </c>
      <c r="L200" s="14" t="n">
        <v>2</v>
      </c>
      <c r="M200" s="14" t="inlineStr">
        <is>
          <t>LM</t>
        </is>
      </c>
      <c r="N200" s="14" t="inlineStr">
        <is>
          <t>Fake Fail</t>
        </is>
      </c>
      <c r="O200" s="14" t="inlineStr">
        <is>
          <t>Invalid call log (unspecified)</t>
        </is>
      </c>
      <c r="P200" s="14" t="inlineStr">
        <is>
          <t>Yes</t>
        </is>
      </c>
      <c r="Q200" s="14" t="inlineStr">
        <is>
          <t>No</t>
        </is>
      </c>
      <c r="R200" s="14" t="inlineStr">
        <is>
          <t>invalid call log &amp; no site photo</t>
        </is>
      </c>
      <c r="S200" s="14" t="inlineStr">
        <is>
          <t>Yana</t>
        </is>
      </c>
      <c r="T200" s="14">
        <f>COUNTIF($B$2:$B$499,B200)</f>
        <v/>
      </c>
      <c r="U200" s="14">
        <f>COUNTIF($I$2:$I$499,I200)</f>
        <v/>
      </c>
      <c r="V200" s="14">
        <f>IF(ISNA(MATCH(B200,'Metabase Lookup'!$A:$A,0)),"Not found",IF(INDEX('Metabase Lookup'!$B:$B,MATCH(B200,'Metabase Lookup'!$A:$A,0))="","Pending",INDEX('Metabase Lookup'!$B:$B,MATCH(B200,'Metabase Lookup'!$A:$A,0))))</f>
        <v/>
      </c>
      <c r="W200" s="14">
        <f>IF(ISNA(MATCH(B200,'Metabase Lookup'!$A:$A,0)),"Not found",IF(INDEX('Metabase Lookup'!$C:$C,MATCH(B200,'Metabase Lookup'!$A:$A,0))="","Pending",INDEX('Metabase Lookup'!$C:$C,MATCH(B200,'Metabase Lookup'!$A:$A,0))))</f>
        <v/>
      </c>
      <c r="X200" s="14">
        <f>IF(ISNA(MATCH(B200,'Metabase Lookup'!$A:$A,0)),"",IF(INDEX('Metabase Lookup'!$D:$D,MATCH(B200,'Metabase Lookup'!$A:$A,0))="","",INDEX('Metabase Lookup'!$D:$D,MATCH(B200,'Metabase Lookup'!$A:$A,0))))</f>
        <v/>
      </c>
      <c r="Y200" s="14">
        <f>IF(ISNUMBER(W200),IF(W200&gt;0,"Yes","No"),"Pending")</f>
        <v/>
      </c>
      <c r="Z200" s="14" t="inlineStr">
        <is>
          <t>TID logged more than once; Multiple route IDs</t>
        </is>
      </c>
    </row>
    <row r="201">
      <c r="A201" s="14" t="n">
        <v>200</v>
      </c>
      <c r="B201" s="14" t="inlineStr">
        <is>
          <t>RYTDBTQ7WO52SA8</t>
        </is>
      </c>
      <c r="C201" s="15" t="inlineStr">
        <is>
          <t>262732652348</t>
        </is>
      </c>
      <c r="D201" s="16" t="n">
        <v>46287.70707175926</v>
      </c>
      <c r="E201" s="17" t="n">
        <v>46287</v>
      </c>
      <c r="F201" s="14" t="inlineStr">
        <is>
          <t>Tue</t>
        </is>
      </c>
      <c r="G201" s="14" t="inlineStr">
        <is>
          <t>Southern</t>
        </is>
      </c>
      <c r="H201" s="14" t="inlineStr">
        <is>
          <t>NSJ</t>
        </is>
      </c>
      <c r="I201" s="14" t="inlineStr">
        <is>
          <t>OPS - NSJ</t>
        </is>
      </c>
      <c r="J201" s="14" t="inlineStr">
        <is>
          <t>OPS (generic hub account)</t>
        </is>
      </c>
      <c r="K201" s="14" t="inlineStr">
        <is>
          <t>91844859</t>
        </is>
      </c>
      <c r="L201" s="14" t="n">
        <v>1</v>
      </c>
      <c r="M201" s="14" t="inlineStr">
        <is>
          <t>LM</t>
        </is>
      </c>
      <c r="N201" s="14" t="inlineStr">
        <is>
          <t>Fake Fail</t>
        </is>
      </c>
      <c r="O201" s="14" t="inlineStr">
        <is>
          <t>Call not connected / no response</t>
        </is>
      </c>
      <c r="P201" s="14" t="inlineStr">
        <is>
          <t>Yes</t>
        </is>
      </c>
      <c r="Q201" s="14" t="inlineStr">
        <is>
          <t>No</t>
        </is>
      </c>
      <c r="R201" s="14" t="inlineStr">
        <is>
          <t>Invalid delivery attempt. POD invalid: Call log not connected, location invalid</t>
        </is>
      </c>
      <c r="S201" s="14" t="inlineStr">
        <is>
          <t>Putri</t>
        </is>
      </c>
      <c r="T201" s="14">
        <f>COUNTIF($B$2:$B$499,B201)</f>
        <v/>
      </c>
      <c r="U201" s="14">
        <f>COUNTIF($I$2:$I$499,I201)</f>
        <v/>
      </c>
      <c r="V201" s="14">
        <f>IF(ISNA(MATCH(B201,'Metabase Lookup'!$A:$A,0)),"Not found",IF(INDEX('Metabase Lookup'!$B:$B,MATCH(B201,'Metabase Lookup'!$A:$A,0))="","Pending",INDEX('Metabase Lookup'!$B:$B,MATCH(B201,'Metabase Lookup'!$A:$A,0))))</f>
        <v/>
      </c>
      <c r="W201" s="14">
        <f>IF(ISNA(MATCH(B201,'Metabase Lookup'!$A:$A,0)),"Not found",IF(INDEX('Metabase Lookup'!$C:$C,MATCH(B201,'Metabase Lookup'!$A:$A,0))="","Pending",INDEX('Metabase Lookup'!$C:$C,MATCH(B201,'Metabase Lookup'!$A:$A,0))))</f>
        <v/>
      </c>
      <c r="X201" s="14">
        <f>IF(ISNA(MATCH(B201,'Metabase Lookup'!$A:$A,0)),"",IF(INDEX('Metabase Lookup'!$D:$D,MATCH(B201,'Metabase Lookup'!$A:$A,0))="","",INDEX('Metabase Lookup'!$D:$D,MATCH(B201,'Metabase Lookup'!$A:$A,0))))</f>
        <v/>
      </c>
      <c r="Y201" s="14">
        <f>IF(ISNUMBER(W201),IF(W201&gt;0,"Yes","No"),"Pending")</f>
        <v/>
      </c>
      <c r="Z201" s="14" t="inlineStr">
        <is>
          <t>Driver not identified (OPS account)</t>
        </is>
      </c>
    </row>
    <row r="202">
      <c r="A202" s="14" t="n">
        <v>201</v>
      </c>
      <c r="B202" s="14" t="inlineStr">
        <is>
          <t>NVMYTSHSN000010726</t>
        </is>
      </c>
      <c r="C202" s="15" t="inlineStr">
        <is>
          <t>263422654081</t>
        </is>
      </c>
      <c r="D202" s="16" t="n">
        <v>46287.71226851852</v>
      </c>
      <c r="E202" s="17" t="n">
        <v>46287</v>
      </c>
      <c r="F202" s="14" t="inlineStr">
        <is>
          <t>Tue</t>
        </is>
      </c>
      <c r="G202" s="14" t="inlineStr">
        <is>
          <t>Southern</t>
        </is>
      </c>
      <c r="H202" s="14" t="inlineStr">
        <is>
          <t>LKN</t>
        </is>
      </c>
      <c r="I202" s="14" t="inlineStr">
        <is>
          <t>LKN - ID - MUZLIA</t>
        </is>
      </c>
      <c r="J202" s="14" t="inlineStr">
        <is>
          <t>ID (named driver)</t>
        </is>
      </c>
      <c r="K202" s="14" t="inlineStr">
        <is>
          <t>91844801</t>
        </is>
      </c>
      <c r="L202" s="14" t="n">
        <v>1</v>
      </c>
      <c r="M202" s="14" t="inlineStr">
        <is>
          <t>LM</t>
        </is>
      </c>
      <c r="N202" s="14" t="inlineStr">
        <is>
          <t>Fake Fail</t>
        </is>
      </c>
      <c r="O202" s="14" t="inlineStr">
        <is>
          <t>Call not connected / no response</t>
        </is>
      </c>
      <c r="P202" s="14" t="inlineStr">
        <is>
          <t>Yes</t>
        </is>
      </c>
      <c r="Q202" s="14" t="inlineStr">
        <is>
          <t>No</t>
        </is>
      </c>
      <c r="R202" s="14" t="inlineStr">
        <is>
          <t>Invalid delivery attempt. POD invalid: Call log not connected, location invalid</t>
        </is>
      </c>
      <c r="S202" s="14" t="inlineStr">
        <is>
          <t>Putri</t>
        </is>
      </c>
      <c r="T202" s="14">
        <f>COUNTIF($B$2:$B$499,B202)</f>
        <v/>
      </c>
      <c r="U202" s="14">
        <f>COUNTIF($I$2:$I$499,I202)</f>
        <v/>
      </c>
      <c r="V202" s="14">
        <f>IF(ISNA(MATCH(B202,'Metabase Lookup'!$A:$A,0)),"Not found",IF(INDEX('Metabase Lookup'!$B:$B,MATCH(B202,'Metabase Lookup'!$A:$A,0))="","Pending",INDEX('Metabase Lookup'!$B:$B,MATCH(B202,'Metabase Lookup'!$A:$A,0))))</f>
        <v/>
      </c>
      <c r="W202" s="14">
        <f>IF(ISNA(MATCH(B202,'Metabase Lookup'!$A:$A,0)),"Not found",IF(INDEX('Metabase Lookup'!$C:$C,MATCH(B202,'Metabase Lookup'!$A:$A,0))="","Pending",INDEX('Metabase Lookup'!$C:$C,MATCH(B202,'Metabase Lookup'!$A:$A,0))))</f>
        <v/>
      </c>
      <c r="X202" s="14">
        <f>IF(ISNA(MATCH(B202,'Metabase Lookup'!$A:$A,0)),"",IF(INDEX('Metabase Lookup'!$D:$D,MATCH(B202,'Metabase Lookup'!$A:$A,0))="","",INDEX('Metabase Lookup'!$D:$D,MATCH(B202,'Metabase Lookup'!$A:$A,0))))</f>
        <v/>
      </c>
      <c r="Y202" s="14">
        <f>IF(ISNUMBER(W202),IF(W202&gt;0,"Yes","No"),"Pending")</f>
        <v/>
      </c>
      <c r="Z202" s="14" t="inlineStr"/>
    </row>
    <row r="203">
      <c r="A203" s="14" t="n">
        <v>202</v>
      </c>
      <c r="B203" s="14" t="inlineStr">
        <is>
          <t>TNGEO202609111001254427</t>
        </is>
      </c>
      <c r="C203" s="15" t="inlineStr">
        <is>
          <t>269082654485</t>
        </is>
      </c>
      <c r="D203" s="16" t="n">
        <v>46287.71949074074</v>
      </c>
      <c r="E203" s="17" t="n">
        <v>46287</v>
      </c>
      <c r="F203" s="14" t="inlineStr">
        <is>
          <t>Tue</t>
        </is>
      </c>
      <c r="G203" s="14" t="inlineStr">
        <is>
          <t>Southern</t>
        </is>
      </c>
      <c r="H203" s="14" t="inlineStr">
        <is>
          <t>TRM</t>
        </is>
      </c>
      <c r="I203" s="14" t="inlineStr">
        <is>
          <t>TRM - OPS - ULU TIRAM</t>
        </is>
      </c>
      <c r="J203" s="14" t="inlineStr">
        <is>
          <t>OPS (generic hub account)</t>
        </is>
      </c>
      <c r="K203" s="14" t="inlineStr">
        <is>
          <t>91865960</t>
        </is>
      </c>
      <c r="L203" s="14" t="n">
        <v>1</v>
      </c>
      <c r="M203" s="14" t="inlineStr">
        <is>
          <t>LM</t>
        </is>
      </c>
      <c r="N203" s="14" t="inlineStr">
        <is>
          <t>Fake Fail</t>
        </is>
      </c>
      <c r="O203" s="14" t="inlineStr">
        <is>
          <t>Call not connected / no response</t>
        </is>
      </c>
      <c r="P203" s="14" t="inlineStr">
        <is>
          <t>Yes</t>
        </is>
      </c>
      <c r="Q203" s="14" t="inlineStr">
        <is>
          <t>No</t>
        </is>
      </c>
      <c r="R203" s="14" t="inlineStr">
        <is>
          <t>Invalid delivery attempt. POD invalid: Call log not connected, location invalid</t>
        </is>
      </c>
      <c r="S203" s="14" t="inlineStr">
        <is>
          <t>Putri</t>
        </is>
      </c>
      <c r="T203" s="14">
        <f>COUNTIF($B$2:$B$499,B203)</f>
        <v/>
      </c>
      <c r="U203" s="14">
        <f>COUNTIF($I$2:$I$499,I203)</f>
        <v/>
      </c>
      <c r="V203" s="14">
        <f>IF(ISNA(MATCH(B203,'Metabase Lookup'!$A:$A,0)),"Not found",IF(INDEX('Metabase Lookup'!$B:$B,MATCH(B203,'Metabase Lookup'!$A:$A,0))="","Pending",INDEX('Metabase Lookup'!$B:$B,MATCH(B203,'Metabase Lookup'!$A:$A,0))))</f>
        <v/>
      </c>
      <c r="W203" s="14">
        <f>IF(ISNA(MATCH(B203,'Metabase Lookup'!$A:$A,0)),"Not found",IF(INDEX('Metabase Lookup'!$C:$C,MATCH(B203,'Metabase Lookup'!$A:$A,0))="","Pending",INDEX('Metabase Lookup'!$C:$C,MATCH(B203,'Metabase Lookup'!$A:$A,0))))</f>
        <v/>
      </c>
      <c r="X203" s="14">
        <f>IF(ISNA(MATCH(B203,'Metabase Lookup'!$A:$A,0)),"",IF(INDEX('Metabase Lookup'!$D:$D,MATCH(B203,'Metabase Lookup'!$A:$A,0))="","",INDEX('Metabase Lookup'!$D:$D,MATCH(B203,'Metabase Lookup'!$A:$A,0))))</f>
        <v/>
      </c>
      <c r="Y203" s="14">
        <f>IF(ISNUMBER(W203),IF(W203&gt;0,"Yes","No"),"Pending")</f>
        <v/>
      </c>
      <c r="Z203" s="14" t="inlineStr">
        <is>
          <t>Driver not identified (OPS account)</t>
        </is>
      </c>
    </row>
    <row r="204">
      <c r="A204" s="14" t="n">
        <v>203</v>
      </c>
      <c r="B204" s="14" t="inlineStr">
        <is>
          <t>NVMYCOMIT000002083</t>
        </is>
      </c>
      <c r="C204" s="15" t="inlineStr">
        <is>
          <t>266932658682</t>
        </is>
      </c>
      <c r="D204" s="16" t="n">
        <v>46287.72209490741</v>
      </c>
      <c r="E204" s="17" t="n">
        <v>46287</v>
      </c>
      <c r="F204" s="14" t="inlineStr">
        <is>
          <t>Tue</t>
        </is>
      </c>
      <c r="G204" s="14" t="inlineStr">
        <is>
          <t>KV</t>
        </is>
      </c>
      <c r="H204" s="14" t="inlineStr">
        <is>
          <t>SUN</t>
        </is>
      </c>
      <c r="I204" s="14" t="inlineStr">
        <is>
          <t>SUN - OPS - ADAM</t>
        </is>
      </c>
      <c r="J204" s="14" t="inlineStr">
        <is>
          <t>OPS (generic hub account)</t>
        </is>
      </c>
      <c r="K204" s="14" t="inlineStr">
        <is>
          <t>91853671</t>
        </is>
      </c>
      <c r="L204" s="14" t="n">
        <v>1</v>
      </c>
      <c r="M204" s="14" t="inlineStr">
        <is>
          <t>LM</t>
        </is>
      </c>
      <c r="N204" s="14" t="inlineStr">
        <is>
          <t>Fake Fail</t>
        </is>
      </c>
      <c r="O204" s="14" t="inlineStr">
        <is>
          <t>Call not connected / no response</t>
        </is>
      </c>
      <c r="P204" s="14" t="inlineStr">
        <is>
          <t>Yes</t>
        </is>
      </c>
      <c r="Q204" s="14" t="inlineStr">
        <is>
          <t>No</t>
        </is>
      </c>
      <c r="R204" s="14" t="inlineStr">
        <is>
          <t>invalid pod call log same minute no location</t>
        </is>
      </c>
      <c r="S204" s="14" t="inlineStr">
        <is>
          <t>Ninja Hadif</t>
        </is>
      </c>
      <c r="T204" s="14">
        <f>COUNTIF($B$2:$B$499,B204)</f>
        <v/>
      </c>
      <c r="U204" s="14">
        <f>COUNTIF($I$2:$I$499,I204)</f>
        <v/>
      </c>
      <c r="V204" s="14">
        <f>IF(ISNA(MATCH(B204,'Metabase Lookup'!$A:$A,0)),"Not found",IF(INDEX('Metabase Lookup'!$B:$B,MATCH(B204,'Metabase Lookup'!$A:$A,0))="","Pending",INDEX('Metabase Lookup'!$B:$B,MATCH(B204,'Metabase Lookup'!$A:$A,0))))</f>
        <v/>
      </c>
      <c r="W204" s="14">
        <f>IF(ISNA(MATCH(B204,'Metabase Lookup'!$A:$A,0)),"Not found",IF(INDEX('Metabase Lookup'!$C:$C,MATCH(B204,'Metabase Lookup'!$A:$A,0))="","Pending",INDEX('Metabase Lookup'!$C:$C,MATCH(B204,'Metabase Lookup'!$A:$A,0))))</f>
        <v/>
      </c>
      <c r="X204" s="14">
        <f>IF(ISNA(MATCH(B204,'Metabase Lookup'!$A:$A,0)),"",IF(INDEX('Metabase Lookup'!$D:$D,MATCH(B204,'Metabase Lookup'!$A:$A,0))="","",INDEX('Metabase Lookup'!$D:$D,MATCH(B204,'Metabase Lookup'!$A:$A,0))))</f>
        <v/>
      </c>
      <c r="Y204" s="14">
        <f>IF(ISNUMBER(W204),IF(W204&gt;0,"Yes","No"),"Pending")</f>
        <v/>
      </c>
      <c r="Z204" s="14" t="inlineStr">
        <is>
          <t>Driver not identified (OPS account)</t>
        </is>
      </c>
    </row>
    <row r="205">
      <c r="A205" s="14" t="n">
        <v>204</v>
      </c>
      <c r="B205" s="14" t="inlineStr">
        <is>
          <t>WNJMY00006942908</t>
        </is>
      </c>
      <c r="C205" s="15" t="inlineStr">
        <is>
          <t>268222656160</t>
        </is>
      </c>
      <c r="D205" s="16" t="n">
        <v>46287.72431712963</v>
      </c>
      <c r="E205" s="17" t="n">
        <v>46287</v>
      </c>
      <c r="F205" s="14" t="inlineStr">
        <is>
          <t>Tue</t>
        </is>
      </c>
      <c r="G205" s="14" t="inlineStr">
        <is>
          <t>East MY</t>
        </is>
      </c>
      <c r="H205" s="14" t="inlineStr">
        <is>
          <t>BKW</t>
        </is>
      </c>
      <c r="I205" s="14" t="inlineStr">
        <is>
          <t>BKW - OPS - SELFCOLLECT2</t>
        </is>
      </c>
      <c r="J205" s="14" t="inlineStr">
        <is>
          <t>OPS (generic hub account)</t>
        </is>
      </c>
      <c r="K205" s="14" t="inlineStr">
        <is>
          <t>91851511, 91836408, 91827376</t>
        </is>
      </c>
      <c r="L205" s="14" t="n">
        <v>3</v>
      </c>
      <c r="M205" s="14" t="inlineStr">
        <is>
          <t>LM</t>
        </is>
      </c>
      <c r="N205" s="14" t="inlineStr">
        <is>
          <t>Pull Out Route (POR)</t>
        </is>
      </c>
      <c r="O205" s="14" t="inlineStr"/>
      <c r="P205" s="14" t="inlineStr"/>
      <c r="Q205" s="14" t="inlineStr"/>
      <c r="R205" s="14" t="inlineStr">
        <is>
          <t>Parcel has PULL OUT OF ROUTE on 18/9-20/9. Driver failed the delivery, invalid attempt.</t>
        </is>
      </c>
      <c r="S205" s="14" t="inlineStr">
        <is>
          <t>Putri</t>
        </is>
      </c>
      <c r="T205" s="14">
        <f>COUNTIF($B$2:$B$499,B205)</f>
        <v/>
      </c>
      <c r="U205" s="14">
        <f>COUNTIF($I$2:$I$499,I205)</f>
        <v/>
      </c>
      <c r="V205" s="14">
        <f>IF(ISNA(MATCH(B205,'Metabase Lookup'!$A:$A,0)),"Not found",IF(INDEX('Metabase Lookup'!$B:$B,MATCH(B205,'Metabase Lookup'!$A:$A,0))="","Pending",INDEX('Metabase Lookup'!$B:$B,MATCH(B205,'Metabase Lookup'!$A:$A,0))))</f>
        <v/>
      </c>
      <c r="W205" s="14">
        <f>IF(ISNA(MATCH(B205,'Metabase Lookup'!$A:$A,0)),"Not found",IF(INDEX('Metabase Lookup'!$C:$C,MATCH(B205,'Metabase Lookup'!$A:$A,0))="","Pending",INDEX('Metabase Lookup'!$C:$C,MATCH(B205,'Metabase Lookup'!$A:$A,0))))</f>
        <v/>
      </c>
      <c r="X205" s="14">
        <f>IF(ISNA(MATCH(B205,'Metabase Lookup'!$A:$A,0)),"",IF(INDEX('Metabase Lookup'!$D:$D,MATCH(B205,'Metabase Lookup'!$A:$A,0))="","",INDEX('Metabase Lookup'!$D:$D,MATCH(B205,'Metabase Lookup'!$A:$A,0))))</f>
        <v/>
      </c>
      <c r="Y205" s="14">
        <f>IF(ISNUMBER(W205),IF(W205&gt;0,"Yes","No"),"Pending")</f>
        <v/>
      </c>
      <c r="Z205" s="14" t="inlineStr">
        <is>
          <t>Possible double entry (&lt;60 min); Multiple route IDs; Driver not identified (OPS account)</t>
        </is>
      </c>
    </row>
    <row r="206">
      <c r="A206" s="14" t="n">
        <v>205</v>
      </c>
      <c r="B206" s="14" t="inlineStr">
        <is>
          <t>WNJMY00006942908</t>
        </is>
      </c>
      <c r="C206" s="15" t="inlineStr">
        <is>
          <t>268222656160</t>
        </is>
      </c>
      <c r="D206" s="16" t="n">
        <v>46287.73091435185</v>
      </c>
      <c r="E206" s="17" t="n">
        <v>46287</v>
      </c>
      <c r="F206" s="14" t="inlineStr">
        <is>
          <t>Tue</t>
        </is>
      </c>
      <c r="G206" s="14" t="inlineStr">
        <is>
          <t>East MY</t>
        </is>
      </c>
      <c r="H206" s="14" t="inlineStr">
        <is>
          <t>BKW</t>
        </is>
      </c>
      <c r="I206" s="14" t="inlineStr">
        <is>
          <t>BKW - OPS - SELFCOLLECT</t>
        </is>
      </c>
      <c r="J206" s="14" t="inlineStr">
        <is>
          <t>OPS (generic hub account)</t>
        </is>
      </c>
      <c r="K206" s="14" t="inlineStr">
        <is>
          <t>91859979</t>
        </is>
      </c>
      <c r="L206" s="14" t="n">
        <v>1</v>
      </c>
      <c r="M206" s="14" t="inlineStr">
        <is>
          <t>LM</t>
        </is>
      </c>
      <c r="N206" s="14" t="inlineStr">
        <is>
          <t>Fake Fail</t>
        </is>
      </c>
      <c r="O206" s="14" t="inlineStr">
        <is>
          <t>Invalid location / site photo</t>
        </is>
      </c>
      <c r="P206" s="14" t="inlineStr">
        <is>
          <t>Yes</t>
        </is>
      </c>
      <c r="Q206" s="14" t="inlineStr">
        <is>
          <t>No</t>
        </is>
      </c>
      <c r="R206" s="14" t="inlineStr">
        <is>
          <t>Invalid delivery attempt. POD invalid: Location not customer's/no unit number</t>
        </is>
      </c>
      <c r="S206" s="14" t="inlineStr">
        <is>
          <t>Putri</t>
        </is>
      </c>
      <c r="T206" s="14">
        <f>COUNTIF($B$2:$B$499,B206)</f>
        <v/>
      </c>
      <c r="U206" s="14">
        <f>COUNTIF($I$2:$I$499,I206)</f>
        <v/>
      </c>
      <c r="V206" s="14">
        <f>IF(ISNA(MATCH(B206,'Metabase Lookup'!$A:$A,0)),"Not found",IF(INDEX('Metabase Lookup'!$B:$B,MATCH(B206,'Metabase Lookup'!$A:$A,0))="","Pending",INDEX('Metabase Lookup'!$B:$B,MATCH(B206,'Metabase Lookup'!$A:$A,0))))</f>
        <v/>
      </c>
      <c r="W206" s="14">
        <f>IF(ISNA(MATCH(B206,'Metabase Lookup'!$A:$A,0)),"Not found",IF(INDEX('Metabase Lookup'!$C:$C,MATCH(B206,'Metabase Lookup'!$A:$A,0))="","Pending",INDEX('Metabase Lookup'!$C:$C,MATCH(B206,'Metabase Lookup'!$A:$A,0))))</f>
        <v/>
      </c>
      <c r="X206" s="14">
        <f>IF(ISNA(MATCH(B206,'Metabase Lookup'!$A:$A,0)),"",IF(INDEX('Metabase Lookup'!$D:$D,MATCH(B206,'Metabase Lookup'!$A:$A,0))="","",INDEX('Metabase Lookup'!$D:$D,MATCH(B206,'Metabase Lookup'!$A:$A,0))))</f>
        <v/>
      </c>
      <c r="Y206" s="14">
        <f>IF(ISNUMBER(W206),IF(W206&gt;0,"Yes","No"),"Pending")</f>
        <v/>
      </c>
      <c r="Z206" s="14" t="inlineStr">
        <is>
          <t>Possible double entry (&lt;60 min); Driver not identified (OPS account)</t>
        </is>
      </c>
    </row>
    <row r="207">
      <c r="A207" s="14" t="n">
        <v>206</v>
      </c>
      <c r="B207" s="14" t="inlineStr">
        <is>
          <t>TNGDV2609126894940030</t>
        </is>
      </c>
      <c r="C207" s="15" t="inlineStr">
        <is>
          <t>262302658550</t>
        </is>
      </c>
      <c r="D207" s="16" t="n">
        <v>46287.73332175926</v>
      </c>
      <c r="E207" s="17" t="n">
        <v>46287</v>
      </c>
      <c r="F207" s="14" t="inlineStr">
        <is>
          <t>Tue</t>
        </is>
      </c>
      <c r="G207" s="14" t="inlineStr">
        <is>
          <t>KV</t>
        </is>
      </c>
      <c r="H207" s="14" t="inlineStr">
        <is>
          <t>DSA</t>
        </is>
      </c>
      <c r="I207" s="14" t="inlineStr">
        <is>
          <t>OPS - DSA | DSA - ID - MUHAMMAD AMIRUL</t>
        </is>
      </c>
      <c r="J207" s="14" t="inlineStr">
        <is>
          <t>Multiple drivers</t>
        </is>
      </c>
      <c r="K207" s="14" t="inlineStr">
        <is>
          <t>91847310, 91833588, 91823851</t>
        </is>
      </c>
      <c r="L207" s="14" t="n">
        <v>3</v>
      </c>
      <c r="M207" s="14" t="inlineStr">
        <is>
          <t>LM</t>
        </is>
      </c>
      <c r="N207" s="14" t="inlineStr">
        <is>
          <t>Fake Fail</t>
        </is>
      </c>
      <c r="O207" s="14" t="inlineStr">
        <is>
          <t>Call not connected / no response</t>
        </is>
      </c>
      <c r="P207" s="14" t="inlineStr">
        <is>
          <t>Yes</t>
        </is>
      </c>
      <c r="Q207" s="14" t="inlineStr">
        <is>
          <t>No</t>
        </is>
      </c>
      <c r="R207" s="14" t="inlineStr">
        <is>
          <t>Invalid delivery attempt. POD invalid: Call log not connected, location invalid</t>
        </is>
      </c>
      <c r="S207" s="14" t="inlineStr">
        <is>
          <t>Putri</t>
        </is>
      </c>
      <c r="T207" s="14">
        <f>COUNTIF($B$2:$B$499,B207)</f>
        <v/>
      </c>
      <c r="U207" s="14">
        <f>COUNTIF($I$2:$I$499,I207)</f>
        <v/>
      </c>
      <c r="V207" s="14">
        <f>IF(ISNA(MATCH(B207,'Metabase Lookup'!$A:$A,0)),"Not found",IF(INDEX('Metabase Lookup'!$B:$B,MATCH(B207,'Metabase Lookup'!$A:$A,0))="","Pending",INDEX('Metabase Lookup'!$B:$B,MATCH(B207,'Metabase Lookup'!$A:$A,0))))</f>
        <v/>
      </c>
      <c r="W207" s="14">
        <f>IF(ISNA(MATCH(B207,'Metabase Lookup'!$A:$A,0)),"Not found",IF(INDEX('Metabase Lookup'!$C:$C,MATCH(B207,'Metabase Lookup'!$A:$A,0))="","Pending",INDEX('Metabase Lookup'!$C:$C,MATCH(B207,'Metabase Lookup'!$A:$A,0))))</f>
        <v/>
      </c>
      <c r="X207" s="14">
        <f>IF(ISNA(MATCH(B207,'Metabase Lookup'!$A:$A,0)),"",IF(INDEX('Metabase Lookup'!$D:$D,MATCH(B207,'Metabase Lookup'!$A:$A,0))="","",INDEX('Metabase Lookup'!$D:$D,MATCH(B207,'Metabase Lookup'!$A:$A,0))))</f>
        <v/>
      </c>
      <c r="Y207" s="14">
        <f>IF(ISNUMBER(W207),IF(W207&gt;0,"Yes","No"),"Pending")</f>
        <v/>
      </c>
      <c r="Z207" s="14" t="inlineStr">
        <is>
          <t>Multiple drivers in one row; Multiple route IDs</t>
        </is>
      </c>
    </row>
    <row r="208">
      <c r="A208" s="14" t="n">
        <v>207</v>
      </c>
      <c r="B208" s="14" t="inlineStr">
        <is>
          <t>ZNV283877945-1611</t>
        </is>
      </c>
      <c r="C208" s="15" t="inlineStr">
        <is>
          <t>269212659172</t>
        </is>
      </c>
      <c r="D208" s="16" t="n">
        <v>46287.73636574074</v>
      </c>
      <c r="E208" s="17" t="n">
        <v>46287</v>
      </c>
      <c r="F208" s="14" t="inlineStr">
        <is>
          <t>Tue</t>
        </is>
      </c>
      <c r="G208" s="14" t="inlineStr">
        <is>
          <t>Northern</t>
        </is>
      </c>
      <c r="H208" s="14" t="inlineStr">
        <is>
          <t>GEO</t>
        </is>
      </c>
      <c r="I208" s="14" t="inlineStr">
        <is>
          <t>GEO - OPS - DATO KERAMAT</t>
        </is>
      </c>
      <c r="J208" s="14" t="inlineStr">
        <is>
          <t>OPS (generic hub account)</t>
        </is>
      </c>
      <c r="K208" s="14" t="inlineStr">
        <is>
          <t>91824655</t>
        </is>
      </c>
      <c r="L208" s="14" t="n">
        <v>1</v>
      </c>
      <c r="M208" s="14" t="inlineStr">
        <is>
          <t>LM</t>
        </is>
      </c>
      <c r="N208" s="14" t="inlineStr">
        <is>
          <t>Fake Fail</t>
        </is>
      </c>
      <c r="O208" s="14" t="inlineStr">
        <is>
          <t>Invalid call log (unspecified)</t>
        </is>
      </c>
      <c r="P208" s="14" t="inlineStr">
        <is>
          <t>Yes</t>
        </is>
      </c>
      <c r="Q208" s="14" t="inlineStr">
        <is>
          <t>No</t>
        </is>
      </c>
      <c r="R208" s="14" t="inlineStr">
        <is>
          <t>Call log invalid &amp; no site photo attached</t>
        </is>
      </c>
      <c r="S208" s="14" t="inlineStr">
        <is>
          <t>Wani</t>
        </is>
      </c>
      <c r="T208" s="14">
        <f>COUNTIF($B$2:$B$499,B208)</f>
        <v/>
      </c>
      <c r="U208" s="14">
        <f>COUNTIF($I$2:$I$499,I208)</f>
        <v/>
      </c>
      <c r="V208" s="14">
        <f>IF(ISNA(MATCH(B208,'Metabase Lookup'!$A:$A,0)),"Not found",IF(INDEX('Metabase Lookup'!$B:$B,MATCH(B208,'Metabase Lookup'!$A:$A,0))="","Pending",INDEX('Metabase Lookup'!$B:$B,MATCH(B208,'Metabase Lookup'!$A:$A,0))))</f>
        <v/>
      </c>
      <c r="W208" s="14">
        <f>IF(ISNA(MATCH(B208,'Metabase Lookup'!$A:$A,0)),"Not found",IF(INDEX('Metabase Lookup'!$C:$C,MATCH(B208,'Metabase Lookup'!$A:$A,0))="","Pending",INDEX('Metabase Lookup'!$C:$C,MATCH(B208,'Metabase Lookup'!$A:$A,0))))</f>
        <v/>
      </c>
      <c r="X208" s="14">
        <f>IF(ISNA(MATCH(B208,'Metabase Lookup'!$A:$A,0)),"",IF(INDEX('Metabase Lookup'!$D:$D,MATCH(B208,'Metabase Lookup'!$A:$A,0))="","",INDEX('Metabase Lookup'!$D:$D,MATCH(B208,'Metabase Lookup'!$A:$A,0))))</f>
        <v/>
      </c>
      <c r="Y208" s="14">
        <f>IF(ISNUMBER(W208),IF(W208&gt;0,"Yes","No"),"Pending")</f>
        <v/>
      </c>
      <c r="Z208" s="14" t="inlineStr">
        <is>
          <t>Driver not identified (OPS account)</t>
        </is>
      </c>
    </row>
    <row r="209">
      <c r="A209" s="14" t="n">
        <v>208</v>
      </c>
      <c r="B209" s="14" t="inlineStr">
        <is>
          <t>NVMYKILATWK0077036</t>
        </is>
      </c>
      <c r="C209" s="15" t="inlineStr">
        <is>
          <t>264192657148</t>
        </is>
      </c>
      <c r="D209" s="16" t="n">
        <v>46287.73671296296</v>
      </c>
      <c r="E209" s="17" t="n">
        <v>46287</v>
      </c>
      <c r="F209" s="14" t="inlineStr">
        <is>
          <t>Tue</t>
        </is>
      </c>
      <c r="G209" s="14" t="inlineStr">
        <is>
          <t>Southern</t>
        </is>
      </c>
      <c r="H209" s="14" t="inlineStr">
        <is>
          <t>BPT</t>
        </is>
      </c>
      <c r="I209" s="14" t="inlineStr">
        <is>
          <t>OPS - BPT</t>
        </is>
      </c>
      <c r="J209" s="14" t="inlineStr">
        <is>
          <t>OPS (generic hub account)</t>
        </is>
      </c>
      <c r="K209" s="14" t="inlineStr">
        <is>
          <t>91859808</t>
        </is>
      </c>
      <c r="L209" s="14" t="n">
        <v>1</v>
      </c>
      <c r="M209" s="14" t="inlineStr">
        <is>
          <t>LM</t>
        </is>
      </c>
      <c r="N209" s="14" t="inlineStr">
        <is>
          <t>Fake Fail</t>
        </is>
      </c>
      <c r="O209" s="14" t="inlineStr">
        <is>
          <t>Call not connected / no response</t>
        </is>
      </c>
      <c r="P209" s="14" t="inlineStr">
        <is>
          <t>Yes</t>
        </is>
      </c>
      <c r="Q209" s="14" t="inlineStr">
        <is>
          <t>No</t>
        </is>
      </c>
      <c r="R209" s="14" t="inlineStr">
        <is>
          <t>Invalid delivery attempt. POD invalid: Call log not connected, location invalid</t>
        </is>
      </c>
      <c r="S209" s="14" t="inlineStr">
        <is>
          <t>Putri</t>
        </is>
      </c>
      <c r="T209" s="14">
        <f>COUNTIF($B$2:$B$499,B209)</f>
        <v/>
      </c>
      <c r="U209" s="14">
        <f>COUNTIF($I$2:$I$499,I209)</f>
        <v/>
      </c>
      <c r="V209" s="14">
        <f>IF(ISNA(MATCH(B209,'Metabase Lookup'!$A:$A,0)),"Not found",IF(INDEX('Metabase Lookup'!$B:$B,MATCH(B209,'Metabase Lookup'!$A:$A,0))="","Pending",INDEX('Metabase Lookup'!$B:$B,MATCH(B209,'Metabase Lookup'!$A:$A,0))))</f>
        <v/>
      </c>
      <c r="W209" s="14">
        <f>IF(ISNA(MATCH(B209,'Metabase Lookup'!$A:$A,0)),"Not found",IF(INDEX('Metabase Lookup'!$C:$C,MATCH(B209,'Metabase Lookup'!$A:$A,0))="","Pending",INDEX('Metabase Lookup'!$C:$C,MATCH(B209,'Metabase Lookup'!$A:$A,0))))</f>
        <v/>
      </c>
      <c r="X209" s="14">
        <f>IF(ISNA(MATCH(B209,'Metabase Lookup'!$A:$A,0)),"",IF(INDEX('Metabase Lookup'!$D:$D,MATCH(B209,'Metabase Lookup'!$A:$A,0))="","",INDEX('Metabase Lookup'!$D:$D,MATCH(B209,'Metabase Lookup'!$A:$A,0))))</f>
        <v/>
      </c>
      <c r="Y209" s="14">
        <f>IF(ISNUMBER(W209),IF(W209&gt;0,"Yes","No"),"Pending")</f>
        <v/>
      </c>
      <c r="Z209" s="14" t="inlineStr">
        <is>
          <t>Driver not identified (OPS account)</t>
        </is>
      </c>
    </row>
    <row r="210">
      <c r="A210" s="14" t="n">
        <v>209</v>
      </c>
      <c r="B210" s="14" t="inlineStr">
        <is>
          <t>ESHP003312506</t>
        </is>
      </c>
      <c r="C210" s="15" t="inlineStr">
        <is>
          <t>262482650500</t>
        </is>
      </c>
      <c r="D210" s="16" t="n">
        <v>46287.73768518519</v>
      </c>
      <c r="E210" s="17" t="n">
        <v>46287</v>
      </c>
      <c r="F210" s="14" t="inlineStr">
        <is>
          <t>Tue</t>
        </is>
      </c>
      <c r="G210" s="14" t="inlineStr">
        <is>
          <t>KV</t>
        </is>
      </c>
      <c r="H210" s="14" t="inlineStr">
        <is>
          <t>CJY</t>
        </is>
      </c>
      <c r="I210" s="14" t="inlineStr">
        <is>
          <t>CJY - OPS - CJY</t>
        </is>
      </c>
      <c r="J210" s="14" t="inlineStr">
        <is>
          <t>OPS (generic hub account)</t>
        </is>
      </c>
      <c r="K210" s="14" t="inlineStr">
        <is>
          <t>91859656</t>
        </is>
      </c>
      <c r="L210" s="14" t="n">
        <v>1</v>
      </c>
      <c r="M210" s="14" t="inlineStr">
        <is>
          <t>LM</t>
        </is>
      </c>
      <c r="N210" s="14" t="inlineStr">
        <is>
          <t>Fake Fail</t>
        </is>
      </c>
      <c r="O210" s="14" t="inlineStr">
        <is>
          <t>Wrong number called</t>
        </is>
      </c>
      <c r="P210" s="14" t="inlineStr">
        <is>
          <t>No</t>
        </is>
      </c>
      <c r="Q210" s="14" t="inlineStr">
        <is>
          <t>No</t>
        </is>
      </c>
      <c r="R210" s="14" t="inlineStr">
        <is>
          <t>Invalid delivery attempt. POD invalid: Call log not customer's number</t>
        </is>
      </c>
      <c r="S210" s="14" t="inlineStr">
        <is>
          <t>Putri</t>
        </is>
      </c>
      <c r="T210" s="14">
        <f>COUNTIF($B$2:$B$499,B210)</f>
        <v/>
      </c>
      <c r="U210" s="14">
        <f>COUNTIF($I$2:$I$499,I210)</f>
        <v/>
      </c>
      <c r="V210" s="14">
        <f>IF(ISNA(MATCH(B210,'Metabase Lookup'!$A:$A,0)),"Not found",IF(INDEX('Metabase Lookup'!$B:$B,MATCH(B210,'Metabase Lookup'!$A:$A,0))="","Pending",INDEX('Metabase Lookup'!$B:$B,MATCH(B210,'Metabase Lookup'!$A:$A,0))))</f>
        <v/>
      </c>
      <c r="W210" s="14">
        <f>IF(ISNA(MATCH(B210,'Metabase Lookup'!$A:$A,0)),"Not found",IF(INDEX('Metabase Lookup'!$C:$C,MATCH(B210,'Metabase Lookup'!$A:$A,0))="","Pending",INDEX('Metabase Lookup'!$C:$C,MATCH(B210,'Metabase Lookup'!$A:$A,0))))</f>
        <v/>
      </c>
      <c r="X210" s="14">
        <f>IF(ISNA(MATCH(B210,'Metabase Lookup'!$A:$A,0)),"",IF(INDEX('Metabase Lookup'!$D:$D,MATCH(B210,'Metabase Lookup'!$A:$A,0))="","",INDEX('Metabase Lookup'!$D:$D,MATCH(B210,'Metabase Lookup'!$A:$A,0))))</f>
        <v/>
      </c>
      <c r="Y210" s="14">
        <f>IF(ISNUMBER(W210),IF(W210&gt;0,"Yes","No"),"Pending")</f>
        <v/>
      </c>
      <c r="Z210" s="14" t="inlineStr">
        <is>
          <t>Driver not identified (OPS account)</t>
        </is>
      </c>
    </row>
    <row r="211">
      <c r="A211" s="14" t="n">
        <v>210</v>
      </c>
      <c r="B211" s="14" t="inlineStr">
        <is>
          <t>NVMYAPTST000006617</t>
        </is>
      </c>
      <c r="C211" s="15" t="inlineStr">
        <is>
          <t>268142656274</t>
        </is>
      </c>
      <c r="D211" s="16" t="n">
        <v>46287.7465162037</v>
      </c>
      <c r="E211" s="17" t="n">
        <v>46287</v>
      </c>
      <c r="F211" s="14" t="inlineStr">
        <is>
          <t>Tue</t>
        </is>
      </c>
      <c r="G211" s="14" t="inlineStr">
        <is>
          <t>Southern</t>
        </is>
      </c>
      <c r="H211" s="14" t="inlineStr">
        <is>
          <t>KEM</t>
        </is>
      </c>
      <c r="I211" s="14" t="inlineStr">
        <is>
          <t>MTG - FM - Shazwan Saupi</t>
        </is>
      </c>
      <c r="J211" s="14" t="inlineStr">
        <is>
          <t>FM (first-mile)</t>
        </is>
      </c>
      <c r="K211" s="14" t="inlineStr">
        <is>
          <t>91868449</t>
        </is>
      </c>
      <c r="L211" s="14" t="n">
        <v>1</v>
      </c>
      <c r="M211" s="14" t="inlineStr">
        <is>
          <t>LM</t>
        </is>
      </c>
      <c r="N211" s="14" t="inlineStr">
        <is>
          <t>CMI (Can't Make It)</t>
        </is>
      </c>
      <c r="O211" s="14" t="inlineStr"/>
      <c r="P211" s="14" t="inlineStr"/>
      <c r="Q211" s="14" t="inlineStr"/>
      <c r="R211" s="14" t="inlineStr">
        <is>
          <t>CMI not valid, pod blank</t>
        </is>
      </c>
      <c r="S211" s="14" t="inlineStr">
        <is>
          <t>Yana</t>
        </is>
      </c>
      <c r="T211" s="14">
        <f>COUNTIF($B$2:$B$499,B211)</f>
        <v/>
      </c>
      <c r="U211" s="14">
        <f>COUNTIF($I$2:$I$499,I211)</f>
        <v/>
      </c>
      <c r="V211" s="14">
        <f>IF(ISNA(MATCH(B211,'Metabase Lookup'!$A:$A,0)),"Not found",IF(INDEX('Metabase Lookup'!$B:$B,MATCH(B211,'Metabase Lookup'!$A:$A,0))="","Pending",INDEX('Metabase Lookup'!$B:$B,MATCH(B211,'Metabase Lookup'!$A:$A,0))))</f>
        <v/>
      </c>
      <c r="W211" s="14">
        <f>IF(ISNA(MATCH(B211,'Metabase Lookup'!$A:$A,0)),"Not found",IF(INDEX('Metabase Lookup'!$C:$C,MATCH(B211,'Metabase Lookup'!$A:$A,0))="","Pending",INDEX('Metabase Lookup'!$C:$C,MATCH(B211,'Metabase Lookup'!$A:$A,0))))</f>
        <v/>
      </c>
      <c r="X211" s="14">
        <f>IF(ISNA(MATCH(B211,'Metabase Lookup'!$A:$A,0)),"",IF(INDEX('Metabase Lookup'!$D:$D,MATCH(B211,'Metabase Lookup'!$A:$A,0))="","",INDEX('Metabase Lookup'!$D:$D,MATCH(B211,'Metabase Lookup'!$A:$A,0))))</f>
        <v/>
      </c>
      <c r="Y211" s="14">
        <f>IF(ISNUMBER(W211),IF(W211&gt;0,"Yes","No"),"Pending")</f>
        <v/>
      </c>
      <c r="Z211" s="14" t="inlineStr"/>
    </row>
    <row r="212">
      <c r="A212" s="14" t="n">
        <v>211</v>
      </c>
      <c r="B212" s="14" t="inlineStr">
        <is>
          <t>NVMYYSLWE11037071A</t>
        </is>
      </c>
      <c r="C212" s="15" t="inlineStr">
        <is>
          <t>266902651428</t>
        </is>
      </c>
      <c r="D212" s="16" t="n">
        <v>46287.74721064815</v>
      </c>
      <c r="E212" s="17" t="n">
        <v>46287</v>
      </c>
      <c r="F212" s="14" t="inlineStr">
        <is>
          <t>Tue</t>
        </is>
      </c>
      <c r="G212" s="14" t="inlineStr">
        <is>
          <t>North West</t>
        </is>
      </c>
      <c r="H212" s="14" t="inlineStr">
        <is>
          <t>TPG</t>
        </is>
      </c>
      <c r="I212" s="14" t="inlineStr">
        <is>
          <t>TPG - OPS - RASYID FAISAL NAIM</t>
        </is>
      </c>
      <c r="J212" s="14" t="inlineStr">
        <is>
          <t>OPS (generic hub account)</t>
        </is>
      </c>
      <c r="K212" s="14" t="inlineStr">
        <is>
          <t>91859844</t>
        </is>
      </c>
      <c r="L212" s="14" t="n">
        <v>1</v>
      </c>
      <c r="M212" s="14" t="inlineStr">
        <is>
          <t>LM</t>
        </is>
      </c>
      <c r="N212" s="14" t="inlineStr">
        <is>
          <t>Fake Fail</t>
        </is>
      </c>
      <c r="O212" s="14" t="inlineStr">
        <is>
          <t>Invalid location / site photo</t>
        </is>
      </c>
      <c r="P212" s="14" t="inlineStr">
        <is>
          <t>Yes</t>
        </is>
      </c>
      <c r="Q212" s="14" t="inlineStr">
        <is>
          <t>No</t>
        </is>
      </c>
      <c r="R212" s="14" t="inlineStr">
        <is>
          <t>POD not customer house</t>
        </is>
      </c>
      <c r="S212" s="14" t="inlineStr">
        <is>
          <t>Ninja Hadif</t>
        </is>
      </c>
      <c r="T212" s="14">
        <f>COUNTIF($B$2:$B$499,B212)</f>
        <v/>
      </c>
      <c r="U212" s="14">
        <f>COUNTIF($I$2:$I$499,I212)</f>
        <v/>
      </c>
      <c r="V212" s="14">
        <f>IF(ISNA(MATCH(B212,'Metabase Lookup'!$A:$A,0)),"Not found",IF(INDEX('Metabase Lookup'!$B:$B,MATCH(B212,'Metabase Lookup'!$A:$A,0))="","Pending",INDEX('Metabase Lookup'!$B:$B,MATCH(B212,'Metabase Lookup'!$A:$A,0))))</f>
        <v/>
      </c>
      <c r="W212" s="14">
        <f>IF(ISNA(MATCH(B212,'Metabase Lookup'!$A:$A,0)),"Not found",IF(INDEX('Metabase Lookup'!$C:$C,MATCH(B212,'Metabase Lookup'!$A:$A,0))="","Pending",INDEX('Metabase Lookup'!$C:$C,MATCH(B212,'Metabase Lookup'!$A:$A,0))))</f>
        <v/>
      </c>
      <c r="X212" s="14">
        <f>IF(ISNA(MATCH(B212,'Metabase Lookup'!$A:$A,0)),"",IF(INDEX('Metabase Lookup'!$D:$D,MATCH(B212,'Metabase Lookup'!$A:$A,0))="","",INDEX('Metabase Lookup'!$D:$D,MATCH(B212,'Metabase Lookup'!$A:$A,0))))</f>
        <v/>
      </c>
      <c r="Y212" s="14">
        <f>IF(ISNUMBER(W212),IF(W212&gt;0,"Yes","No"),"Pending")</f>
        <v/>
      </c>
      <c r="Z212" s="14" t="inlineStr">
        <is>
          <t>Driver not identified (OPS account)</t>
        </is>
      </c>
    </row>
    <row r="213">
      <c r="A213" s="14" t="n">
        <v>212</v>
      </c>
      <c r="B213" s="14" t="inlineStr">
        <is>
          <t>NVMYIMPJM000001454</t>
        </is>
      </c>
      <c r="C213" s="15" t="inlineStr">
        <is>
          <t>265872662589</t>
        </is>
      </c>
      <c r="D213" s="16" t="n">
        <v>46288.38466435186</v>
      </c>
      <c r="E213" s="17" t="n">
        <v>46288</v>
      </c>
      <c r="F213" s="14" t="inlineStr">
        <is>
          <t>Wed</t>
        </is>
      </c>
      <c r="G213" s="14" t="inlineStr">
        <is>
          <t>South West</t>
        </is>
      </c>
      <c r="H213" s="14" t="inlineStr">
        <is>
          <t>BHU</t>
        </is>
      </c>
      <c r="I213" s="14" t="inlineStr">
        <is>
          <t>BHU - OPS - IMAN</t>
        </is>
      </c>
      <c r="J213" s="14" t="inlineStr">
        <is>
          <t>OPS (generic hub account)</t>
        </is>
      </c>
      <c r="K213" s="14" t="inlineStr">
        <is>
          <t>91868009</t>
        </is>
      </c>
      <c r="L213" s="14" t="n">
        <v>1</v>
      </c>
      <c r="M213" s="14" t="inlineStr">
        <is>
          <t>LM</t>
        </is>
      </c>
      <c r="N213" s="14" t="inlineStr">
        <is>
          <t>Fake Fail</t>
        </is>
      </c>
      <c r="O213" s="14" t="inlineStr">
        <is>
          <t>No call / call log missing</t>
        </is>
      </c>
      <c r="P213" s="14" t="inlineStr">
        <is>
          <t>Yes</t>
        </is>
      </c>
      <c r="Q213" s="14" t="inlineStr">
        <is>
          <t>No</t>
        </is>
      </c>
      <c r="R213" s="14" t="inlineStr">
        <is>
          <t>POD not valid as no call log or site photo</t>
        </is>
      </c>
      <c r="S213" s="14" t="inlineStr">
        <is>
          <t>Zakwan</t>
        </is>
      </c>
      <c r="T213" s="14">
        <f>COUNTIF($B$2:$B$499,B213)</f>
        <v/>
      </c>
      <c r="U213" s="14">
        <f>COUNTIF($I$2:$I$499,I213)</f>
        <v/>
      </c>
      <c r="V213" s="14">
        <f>IF(ISNA(MATCH(B213,'Metabase Lookup'!$A:$A,0)),"Not found",IF(INDEX('Metabase Lookup'!$B:$B,MATCH(B213,'Metabase Lookup'!$A:$A,0))="","Pending",INDEX('Metabase Lookup'!$B:$B,MATCH(B213,'Metabase Lookup'!$A:$A,0))))</f>
        <v/>
      </c>
      <c r="W213" s="14">
        <f>IF(ISNA(MATCH(B213,'Metabase Lookup'!$A:$A,0)),"Not found",IF(INDEX('Metabase Lookup'!$C:$C,MATCH(B213,'Metabase Lookup'!$A:$A,0))="","Pending",INDEX('Metabase Lookup'!$C:$C,MATCH(B213,'Metabase Lookup'!$A:$A,0))))</f>
        <v/>
      </c>
      <c r="X213" s="14">
        <f>IF(ISNA(MATCH(B213,'Metabase Lookup'!$A:$A,0)),"",IF(INDEX('Metabase Lookup'!$D:$D,MATCH(B213,'Metabase Lookup'!$A:$A,0))="","",INDEX('Metabase Lookup'!$D:$D,MATCH(B213,'Metabase Lookup'!$A:$A,0))))</f>
        <v/>
      </c>
      <c r="Y213" s="14">
        <f>IF(ISNUMBER(W213),IF(W213&gt;0,"Yes","No"),"Pending")</f>
        <v/>
      </c>
      <c r="Z213" s="14" t="inlineStr">
        <is>
          <t>Driver not identified (OPS account)</t>
        </is>
      </c>
    </row>
    <row r="214">
      <c r="A214" s="14" t="n">
        <v>213</v>
      </c>
      <c r="B214" s="14" t="inlineStr">
        <is>
          <t>NVMYCOMOO000015506</t>
        </is>
      </c>
      <c r="C214" s="15" t="inlineStr">
        <is>
          <t>265012652839</t>
        </is>
      </c>
      <c r="D214" s="16" t="n">
        <v>46288.38541666666</v>
      </c>
      <c r="E214" s="17" t="n">
        <v>46288</v>
      </c>
      <c r="F214" s="14" t="inlineStr">
        <is>
          <t>Wed</t>
        </is>
      </c>
      <c r="G214" s="14" t="inlineStr">
        <is>
          <t>Southern</t>
        </is>
      </c>
      <c r="H214" s="14" t="inlineStr">
        <is>
          <t>GLG</t>
        </is>
      </c>
      <c r="I214" s="14" t="inlineStr">
        <is>
          <t>GLG - OPS - ENGKU | GLG - ID - AHMAD ARSYHAD</t>
        </is>
      </c>
      <c r="J214" s="14" t="inlineStr">
        <is>
          <t>Multiple drivers</t>
        </is>
      </c>
      <c r="K214" s="14" t="inlineStr">
        <is>
          <t>91851583, 91864569</t>
        </is>
      </c>
      <c r="L214" s="14" t="n">
        <v>2</v>
      </c>
      <c r="M214" s="14" t="inlineStr">
        <is>
          <t>LM</t>
        </is>
      </c>
      <c r="N214" s="14" t="inlineStr">
        <is>
          <t>Fake Fail</t>
        </is>
      </c>
      <c r="O214" s="14" t="inlineStr">
        <is>
          <t>No call / call log missing</t>
        </is>
      </c>
      <c r="P214" s="14" t="inlineStr">
        <is>
          <t>No</t>
        </is>
      </c>
      <c r="Q214" s="14" t="inlineStr">
        <is>
          <t>No</t>
        </is>
      </c>
      <c r="R214" s="14" t="inlineStr">
        <is>
          <t>1st Attempt: No call log was recorded, and WhatsApp contact was blocked. 2nd Attempt: The call attempts were not at least 1 minute apart.</t>
        </is>
      </c>
      <c r="S214" s="14" t="inlineStr">
        <is>
          <t>Izzni</t>
        </is>
      </c>
      <c r="T214" s="14">
        <f>COUNTIF($B$2:$B$499,B214)</f>
        <v/>
      </c>
      <c r="U214" s="14">
        <f>COUNTIF($I$2:$I$499,I214)</f>
        <v/>
      </c>
      <c r="V214" s="14">
        <f>IF(ISNA(MATCH(B214,'Metabase Lookup'!$A:$A,0)),"Not found",IF(INDEX('Metabase Lookup'!$B:$B,MATCH(B214,'Metabase Lookup'!$A:$A,0))="","Pending",INDEX('Metabase Lookup'!$B:$B,MATCH(B214,'Metabase Lookup'!$A:$A,0))))</f>
        <v/>
      </c>
      <c r="W214" s="14">
        <f>IF(ISNA(MATCH(B214,'Metabase Lookup'!$A:$A,0)),"Not found",IF(INDEX('Metabase Lookup'!$C:$C,MATCH(B214,'Metabase Lookup'!$A:$A,0))="","Pending",INDEX('Metabase Lookup'!$C:$C,MATCH(B214,'Metabase Lookup'!$A:$A,0))))</f>
        <v/>
      </c>
      <c r="X214" s="14">
        <f>IF(ISNA(MATCH(B214,'Metabase Lookup'!$A:$A,0)),"",IF(INDEX('Metabase Lookup'!$D:$D,MATCH(B214,'Metabase Lookup'!$A:$A,0))="","",INDEX('Metabase Lookup'!$D:$D,MATCH(B214,'Metabase Lookup'!$A:$A,0))))</f>
        <v/>
      </c>
      <c r="Y214" s="14">
        <f>IF(ISNUMBER(W214),IF(W214&gt;0,"Yes","No"),"Pending")</f>
        <v/>
      </c>
      <c r="Z214" s="14" t="inlineStr">
        <is>
          <t>TID logged more than once; Multiple drivers in one row; Multiple route IDs</t>
        </is>
      </c>
    </row>
    <row r="215">
      <c r="A215" s="14" t="n">
        <v>214</v>
      </c>
      <c r="B215" s="14" t="inlineStr">
        <is>
          <t>MLCOW1549977659915173888</t>
        </is>
      </c>
      <c r="C215" s="15" t="inlineStr">
        <is>
          <t>261902650496</t>
        </is>
      </c>
      <c r="D215" s="16" t="n">
        <v>46288.40172453703</v>
      </c>
      <c r="E215" s="17" t="n">
        <v>46288</v>
      </c>
      <c r="F215" s="14" t="inlineStr">
        <is>
          <t>Wed</t>
        </is>
      </c>
      <c r="G215" s="14" t="inlineStr">
        <is>
          <t>KV</t>
        </is>
      </c>
      <c r="H215" s="14" t="inlineStr">
        <is>
          <t>STL</t>
        </is>
      </c>
      <c r="I215" s="14" t="inlineStr">
        <is>
          <t>STL - IR - AFIQAH</t>
        </is>
      </c>
      <c r="J215" s="14" t="inlineStr">
        <is>
          <t>IR (named)</t>
        </is>
      </c>
      <c r="K215" s="14" t="inlineStr">
        <is>
          <t>91859538</t>
        </is>
      </c>
      <c r="L215" s="14" t="n">
        <v>1</v>
      </c>
      <c r="M215" s="14" t="inlineStr">
        <is>
          <t>LM</t>
        </is>
      </c>
      <c r="N215" s="14" t="inlineStr">
        <is>
          <t>Deliver to Wrong Address</t>
        </is>
      </c>
      <c r="O215" s="14" t="inlineStr"/>
      <c r="P215" s="14" t="inlineStr"/>
      <c r="Q215" s="14" t="inlineStr"/>
      <c r="R215" s="14" t="inlineStr">
        <is>
          <t>As per checked, this parcel was received by the customer’s neighbour.</t>
        </is>
      </c>
      <c r="S215" s="14" t="inlineStr">
        <is>
          <t>Izzni</t>
        </is>
      </c>
      <c r="T215" s="14">
        <f>COUNTIF($B$2:$B$499,B215)</f>
        <v/>
      </c>
      <c r="U215" s="14">
        <f>COUNTIF($I$2:$I$499,I215)</f>
        <v/>
      </c>
      <c r="V215" s="14">
        <f>IF(ISNA(MATCH(B215,'Metabase Lookup'!$A:$A,0)),"Not found",IF(INDEX('Metabase Lookup'!$B:$B,MATCH(B215,'Metabase Lookup'!$A:$A,0))="","Pending",INDEX('Metabase Lookup'!$B:$B,MATCH(B215,'Metabase Lookup'!$A:$A,0))))</f>
        <v/>
      </c>
      <c r="W215" s="14">
        <f>IF(ISNA(MATCH(B215,'Metabase Lookup'!$A:$A,0)),"Not found",IF(INDEX('Metabase Lookup'!$C:$C,MATCH(B215,'Metabase Lookup'!$A:$A,0))="","Pending",INDEX('Metabase Lookup'!$C:$C,MATCH(B215,'Metabase Lookup'!$A:$A,0))))</f>
        <v/>
      </c>
      <c r="X215" s="14">
        <f>IF(ISNA(MATCH(B215,'Metabase Lookup'!$A:$A,0)),"",IF(INDEX('Metabase Lookup'!$D:$D,MATCH(B215,'Metabase Lookup'!$A:$A,0))="","",INDEX('Metabase Lookup'!$D:$D,MATCH(B215,'Metabase Lookup'!$A:$A,0))))</f>
        <v/>
      </c>
      <c r="Y215" s="14">
        <f>IF(ISNUMBER(W215),IF(W215&gt;0,"Yes","No"),"Pending")</f>
        <v/>
      </c>
      <c r="Z215" s="14" t="inlineStr"/>
    </row>
    <row r="216">
      <c r="A216" s="14" t="n">
        <v>215</v>
      </c>
      <c r="B216" s="14" t="inlineStr">
        <is>
          <t>ZCOS00707946827971/ZCOS00708946728334</t>
        </is>
      </c>
      <c r="C216" s="15" t="inlineStr">
        <is>
          <t>263072656246</t>
        </is>
      </c>
      <c r="D216" s="16" t="n">
        <v>46288.41207175926</v>
      </c>
      <c r="E216" s="17" t="n">
        <v>46288</v>
      </c>
      <c r="F216" s="14" t="inlineStr">
        <is>
          <t>Wed</t>
        </is>
      </c>
      <c r="G216" s="14" t="inlineStr">
        <is>
          <t>KV</t>
        </is>
      </c>
      <c r="H216" s="14" t="inlineStr">
        <is>
          <t>DSA</t>
        </is>
      </c>
      <c r="I216" s="14" t="inlineStr">
        <is>
          <t>OPS - DSA</t>
        </is>
      </c>
      <c r="J216" s="14" t="inlineStr">
        <is>
          <t>OPS (generic hub account)</t>
        </is>
      </c>
      <c r="K216" s="14" t="inlineStr">
        <is>
          <t>91854873, 91863194</t>
        </is>
      </c>
      <c r="L216" s="14" t="n">
        <v>2</v>
      </c>
      <c r="M216" s="14" t="inlineStr">
        <is>
          <t>LM</t>
        </is>
      </c>
      <c r="N216" s="14" t="inlineStr">
        <is>
          <t>Failed pick-up</t>
        </is>
      </c>
      <c r="O216" s="14" t="inlineStr"/>
      <c r="P216" s="14" t="inlineStr"/>
      <c r="Q216" s="14" t="inlineStr"/>
      <c r="R216" s="14" t="inlineStr">
        <is>
          <t>POD invalid (No connected call or No 3 call attempt, No unique identifier of the location)</t>
        </is>
      </c>
      <c r="S216" s="14" t="inlineStr">
        <is>
          <t>Huzair</t>
        </is>
      </c>
      <c r="T216" s="14">
        <f>COUNTIF($B$2:$B$499,B216)</f>
        <v/>
      </c>
      <c r="U216" s="14">
        <f>COUNTIF($I$2:$I$499,I216)</f>
        <v/>
      </c>
      <c r="V216" s="14">
        <f>IF(ISNA(MATCH(B216,'Metabase Lookup'!$A:$A,0)),"Not found",IF(INDEX('Metabase Lookup'!$B:$B,MATCH(B216,'Metabase Lookup'!$A:$A,0))="","Pending",INDEX('Metabase Lookup'!$B:$B,MATCH(B216,'Metabase Lookup'!$A:$A,0))))</f>
        <v/>
      </c>
      <c r="W216" s="14">
        <f>IF(ISNA(MATCH(B216,'Metabase Lookup'!$A:$A,0)),"Not found",IF(INDEX('Metabase Lookup'!$C:$C,MATCH(B216,'Metabase Lookup'!$A:$A,0))="","Pending",INDEX('Metabase Lookup'!$C:$C,MATCH(B216,'Metabase Lookup'!$A:$A,0))))</f>
        <v/>
      </c>
      <c r="X216" s="14">
        <f>IF(ISNA(MATCH(B216,'Metabase Lookup'!$A:$A,0)),"",IF(INDEX('Metabase Lookup'!$D:$D,MATCH(B216,'Metabase Lookup'!$A:$A,0))="","",INDEX('Metabase Lookup'!$D:$D,MATCH(B216,'Metabase Lookup'!$A:$A,0))))</f>
        <v/>
      </c>
      <c r="Y216" s="14">
        <f>IF(ISNUMBER(W216),IF(W216&gt;0,"Yes","No"),"Pending")</f>
        <v/>
      </c>
      <c r="Z216" s="14" t="inlineStr">
        <is>
          <t>Multiple route IDs; TID had stray spaces/line breaks (cleaned); Driver not identified (OPS account)</t>
        </is>
      </c>
    </row>
    <row r="217">
      <c r="A217" s="14" t="n">
        <v>216</v>
      </c>
      <c r="B217" s="14" t="inlineStr">
        <is>
          <t>NVMYKAMAT000013283</t>
        </is>
      </c>
      <c r="C217" s="15" t="inlineStr">
        <is>
          <t>264322651094</t>
        </is>
      </c>
      <c r="D217" s="16" t="n">
        <v>46288.41340277778</v>
      </c>
      <c r="E217" s="17" t="n">
        <v>46288</v>
      </c>
      <c r="F217" s="14" t="inlineStr">
        <is>
          <t>Wed</t>
        </is>
      </c>
      <c r="G217" s="14" t="inlineStr">
        <is>
          <t>Southern</t>
        </is>
      </c>
      <c r="H217" s="14" t="inlineStr">
        <is>
          <t>KEM</t>
        </is>
      </c>
      <c r="I217" s="14" t="inlineStr">
        <is>
          <t>OPS - KEM</t>
        </is>
      </c>
      <c r="J217" s="14" t="inlineStr">
        <is>
          <t>OPS (generic hub account)</t>
        </is>
      </c>
      <c r="K217" s="14" t="inlineStr">
        <is>
          <t>91841910</t>
        </is>
      </c>
      <c r="L217" s="14" t="n">
        <v>1</v>
      </c>
      <c r="M217" s="14" t="inlineStr">
        <is>
          <t>LM</t>
        </is>
      </c>
      <c r="N217" s="14" t="inlineStr">
        <is>
          <t>Fake Fail</t>
        </is>
      </c>
      <c r="O217" s="14" t="inlineStr">
        <is>
          <t>No call / call log missing</t>
        </is>
      </c>
      <c r="P217" s="14" t="inlineStr">
        <is>
          <t>No</t>
        </is>
      </c>
      <c r="Q217" s="14" t="inlineStr">
        <is>
          <t>No</t>
        </is>
      </c>
      <c r="R217" s="14" t="inlineStr">
        <is>
          <t>POD invalid (No 3 attempt call with different times, No connected call)</t>
        </is>
      </c>
      <c r="S217" s="14" t="inlineStr">
        <is>
          <t>Huzair</t>
        </is>
      </c>
      <c r="T217" s="14">
        <f>COUNTIF($B$2:$B$499,B217)</f>
        <v/>
      </c>
      <c r="U217" s="14">
        <f>COUNTIF($I$2:$I$499,I217)</f>
        <v/>
      </c>
      <c r="V217" s="14">
        <f>IF(ISNA(MATCH(B217,'Metabase Lookup'!$A:$A,0)),"Not found",IF(INDEX('Metabase Lookup'!$B:$B,MATCH(B217,'Metabase Lookup'!$A:$A,0))="","Pending",INDEX('Metabase Lookup'!$B:$B,MATCH(B217,'Metabase Lookup'!$A:$A,0))))</f>
        <v/>
      </c>
      <c r="W217" s="14">
        <f>IF(ISNA(MATCH(B217,'Metabase Lookup'!$A:$A,0)),"Not found",IF(INDEX('Metabase Lookup'!$C:$C,MATCH(B217,'Metabase Lookup'!$A:$A,0))="","Pending",INDEX('Metabase Lookup'!$C:$C,MATCH(B217,'Metabase Lookup'!$A:$A,0))))</f>
        <v/>
      </c>
      <c r="X217" s="14">
        <f>IF(ISNA(MATCH(B217,'Metabase Lookup'!$A:$A,0)),"",IF(INDEX('Metabase Lookup'!$D:$D,MATCH(B217,'Metabase Lookup'!$A:$A,0))="","",INDEX('Metabase Lookup'!$D:$D,MATCH(B217,'Metabase Lookup'!$A:$A,0))))</f>
        <v/>
      </c>
      <c r="Y217" s="14">
        <f>IF(ISNUMBER(W217),IF(W217&gt;0,"Yes","No"),"Pending")</f>
        <v/>
      </c>
      <c r="Z217" s="14" t="inlineStr">
        <is>
          <t>Driver not identified (OPS account)</t>
        </is>
      </c>
    </row>
    <row r="218">
      <c r="A218" s="14" t="n">
        <v>217</v>
      </c>
      <c r="B218" s="14" t="inlineStr">
        <is>
          <t>NVMYNINJA002521024</t>
        </is>
      </c>
      <c r="C218" s="15" t="inlineStr">
        <is>
          <t>261272659713</t>
        </is>
      </c>
      <c r="D218" s="16" t="n">
        <v>46288.41528935185</v>
      </c>
      <c r="E218" s="17" t="n">
        <v>46288</v>
      </c>
      <c r="F218" s="14" t="inlineStr">
        <is>
          <t>Wed</t>
        </is>
      </c>
      <c r="G218" s="14" t="inlineStr">
        <is>
          <t>Northern</t>
        </is>
      </c>
      <c r="H218" s="14" t="inlineStr">
        <is>
          <t>SIM</t>
        </is>
      </c>
      <c r="I218" s="14" t="inlineStr">
        <is>
          <t>SIM - ID - IMRANNN</t>
        </is>
      </c>
      <c r="J218" s="14" t="inlineStr">
        <is>
          <t>ID (named driver)</t>
        </is>
      </c>
      <c r="K218" s="14" t="inlineStr">
        <is>
          <t>91867195</t>
        </is>
      </c>
      <c r="L218" s="14" t="n">
        <v>1</v>
      </c>
      <c r="M218" s="14" t="inlineStr">
        <is>
          <t>LM</t>
        </is>
      </c>
      <c r="N218" s="14" t="inlineStr">
        <is>
          <t>Fake Fail</t>
        </is>
      </c>
      <c r="O218" s="14" t="inlineStr">
        <is>
          <t>Customer disputes attempt</t>
        </is>
      </c>
      <c r="P218" s="14" t="inlineStr">
        <is>
          <t>No</t>
        </is>
      </c>
      <c r="Q218" s="14" t="inlineStr">
        <is>
          <t>No</t>
        </is>
      </c>
      <c r="R218" s="14" t="inlineStr">
        <is>
          <t>driver proceed with RTS but customer not reject and waiting the parcel</t>
        </is>
      </c>
      <c r="S218" s="14" t="inlineStr">
        <is>
          <t>Zati</t>
        </is>
      </c>
      <c r="T218" s="14">
        <f>COUNTIF($B$2:$B$499,B218)</f>
        <v/>
      </c>
      <c r="U218" s="14">
        <f>COUNTIF($I$2:$I$499,I218)</f>
        <v/>
      </c>
      <c r="V218" s="14">
        <f>IF(ISNA(MATCH(B218,'Metabase Lookup'!$A:$A,0)),"Not found",IF(INDEX('Metabase Lookup'!$B:$B,MATCH(B218,'Metabase Lookup'!$A:$A,0))="","Pending",INDEX('Metabase Lookup'!$B:$B,MATCH(B218,'Metabase Lookup'!$A:$A,0))))</f>
        <v/>
      </c>
      <c r="W218" s="14">
        <f>IF(ISNA(MATCH(B218,'Metabase Lookup'!$A:$A,0)),"Not found",IF(INDEX('Metabase Lookup'!$C:$C,MATCH(B218,'Metabase Lookup'!$A:$A,0))="","Pending",INDEX('Metabase Lookup'!$C:$C,MATCH(B218,'Metabase Lookup'!$A:$A,0))))</f>
        <v/>
      </c>
      <c r="X218" s="14">
        <f>IF(ISNA(MATCH(B218,'Metabase Lookup'!$A:$A,0)),"",IF(INDEX('Metabase Lookup'!$D:$D,MATCH(B218,'Metabase Lookup'!$A:$A,0))="","",INDEX('Metabase Lookup'!$D:$D,MATCH(B218,'Metabase Lookup'!$A:$A,0))))</f>
        <v/>
      </c>
      <c r="Y218" s="14">
        <f>IF(ISNUMBER(W218),IF(W218&gt;0,"Yes","No"),"Pending")</f>
        <v/>
      </c>
      <c r="Z218" s="14" t="inlineStr"/>
    </row>
    <row r="219">
      <c r="A219" s="14" t="n">
        <v>218</v>
      </c>
      <c r="B219" s="14" t="inlineStr">
        <is>
          <t>MYNJV70064585638</t>
        </is>
      </c>
      <c r="C219" s="15" t="inlineStr">
        <is>
          <t>261942653120</t>
        </is>
      </c>
      <c r="D219" s="16" t="n">
        <v>46288.4184375</v>
      </c>
      <c r="E219" s="17" t="n">
        <v>46288</v>
      </c>
      <c r="F219" s="14" t="inlineStr">
        <is>
          <t>Wed</t>
        </is>
      </c>
      <c r="G219" s="14" t="inlineStr">
        <is>
          <t>KV</t>
        </is>
      </c>
      <c r="H219" s="14" t="inlineStr">
        <is>
          <t>SEG</t>
        </is>
      </c>
      <c r="I219" s="14" t="inlineStr">
        <is>
          <t>SEG - OPS - STATION HEAD</t>
        </is>
      </c>
      <c r="J219" s="14" t="inlineStr">
        <is>
          <t>OPS (generic hub account)</t>
        </is>
      </c>
      <c r="K219" s="14" t="inlineStr">
        <is>
          <t>91845156</t>
        </is>
      </c>
      <c r="L219" s="14" t="n">
        <v>1</v>
      </c>
      <c r="M219" s="14" t="inlineStr">
        <is>
          <t>LM</t>
        </is>
      </c>
      <c r="N219" s="14" t="inlineStr">
        <is>
          <t>Fake Fail</t>
        </is>
      </c>
      <c r="O219" s="14" t="inlineStr">
        <is>
          <t>Call not connected / no response</t>
        </is>
      </c>
      <c r="P219" s="14" t="inlineStr">
        <is>
          <t>Yes</t>
        </is>
      </c>
      <c r="Q219" s="14" t="inlineStr">
        <is>
          <t>No</t>
        </is>
      </c>
      <c r="R219" s="14" t="inlineStr">
        <is>
          <t>POD invalid (No connected call or No responded chat, No unique identifier of the location)</t>
        </is>
      </c>
      <c r="S219" s="14" t="inlineStr">
        <is>
          <t>Huzair</t>
        </is>
      </c>
      <c r="T219" s="14">
        <f>COUNTIF($B$2:$B$499,B219)</f>
        <v/>
      </c>
      <c r="U219" s="14">
        <f>COUNTIF($I$2:$I$499,I219)</f>
        <v/>
      </c>
      <c r="V219" s="14">
        <f>IF(ISNA(MATCH(B219,'Metabase Lookup'!$A:$A,0)),"Not found",IF(INDEX('Metabase Lookup'!$B:$B,MATCH(B219,'Metabase Lookup'!$A:$A,0))="","Pending",INDEX('Metabase Lookup'!$B:$B,MATCH(B219,'Metabase Lookup'!$A:$A,0))))</f>
        <v/>
      </c>
      <c r="W219" s="14">
        <f>IF(ISNA(MATCH(B219,'Metabase Lookup'!$A:$A,0)),"Not found",IF(INDEX('Metabase Lookup'!$C:$C,MATCH(B219,'Metabase Lookup'!$A:$A,0))="","Pending",INDEX('Metabase Lookup'!$C:$C,MATCH(B219,'Metabase Lookup'!$A:$A,0))))</f>
        <v/>
      </c>
      <c r="X219" s="14">
        <f>IF(ISNA(MATCH(B219,'Metabase Lookup'!$A:$A,0)),"",IF(INDEX('Metabase Lookup'!$D:$D,MATCH(B219,'Metabase Lookup'!$A:$A,0))="","",INDEX('Metabase Lookup'!$D:$D,MATCH(B219,'Metabase Lookup'!$A:$A,0))))</f>
        <v/>
      </c>
      <c r="Y219" s="14">
        <f>IF(ISNUMBER(W219),IF(W219&gt;0,"Yes","No"),"Pending")</f>
        <v/>
      </c>
      <c r="Z219" s="14" t="inlineStr">
        <is>
          <t>Driver not identified (OPS account)</t>
        </is>
      </c>
    </row>
    <row r="220">
      <c r="A220" s="14" t="n">
        <v>219</v>
      </c>
      <c r="B220" s="14" t="inlineStr">
        <is>
          <t>NVMYQUTN0000015757</t>
        </is>
      </c>
      <c r="C220" s="15" t="inlineStr">
        <is>
          <t>269242663137</t>
        </is>
      </c>
      <c r="D220" s="16" t="n">
        <v>46288.42032407408</v>
      </c>
      <c r="E220" s="17" t="n">
        <v>46288</v>
      </c>
      <c r="F220" s="14" t="inlineStr">
        <is>
          <t>Wed</t>
        </is>
      </c>
      <c r="G220" s="14" t="inlineStr">
        <is>
          <t>Southern</t>
        </is>
      </c>
      <c r="H220" s="14" t="inlineStr">
        <is>
          <t>BTS</t>
        </is>
      </c>
      <c r="I220" s="14" t="inlineStr">
        <is>
          <t>SELF COLLECT BERTAM PUTRA | BTS - OPS - PINANG TUNGGAL</t>
        </is>
      </c>
      <c r="J220" s="14" t="inlineStr">
        <is>
          <t>Multiple drivers</t>
        </is>
      </c>
      <c r="K220" s="14" t="inlineStr">
        <is>
          <t>91772825, 91845173</t>
        </is>
      </c>
      <c r="L220" s="14" t="n">
        <v>2</v>
      </c>
      <c r="M220" s="14" t="inlineStr">
        <is>
          <t>LM</t>
        </is>
      </c>
      <c r="N220" s="14" t="inlineStr">
        <is>
          <t>Fake Fail</t>
        </is>
      </c>
      <c r="O220" s="14" t="inlineStr">
        <is>
          <t>Invalid call log (unspecified)</t>
        </is>
      </c>
      <c r="P220" s="14" t="inlineStr">
        <is>
          <t>No</t>
        </is>
      </c>
      <c r="Q220" s="14" t="inlineStr">
        <is>
          <t>No</t>
        </is>
      </c>
      <c r="R220" s="14" t="inlineStr">
        <is>
          <t>1st POD, dont show any text or call log, 2nd POD text given to cust is refer to different TN</t>
        </is>
      </c>
      <c r="S220" s="14" t="inlineStr">
        <is>
          <t>Syak</t>
        </is>
      </c>
      <c r="T220" s="14">
        <f>COUNTIF($B$2:$B$499,B220)</f>
        <v/>
      </c>
      <c r="U220" s="14">
        <f>COUNTIF($I$2:$I$499,I220)</f>
        <v/>
      </c>
      <c r="V220" s="14">
        <f>IF(ISNA(MATCH(B220,'Metabase Lookup'!$A:$A,0)),"Not found",IF(INDEX('Metabase Lookup'!$B:$B,MATCH(B220,'Metabase Lookup'!$A:$A,0))="","Pending",INDEX('Metabase Lookup'!$B:$B,MATCH(B220,'Metabase Lookup'!$A:$A,0))))</f>
        <v/>
      </c>
      <c r="W220" s="14">
        <f>IF(ISNA(MATCH(B220,'Metabase Lookup'!$A:$A,0)),"Not found",IF(INDEX('Metabase Lookup'!$C:$C,MATCH(B220,'Metabase Lookup'!$A:$A,0))="","Pending",INDEX('Metabase Lookup'!$C:$C,MATCH(B220,'Metabase Lookup'!$A:$A,0))))</f>
        <v/>
      </c>
      <c r="X220" s="14">
        <f>IF(ISNA(MATCH(B220,'Metabase Lookup'!$A:$A,0)),"",IF(INDEX('Metabase Lookup'!$D:$D,MATCH(B220,'Metabase Lookup'!$A:$A,0))="","",INDEX('Metabase Lookup'!$D:$D,MATCH(B220,'Metabase Lookup'!$A:$A,0))))</f>
        <v/>
      </c>
      <c r="Y220" s="14">
        <f>IF(ISNUMBER(W220),IF(W220&gt;0,"Yes","No"),"Pending")</f>
        <v/>
      </c>
      <c r="Z220" s="14" t="inlineStr">
        <is>
          <t>Multiple drivers in one row; Multiple route IDs</t>
        </is>
      </c>
    </row>
    <row r="221">
      <c r="A221" s="14" t="n">
        <v>220</v>
      </c>
      <c r="B221" s="14" t="inlineStr">
        <is>
          <t>NVMYMOLBC000001942</t>
        </is>
      </c>
      <c r="C221" s="15" t="inlineStr">
        <is>
          <t>265462665950</t>
        </is>
      </c>
      <c r="D221" s="16" t="n">
        <v>46288.42210648148</v>
      </c>
      <c r="E221" s="17" t="n">
        <v>46288</v>
      </c>
      <c r="F221" s="14" t="inlineStr">
        <is>
          <t>Wed</t>
        </is>
      </c>
      <c r="G221" s="14" t="inlineStr">
        <is>
          <t>Southern</t>
        </is>
      </c>
      <c r="H221" s="14" t="inlineStr">
        <is>
          <t>KLI</t>
        </is>
      </c>
      <c r="I221" s="14" t="inlineStr">
        <is>
          <t>OPS - KULAI</t>
        </is>
      </c>
      <c r="J221" s="14" t="inlineStr">
        <is>
          <t>OPS (generic hub account)</t>
        </is>
      </c>
      <c r="K221" s="14" t="inlineStr">
        <is>
          <t>91864958</t>
        </is>
      </c>
      <c r="L221" s="14" t="n">
        <v>1</v>
      </c>
      <c r="M221" s="14" t="inlineStr">
        <is>
          <t>LM</t>
        </is>
      </c>
      <c r="N221" s="14" t="inlineStr">
        <is>
          <t>Fake Fail</t>
        </is>
      </c>
      <c r="O221" s="14" t="inlineStr">
        <is>
          <t>No call / call log missing</t>
        </is>
      </c>
      <c r="P221" s="14" t="inlineStr">
        <is>
          <t>No</t>
        </is>
      </c>
      <c r="Q221" s="14" t="inlineStr">
        <is>
          <t>No</t>
        </is>
      </c>
      <c r="R221" s="14" t="inlineStr">
        <is>
          <t>No call log/Whatsapp provided (blank POD)</t>
        </is>
      </c>
      <c r="S221" s="14" t="inlineStr">
        <is>
          <t>Izzni</t>
        </is>
      </c>
      <c r="T221" s="14">
        <f>COUNTIF($B$2:$B$499,B221)</f>
        <v/>
      </c>
      <c r="U221" s="14">
        <f>COUNTIF($I$2:$I$499,I221)</f>
        <v/>
      </c>
      <c r="V221" s="14">
        <f>IF(ISNA(MATCH(B221,'Metabase Lookup'!$A:$A,0)),"Not found",IF(INDEX('Metabase Lookup'!$B:$B,MATCH(B221,'Metabase Lookup'!$A:$A,0))="","Pending",INDEX('Metabase Lookup'!$B:$B,MATCH(B221,'Metabase Lookup'!$A:$A,0))))</f>
        <v/>
      </c>
      <c r="W221" s="14">
        <f>IF(ISNA(MATCH(B221,'Metabase Lookup'!$A:$A,0)),"Not found",IF(INDEX('Metabase Lookup'!$C:$C,MATCH(B221,'Metabase Lookup'!$A:$A,0))="","Pending",INDEX('Metabase Lookup'!$C:$C,MATCH(B221,'Metabase Lookup'!$A:$A,0))))</f>
        <v/>
      </c>
      <c r="X221" s="14">
        <f>IF(ISNA(MATCH(B221,'Metabase Lookup'!$A:$A,0)),"",IF(INDEX('Metabase Lookup'!$D:$D,MATCH(B221,'Metabase Lookup'!$A:$A,0))="","",INDEX('Metabase Lookup'!$D:$D,MATCH(B221,'Metabase Lookup'!$A:$A,0))))</f>
        <v/>
      </c>
      <c r="Y221" s="14">
        <f>IF(ISNUMBER(W221),IF(W221&gt;0,"Yes","No"),"Pending")</f>
        <v/>
      </c>
      <c r="Z221" s="14" t="inlineStr">
        <is>
          <t>Driver not identified (OPS account)</t>
        </is>
      </c>
    </row>
    <row r="222">
      <c r="A222" s="14" t="n">
        <v>221</v>
      </c>
      <c r="B222" s="14" t="inlineStr">
        <is>
          <t>TNGDV2609076844573390</t>
        </is>
      </c>
      <c r="C222" s="15" t="inlineStr">
        <is>
          <t>263932618154</t>
        </is>
      </c>
      <c r="D222" s="16" t="n">
        <v>46288.4259837963</v>
      </c>
      <c r="E222" s="17" t="n">
        <v>46288</v>
      </c>
      <c r="F222" s="14" t="inlineStr">
        <is>
          <t>Wed</t>
        </is>
      </c>
      <c r="G222" s="14" t="inlineStr">
        <is>
          <t>KV</t>
        </is>
      </c>
      <c r="H222" s="14" t="inlineStr">
        <is>
          <t>RWG</t>
        </is>
      </c>
      <c r="I222" s="14" t="inlineStr">
        <is>
          <t>RWG - ID - NIK SAIFUL</t>
        </is>
      </c>
      <c r="J222" s="14" t="inlineStr">
        <is>
          <t>ID (named driver)</t>
        </is>
      </c>
      <c r="K222" s="14" t="inlineStr">
        <is>
          <t>91807029</t>
        </is>
      </c>
      <c r="L222" s="14" t="n">
        <v>1</v>
      </c>
      <c r="M222" s="14" t="inlineStr">
        <is>
          <t>LM</t>
        </is>
      </c>
      <c r="N222" s="14" t="inlineStr">
        <is>
          <t>Deliver to Wrong Address</t>
        </is>
      </c>
      <c r="O222" s="14" t="inlineStr"/>
      <c r="P222" s="14" t="inlineStr"/>
      <c r="Q222" s="14" t="inlineStr"/>
      <c r="R222" s="14" t="inlineStr">
        <is>
          <t>Completed 2026-09-15 but delivered to the wrong address. Done retrieve and cust received it on 22/09</t>
        </is>
      </c>
      <c r="S222" s="14" t="inlineStr">
        <is>
          <t>Syaza</t>
        </is>
      </c>
      <c r="T222" s="14">
        <f>COUNTIF($B$2:$B$499,B222)</f>
        <v/>
      </c>
      <c r="U222" s="14">
        <f>COUNTIF($I$2:$I$499,I222)</f>
        <v/>
      </c>
      <c r="V222" s="14">
        <f>IF(ISNA(MATCH(B222,'Metabase Lookup'!$A:$A,0)),"Not found",IF(INDEX('Metabase Lookup'!$B:$B,MATCH(B222,'Metabase Lookup'!$A:$A,0))="","Pending",INDEX('Metabase Lookup'!$B:$B,MATCH(B222,'Metabase Lookup'!$A:$A,0))))</f>
        <v/>
      </c>
      <c r="W222" s="14">
        <f>IF(ISNA(MATCH(B222,'Metabase Lookup'!$A:$A,0)),"Not found",IF(INDEX('Metabase Lookup'!$C:$C,MATCH(B222,'Metabase Lookup'!$A:$A,0))="","Pending",INDEX('Metabase Lookup'!$C:$C,MATCH(B222,'Metabase Lookup'!$A:$A,0))))</f>
        <v/>
      </c>
      <c r="X222" s="14">
        <f>IF(ISNA(MATCH(B222,'Metabase Lookup'!$A:$A,0)),"",IF(INDEX('Metabase Lookup'!$D:$D,MATCH(B222,'Metabase Lookup'!$A:$A,0))="","",INDEX('Metabase Lookup'!$D:$D,MATCH(B222,'Metabase Lookup'!$A:$A,0))))</f>
        <v/>
      </c>
      <c r="Y222" s="14">
        <f>IF(ISNUMBER(W222),IF(W222&gt;0,"Yes","No"),"Pending")</f>
        <v/>
      </c>
      <c r="Z222" s="14" t="inlineStr"/>
    </row>
    <row r="223">
      <c r="A223" s="14" t="n">
        <v>222</v>
      </c>
      <c r="B223" s="14" t="inlineStr">
        <is>
          <t>NVMYNINJA002513733</t>
        </is>
      </c>
      <c r="C223" s="15" t="inlineStr">
        <is>
          <t>264702657620</t>
        </is>
      </c>
      <c r="D223" s="16" t="n">
        <v>46288.42616898148</v>
      </c>
      <c r="E223" s="17" t="n">
        <v>46288</v>
      </c>
      <c r="F223" s="14" t="inlineStr">
        <is>
          <t>Wed</t>
        </is>
      </c>
      <c r="G223" s="14" t="inlineStr">
        <is>
          <t>Southern</t>
        </is>
      </c>
      <c r="H223" s="14" t="inlineStr">
        <is>
          <t>KEM</t>
        </is>
      </c>
      <c r="I223" s="14" t="inlineStr">
        <is>
          <t>OPS - KEM</t>
        </is>
      </c>
      <c r="J223" s="14" t="inlineStr">
        <is>
          <t>OPS (generic hub account)</t>
        </is>
      </c>
      <c r="K223" s="14" t="inlineStr">
        <is>
          <t>91865703</t>
        </is>
      </c>
      <c r="L223" s="14" t="n">
        <v>1</v>
      </c>
      <c r="M223" s="14" t="inlineStr">
        <is>
          <t>LM</t>
        </is>
      </c>
      <c r="N223" s="14" t="inlineStr">
        <is>
          <t>Fake Fail</t>
        </is>
      </c>
      <c r="O223" s="14" t="inlineStr">
        <is>
          <t>No call / call log missing</t>
        </is>
      </c>
      <c r="P223" s="14" t="inlineStr">
        <is>
          <t>No</t>
        </is>
      </c>
      <c r="Q223" s="14" t="inlineStr">
        <is>
          <t>No</t>
        </is>
      </c>
      <c r="R223" s="14" t="inlineStr">
        <is>
          <t>POD invalid (No 3 attempt call with different times, No connected call)</t>
        </is>
      </c>
      <c r="S223" s="14" t="inlineStr">
        <is>
          <t>Huzair</t>
        </is>
      </c>
      <c r="T223" s="14">
        <f>COUNTIF($B$2:$B$499,B223)</f>
        <v/>
      </c>
      <c r="U223" s="14">
        <f>COUNTIF($I$2:$I$499,I223)</f>
        <v/>
      </c>
      <c r="V223" s="14">
        <f>IF(ISNA(MATCH(B223,'Metabase Lookup'!$A:$A,0)),"Not found",IF(INDEX('Metabase Lookup'!$B:$B,MATCH(B223,'Metabase Lookup'!$A:$A,0))="","Pending",INDEX('Metabase Lookup'!$B:$B,MATCH(B223,'Metabase Lookup'!$A:$A,0))))</f>
        <v/>
      </c>
      <c r="W223" s="14">
        <f>IF(ISNA(MATCH(B223,'Metabase Lookup'!$A:$A,0)),"Not found",IF(INDEX('Metabase Lookup'!$C:$C,MATCH(B223,'Metabase Lookup'!$A:$A,0))="","Pending",INDEX('Metabase Lookup'!$C:$C,MATCH(B223,'Metabase Lookup'!$A:$A,0))))</f>
        <v/>
      </c>
      <c r="X223" s="14">
        <f>IF(ISNA(MATCH(B223,'Metabase Lookup'!$A:$A,0)),"",IF(INDEX('Metabase Lookup'!$D:$D,MATCH(B223,'Metabase Lookup'!$A:$A,0))="","",INDEX('Metabase Lookup'!$D:$D,MATCH(B223,'Metabase Lookup'!$A:$A,0))))</f>
        <v/>
      </c>
      <c r="Y223" s="14">
        <f>IF(ISNUMBER(W223),IF(W223&gt;0,"Yes","No"),"Pending")</f>
        <v/>
      </c>
      <c r="Z223" s="14" t="inlineStr">
        <is>
          <t>Driver not identified (OPS account)</t>
        </is>
      </c>
    </row>
    <row r="224">
      <c r="A224" s="14" t="n">
        <v>223</v>
      </c>
      <c r="B224" s="14" t="inlineStr">
        <is>
          <t>RYTDBYP63YO4WN0</t>
        </is>
      </c>
      <c r="C224" s="15" t="inlineStr">
        <is>
          <t>265722663167</t>
        </is>
      </c>
      <c r="D224" s="16" t="n">
        <v>46288.42688657407</v>
      </c>
      <c r="E224" s="17" t="n">
        <v>46288</v>
      </c>
      <c r="F224" s="14" t="inlineStr">
        <is>
          <t>Wed</t>
        </is>
      </c>
      <c r="G224" s="14" t="inlineStr">
        <is>
          <t>KV</t>
        </is>
      </c>
      <c r="H224" s="14" t="inlineStr">
        <is>
          <t>SHA</t>
        </is>
      </c>
      <c r="I224" s="14" t="inlineStr">
        <is>
          <t>SHA - OPS - SHA</t>
        </is>
      </c>
      <c r="J224" s="14" t="inlineStr">
        <is>
          <t>OPS (generic hub account)</t>
        </is>
      </c>
      <c r="K224" s="14" t="inlineStr">
        <is>
          <t>91826821, 91859933</t>
        </is>
      </c>
      <c r="L224" s="14" t="n">
        <v>2</v>
      </c>
      <c r="M224" s="14" t="inlineStr">
        <is>
          <t>LM</t>
        </is>
      </c>
      <c r="N224" s="14" t="inlineStr">
        <is>
          <t>Fake Fail</t>
        </is>
      </c>
      <c r="O224" s="14" t="inlineStr">
        <is>
          <t>Wrong number called</t>
        </is>
      </c>
      <c r="P224" s="14" t="inlineStr">
        <is>
          <t>No</t>
        </is>
      </c>
      <c r="Q224" s="14" t="inlineStr">
        <is>
          <t>No</t>
        </is>
      </c>
      <c r="R224" s="14" t="inlineStr">
        <is>
          <t>The driver contacted wrong number</t>
        </is>
      </c>
      <c r="S224" s="14" t="inlineStr">
        <is>
          <t>Izzni</t>
        </is>
      </c>
      <c r="T224" s="14">
        <f>COUNTIF($B$2:$B$499,B224)</f>
        <v/>
      </c>
      <c r="U224" s="14">
        <f>COUNTIF($I$2:$I$499,I224)</f>
        <v/>
      </c>
      <c r="V224" s="14">
        <f>IF(ISNA(MATCH(B224,'Metabase Lookup'!$A:$A,0)),"Not found",IF(INDEX('Metabase Lookup'!$B:$B,MATCH(B224,'Metabase Lookup'!$A:$A,0))="","Pending",INDEX('Metabase Lookup'!$B:$B,MATCH(B224,'Metabase Lookup'!$A:$A,0))))</f>
        <v/>
      </c>
      <c r="W224" s="14">
        <f>IF(ISNA(MATCH(B224,'Metabase Lookup'!$A:$A,0)),"Not found",IF(INDEX('Metabase Lookup'!$C:$C,MATCH(B224,'Metabase Lookup'!$A:$A,0))="","Pending",INDEX('Metabase Lookup'!$C:$C,MATCH(B224,'Metabase Lookup'!$A:$A,0))))</f>
        <v/>
      </c>
      <c r="X224" s="14">
        <f>IF(ISNA(MATCH(B224,'Metabase Lookup'!$A:$A,0)),"",IF(INDEX('Metabase Lookup'!$D:$D,MATCH(B224,'Metabase Lookup'!$A:$A,0))="","",INDEX('Metabase Lookup'!$D:$D,MATCH(B224,'Metabase Lookup'!$A:$A,0))))</f>
        <v/>
      </c>
      <c r="Y224" s="14">
        <f>IF(ISNUMBER(W224),IF(W224&gt;0,"Yes","No"),"Pending")</f>
        <v/>
      </c>
      <c r="Z224" s="14" t="inlineStr">
        <is>
          <t>Multiple route IDs; Driver not identified (OPS account)</t>
        </is>
      </c>
    </row>
    <row r="225">
      <c r="A225" s="14" t="n">
        <v>224</v>
      </c>
      <c r="B225" s="14" t="inlineStr">
        <is>
          <t>NVMYTDGPP102333622</t>
        </is>
      </c>
      <c r="C225" s="15" t="inlineStr">
        <is>
          <t>268722667287</t>
        </is>
      </c>
      <c r="D225" s="16" t="n">
        <v>46288.42987268518</v>
      </c>
      <c r="E225" s="17" t="n">
        <v>46288</v>
      </c>
      <c r="F225" s="14" t="inlineStr">
        <is>
          <t>Wed</t>
        </is>
      </c>
      <c r="G225" s="14" t="inlineStr">
        <is>
          <t>Southern</t>
        </is>
      </c>
      <c r="H225" s="14" t="inlineStr">
        <is>
          <t>GLG</t>
        </is>
      </c>
      <c r="I225" s="14" t="inlineStr">
        <is>
          <t>GLG - OPS - ENGKU</t>
        </is>
      </c>
      <c r="J225" s="14" t="inlineStr">
        <is>
          <t>OPS (generic hub account)</t>
        </is>
      </c>
      <c r="K225" s="14" t="inlineStr">
        <is>
          <t>91868637</t>
        </is>
      </c>
      <c r="L225" s="14" t="n">
        <v>1</v>
      </c>
      <c r="M225" s="14" t="inlineStr">
        <is>
          <t>LM</t>
        </is>
      </c>
      <c r="N225" s="14" t="inlineStr">
        <is>
          <t>Fake Fail</t>
        </is>
      </c>
      <c r="O225" s="14" t="inlineStr">
        <is>
          <t>No call / call log missing</t>
        </is>
      </c>
      <c r="P225" s="14" t="inlineStr">
        <is>
          <t>No</t>
        </is>
      </c>
      <c r="Q225" s="14" t="inlineStr">
        <is>
          <t>No</t>
        </is>
      </c>
      <c r="R225" s="14" t="inlineStr">
        <is>
          <t>POD invalid (No 3 attempt call with different times, No connected call)</t>
        </is>
      </c>
      <c r="S225" s="14" t="inlineStr">
        <is>
          <t>Huzair</t>
        </is>
      </c>
      <c r="T225" s="14">
        <f>COUNTIF($B$2:$B$499,B225)</f>
        <v/>
      </c>
      <c r="U225" s="14">
        <f>COUNTIF($I$2:$I$499,I225)</f>
        <v/>
      </c>
      <c r="V225" s="14">
        <f>IF(ISNA(MATCH(B225,'Metabase Lookup'!$A:$A,0)),"Not found",IF(INDEX('Metabase Lookup'!$B:$B,MATCH(B225,'Metabase Lookup'!$A:$A,0))="","Pending",INDEX('Metabase Lookup'!$B:$B,MATCH(B225,'Metabase Lookup'!$A:$A,0))))</f>
        <v/>
      </c>
      <c r="W225" s="14">
        <f>IF(ISNA(MATCH(B225,'Metabase Lookup'!$A:$A,0)),"Not found",IF(INDEX('Metabase Lookup'!$C:$C,MATCH(B225,'Metabase Lookup'!$A:$A,0))="","Pending",INDEX('Metabase Lookup'!$C:$C,MATCH(B225,'Metabase Lookup'!$A:$A,0))))</f>
        <v/>
      </c>
      <c r="X225" s="14">
        <f>IF(ISNA(MATCH(B225,'Metabase Lookup'!$A:$A,0)),"",IF(INDEX('Metabase Lookup'!$D:$D,MATCH(B225,'Metabase Lookup'!$A:$A,0))="","",INDEX('Metabase Lookup'!$D:$D,MATCH(B225,'Metabase Lookup'!$A:$A,0))))</f>
        <v/>
      </c>
      <c r="Y225" s="14">
        <f>IF(ISNUMBER(W225),IF(W225&gt;0,"Yes","No"),"Pending")</f>
        <v/>
      </c>
      <c r="Z225" s="14" t="inlineStr">
        <is>
          <t>Driver not identified (OPS account)</t>
        </is>
      </c>
    </row>
    <row r="226">
      <c r="A226" s="14" t="n">
        <v>225</v>
      </c>
      <c r="B226" s="14" t="inlineStr">
        <is>
          <t>RYTDBD29JAYW9LL</t>
        </is>
      </c>
      <c r="C226" s="15" t="inlineStr">
        <is>
          <t>267802663802</t>
        </is>
      </c>
      <c r="D226" s="16" t="n">
        <v>46288.43155092592</v>
      </c>
      <c r="E226" s="17" t="n">
        <v>46288</v>
      </c>
      <c r="F226" s="14" t="inlineStr">
        <is>
          <t>Wed</t>
        </is>
      </c>
      <c r="G226" s="14" t="inlineStr">
        <is>
          <t>KV</t>
        </is>
      </c>
      <c r="H226" s="14" t="inlineStr">
        <is>
          <t>BRP</t>
        </is>
      </c>
      <c r="I226" s="14" t="inlineStr">
        <is>
          <t>BRP - ID - HAIRI</t>
        </is>
      </c>
      <c r="J226" s="14" t="inlineStr">
        <is>
          <t>ID (named driver)</t>
        </is>
      </c>
      <c r="K226" s="14" t="inlineStr">
        <is>
          <t>91862067</t>
        </is>
      </c>
      <c r="L226" s="14" t="n">
        <v>1</v>
      </c>
      <c r="M226" s="14" t="inlineStr">
        <is>
          <t>LM</t>
        </is>
      </c>
      <c r="N226" s="14" t="inlineStr">
        <is>
          <t>Fake Fail</t>
        </is>
      </c>
      <c r="O226" s="14" t="inlineStr">
        <is>
          <t>Call not connected / no response</t>
        </is>
      </c>
      <c r="P226" s="14" t="inlineStr">
        <is>
          <t>No</t>
        </is>
      </c>
      <c r="Q226" s="14" t="inlineStr">
        <is>
          <t>No</t>
        </is>
      </c>
      <c r="R226" s="14" t="inlineStr">
        <is>
          <t>The call was not connected, and there was no response via WhatsApp.</t>
        </is>
      </c>
      <c r="S226" s="14" t="inlineStr">
        <is>
          <t>Izzni</t>
        </is>
      </c>
      <c r="T226" s="14">
        <f>COUNTIF($B$2:$B$499,B226)</f>
        <v/>
      </c>
      <c r="U226" s="14">
        <f>COUNTIF($I$2:$I$499,I226)</f>
        <v/>
      </c>
      <c r="V226" s="14">
        <f>IF(ISNA(MATCH(B226,'Metabase Lookup'!$A:$A,0)),"Not found",IF(INDEX('Metabase Lookup'!$B:$B,MATCH(B226,'Metabase Lookup'!$A:$A,0))="","Pending",INDEX('Metabase Lookup'!$B:$B,MATCH(B226,'Metabase Lookup'!$A:$A,0))))</f>
        <v/>
      </c>
      <c r="W226" s="14">
        <f>IF(ISNA(MATCH(B226,'Metabase Lookup'!$A:$A,0)),"Not found",IF(INDEX('Metabase Lookup'!$C:$C,MATCH(B226,'Metabase Lookup'!$A:$A,0))="","Pending",INDEX('Metabase Lookup'!$C:$C,MATCH(B226,'Metabase Lookup'!$A:$A,0))))</f>
        <v/>
      </c>
      <c r="X226" s="14">
        <f>IF(ISNA(MATCH(B226,'Metabase Lookup'!$A:$A,0)),"",IF(INDEX('Metabase Lookup'!$D:$D,MATCH(B226,'Metabase Lookup'!$A:$A,0))="","",INDEX('Metabase Lookup'!$D:$D,MATCH(B226,'Metabase Lookup'!$A:$A,0))))</f>
        <v/>
      </c>
      <c r="Y226" s="14">
        <f>IF(ISNUMBER(W226),IF(W226&gt;0,"Yes","No"),"Pending")</f>
        <v/>
      </c>
      <c r="Z226" s="14" t="inlineStr"/>
    </row>
    <row r="227">
      <c r="A227" s="14" t="n">
        <v>226</v>
      </c>
      <c r="B227" s="14" t="inlineStr">
        <is>
          <t>NVMYLUGIF000000218</t>
        </is>
      </c>
      <c r="C227" s="15" t="inlineStr">
        <is>
          <t>265222668849</t>
        </is>
      </c>
      <c r="D227" s="16" t="n">
        <v>46288.4371875</v>
      </c>
      <c r="E227" s="17" t="n">
        <v>46288</v>
      </c>
      <c r="F227" s="14" t="inlineStr">
        <is>
          <t>Wed</t>
        </is>
      </c>
      <c r="G227" s="14" t="inlineStr">
        <is>
          <t>KV</t>
        </is>
      </c>
      <c r="H227" s="14" t="inlineStr">
        <is>
          <t>BTR</t>
        </is>
      </c>
      <c r="I227" s="14" t="inlineStr">
        <is>
          <t>BTR - ID - SYIFAA</t>
        </is>
      </c>
      <c r="J227" s="14" t="inlineStr">
        <is>
          <t>ID (named driver)</t>
        </is>
      </c>
      <c r="K227" s="14" t="inlineStr">
        <is>
          <t>91863082</t>
        </is>
      </c>
      <c r="L227" s="14" t="n">
        <v>1</v>
      </c>
      <c r="M227" s="14" t="inlineStr">
        <is>
          <t>LM</t>
        </is>
      </c>
      <c r="N227" s="14" t="inlineStr">
        <is>
          <t>Fake Fail</t>
        </is>
      </c>
      <c r="O227" s="14" t="inlineStr">
        <is>
          <t>Invalid POD (no detail)</t>
        </is>
      </c>
      <c r="P227" s="14" t="inlineStr">
        <is>
          <t>No</t>
        </is>
      </c>
      <c r="Q227" s="14" t="inlineStr">
        <is>
          <t>No</t>
        </is>
      </c>
      <c r="R227" s="14" t="inlineStr">
        <is>
          <t>POD not cust contact number</t>
        </is>
      </c>
      <c r="S227" s="14" t="inlineStr">
        <is>
          <t>Zakwan</t>
        </is>
      </c>
      <c r="T227" s="14">
        <f>COUNTIF($B$2:$B$499,B227)</f>
        <v/>
      </c>
      <c r="U227" s="14">
        <f>COUNTIF($I$2:$I$499,I227)</f>
        <v/>
      </c>
      <c r="V227" s="14">
        <f>IF(ISNA(MATCH(B227,'Metabase Lookup'!$A:$A,0)),"Not found",IF(INDEX('Metabase Lookup'!$B:$B,MATCH(B227,'Metabase Lookup'!$A:$A,0))="","Pending",INDEX('Metabase Lookup'!$B:$B,MATCH(B227,'Metabase Lookup'!$A:$A,0))))</f>
        <v/>
      </c>
      <c r="W227" s="14">
        <f>IF(ISNA(MATCH(B227,'Metabase Lookup'!$A:$A,0)),"Not found",IF(INDEX('Metabase Lookup'!$C:$C,MATCH(B227,'Metabase Lookup'!$A:$A,0))="","Pending",INDEX('Metabase Lookup'!$C:$C,MATCH(B227,'Metabase Lookup'!$A:$A,0))))</f>
        <v/>
      </c>
      <c r="X227" s="14">
        <f>IF(ISNA(MATCH(B227,'Metabase Lookup'!$A:$A,0)),"",IF(INDEX('Metabase Lookup'!$D:$D,MATCH(B227,'Metabase Lookup'!$A:$A,0))="","",INDEX('Metabase Lookup'!$D:$D,MATCH(B227,'Metabase Lookup'!$A:$A,0))))</f>
        <v/>
      </c>
      <c r="Y227" s="14">
        <f>IF(ISNUMBER(W227),IF(W227&gt;0,"Yes","No"),"Pending")</f>
        <v/>
      </c>
      <c r="Z227" s="14" t="inlineStr"/>
    </row>
    <row r="228">
      <c r="A228" s="14" t="n">
        <v>227</v>
      </c>
      <c r="B228" s="14" t="inlineStr">
        <is>
          <t>NVMYNINJA002517028</t>
        </is>
      </c>
      <c r="C228" s="15" t="inlineStr">
        <is>
          <t>263872668631</t>
        </is>
      </c>
      <c r="D228" s="16" t="n">
        <v>46288.43804398148</v>
      </c>
      <c r="E228" s="17" t="n">
        <v>46288</v>
      </c>
      <c r="F228" s="14" t="inlineStr">
        <is>
          <t>Wed</t>
        </is>
      </c>
      <c r="G228" s="14" t="inlineStr">
        <is>
          <t>Southern</t>
        </is>
      </c>
      <c r="H228" s="14" t="inlineStr">
        <is>
          <t>KEM</t>
        </is>
      </c>
      <c r="I228" s="14" t="inlineStr">
        <is>
          <t>KEM - ID - CHOU</t>
        </is>
      </c>
      <c r="J228" s="14" t="inlineStr">
        <is>
          <t>ID (named driver)</t>
        </is>
      </c>
      <c r="K228" s="14" t="inlineStr">
        <is>
          <t>91841899</t>
        </is>
      </c>
      <c r="L228" s="14" t="n">
        <v>1</v>
      </c>
      <c r="M228" s="14" t="inlineStr">
        <is>
          <t>LM</t>
        </is>
      </c>
      <c r="N228" s="14" t="inlineStr">
        <is>
          <t>Fake Fail</t>
        </is>
      </c>
      <c r="O228" s="14" t="inlineStr">
        <is>
          <t>Customer disputes attempt</t>
        </is>
      </c>
      <c r="P228" s="14" t="inlineStr">
        <is>
          <t>No</t>
        </is>
      </c>
      <c r="Q228" s="14" t="inlineStr">
        <is>
          <t>No</t>
        </is>
      </c>
      <c r="R228" s="14" t="inlineStr">
        <is>
          <t>POD not valid as cust not reject parcel</t>
        </is>
      </c>
      <c r="S228" s="14" t="inlineStr">
        <is>
          <t>Zakwan</t>
        </is>
      </c>
      <c r="T228" s="14">
        <f>COUNTIF($B$2:$B$499,B228)</f>
        <v/>
      </c>
      <c r="U228" s="14">
        <f>COUNTIF($I$2:$I$499,I228)</f>
        <v/>
      </c>
      <c r="V228" s="14">
        <f>IF(ISNA(MATCH(B228,'Metabase Lookup'!$A:$A,0)),"Not found",IF(INDEX('Metabase Lookup'!$B:$B,MATCH(B228,'Metabase Lookup'!$A:$A,0))="","Pending",INDEX('Metabase Lookup'!$B:$B,MATCH(B228,'Metabase Lookup'!$A:$A,0))))</f>
        <v/>
      </c>
      <c r="W228" s="14">
        <f>IF(ISNA(MATCH(B228,'Metabase Lookup'!$A:$A,0)),"Not found",IF(INDEX('Metabase Lookup'!$C:$C,MATCH(B228,'Metabase Lookup'!$A:$A,0))="","Pending",INDEX('Metabase Lookup'!$C:$C,MATCH(B228,'Metabase Lookup'!$A:$A,0))))</f>
        <v/>
      </c>
      <c r="X228" s="14">
        <f>IF(ISNA(MATCH(B228,'Metabase Lookup'!$A:$A,0)),"",IF(INDEX('Metabase Lookup'!$D:$D,MATCH(B228,'Metabase Lookup'!$A:$A,0))="","",INDEX('Metabase Lookup'!$D:$D,MATCH(B228,'Metabase Lookup'!$A:$A,0))))</f>
        <v/>
      </c>
      <c r="Y228" s="14">
        <f>IF(ISNUMBER(W228),IF(W228&gt;0,"Yes","No"),"Pending")</f>
        <v/>
      </c>
      <c r="Z228" s="14" t="inlineStr"/>
    </row>
    <row r="229">
      <c r="A229" s="14" t="n">
        <v>228</v>
      </c>
      <c r="B229" s="14" t="inlineStr">
        <is>
          <t>NVMYNINJA002514124</t>
        </is>
      </c>
      <c r="C229" s="15" t="inlineStr">
        <is>
          <t>263872668631</t>
        </is>
      </c>
      <c r="D229" s="16" t="n">
        <v>46288.43903935186</v>
      </c>
      <c r="E229" s="17" t="n">
        <v>46288</v>
      </c>
      <c r="F229" s="14" t="inlineStr">
        <is>
          <t>Wed</t>
        </is>
      </c>
      <c r="G229" s="14" t="inlineStr">
        <is>
          <t>Southern</t>
        </is>
      </c>
      <c r="H229" s="14" t="inlineStr">
        <is>
          <t>KEM</t>
        </is>
      </c>
      <c r="I229" s="14" t="inlineStr">
        <is>
          <t>KEM - ID - CHOU | BHU - FM - Mohammad Fahmi</t>
        </is>
      </c>
      <c r="J229" s="14" t="inlineStr">
        <is>
          <t>Multiple drivers</t>
        </is>
      </c>
      <c r="K229" s="14" t="inlineStr">
        <is>
          <t>91841899, 91868165</t>
        </is>
      </c>
      <c r="L229" s="14" t="n">
        <v>2</v>
      </c>
      <c r="M229" s="14" t="inlineStr">
        <is>
          <t>LM</t>
        </is>
      </c>
      <c r="N229" s="14" t="inlineStr">
        <is>
          <t>Fake Fail</t>
        </is>
      </c>
      <c r="O229" s="14" t="inlineStr">
        <is>
          <t>Customer disputes attempt</t>
        </is>
      </c>
      <c r="P229" s="14" t="inlineStr">
        <is>
          <t>No</t>
        </is>
      </c>
      <c r="Q229" s="14" t="inlineStr">
        <is>
          <t>No</t>
        </is>
      </c>
      <c r="R229" s="14" t="inlineStr">
        <is>
          <t>POD not valid as cust not reject parcel</t>
        </is>
      </c>
      <c r="S229" s="14" t="inlineStr">
        <is>
          <t>Zakwan</t>
        </is>
      </c>
      <c r="T229" s="14">
        <f>COUNTIF($B$2:$B$499,B229)</f>
        <v/>
      </c>
      <c r="U229" s="14">
        <f>COUNTIF($I$2:$I$499,I229)</f>
        <v/>
      </c>
      <c r="V229" s="14">
        <f>IF(ISNA(MATCH(B229,'Metabase Lookup'!$A:$A,0)),"Not found",IF(INDEX('Metabase Lookup'!$B:$B,MATCH(B229,'Metabase Lookup'!$A:$A,0))="","Pending",INDEX('Metabase Lookup'!$B:$B,MATCH(B229,'Metabase Lookup'!$A:$A,0))))</f>
        <v/>
      </c>
      <c r="W229" s="14">
        <f>IF(ISNA(MATCH(B229,'Metabase Lookup'!$A:$A,0)),"Not found",IF(INDEX('Metabase Lookup'!$C:$C,MATCH(B229,'Metabase Lookup'!$A:$A,0))="","Pending",INDEX('Metabase Lookup'!$C:$C,MATCH(B229,'Metabase Lookup'!$A:$A,0))))</f>
        <v/>
      </c>
      <c r="X229" s="14">
        <f>IF(ISNA(MATCH(B229,'Metabase Lookup'!$A:$A,0)),"",IF(INDEX('Metabase Lookup'!$D:$D,MATCH(B229,'Metabase Lookup'!$A:$A,0))="","",INDEX('Metabase Lookup'!$D:$D,MATCH(B229,'Metabase Lookup'!$A:$A,0))))</f>
        <v/>
      </c>
      <c r="Y229" s="14">
        <f>IF(ISNUMBER(W229),IF(W229&gt;0,"Yes","No"),"Pending")</f>
        <v/>
      </c>
      <c r="Z229" s="14" t="inlineStr">
        <is>
          <t>Multiple drivers in one row; Multiple route IDs</t>
        </is>
      </c>
    </row>
    <row r="230">
      <c r="A230" s="14" t="n">
        <v>229</v>
      </c>
      <c r="B230" s="14" t="inlineStr">
        <is>
          <t>MYNJV70027665658</t>
        </is>
      </c>
      <c r="C230" s="15" t="inlineStr">
        <is>
          <t>262512669199</t>
        </is>
      </c>
      <c r="D230" s="16" t="n">
        <v>46288.43994212963</v>
      </c>
      <c r="E230" s="17" t="n">
        <v>46288</v>
      </c>
      <c r="F230" s="14" t="inlineStr">
        <is>
          <t>Wed</t>
        </is>
      </c>
      <c r="G230" s="14" t="inlineStr">
        <is>
          <t>Southern</t>
        </is>
      </c>
      <c r="H230" s="14" t="inlineStr">
        <is>
          <t>PTN</t>
        </is>
      </c>
      <c r="I230" s="14" t="inlineStr">
        <is>
          <t>PTN - OPS - AMIRA NORFILZAH</t>
        </is>
      </c>
      <c r="J230" s="14" t="inlineStr">
        <is>
          <t>OPS (generic hub account)</t>
        </is>
      </c>
      <c r="K230" s="14" t="inlineStr">
        <is>
          <t>91868849</t>
        </is>
      </c>
      <c r="L230" s="14" t="n">
        <v>1</v>
      </c>
      <c r="M230" s="14" t="inlineStr">
        <is>
          <t>LM</t>
        </is>
      </c>
      <c r="N230" s="14" t="inlineStr">
        <is>
          <t>Fake Fail</t>
        </is>
      </c>
      <c r="O230" s="14" t="inlineStr">
        <is>
          <t>No call / call log missing</t>
        </is>
      </c>
      <c r="P230" s="14" t="inlineStr">
        <is>
          <t>No</t>
        </is>
      </c>
      <c r="Q230" s="14" t="inlineStr">
        <is>
          <t>No</t>
        </is>
      </c>
      <c r="R230" s="14" t="inlineStr">
        <is>
          <t>No call log was provided, and WhatsApp contact was blocked.</t>
        </is>
      </c>
      <c r="S230" s="14" t="inlineStr">
        <is>
          <t>Izzni</t>
        </is>
      </c>
      <c r="T230" s="14">
        <f>COUNTIF($B$2:$B$499,B230)</f>
        <v/>
      </c>
      <c r="U230" s="14">
        <f>COUNTIF($I$2:$I$499,I230)</f>
        <v/>
      </c>
      <c r="V230" s="14">
        <f>IF(ISNA(MATCH(B230,'Metabase Lookup'!$A:$A,0)),"Not found",IF(INDEX('Metabase Lookup'!$B:$B,MATCH(B230,'Metabase Lookup'!$A:$A,0))="","Pending",INDEX('Metabase Lookup'!$B:$B,MATCH(B230,'Metabase Lookup'!$A:$A,0))))</f>
        <v/>
      </c>
      <c r="W230" s="14">
        <f>IF(ISNA(MATCH(B230,'Metabase Lookup'!$A:$A,0)),"Not found",IF(INDEX('Metabase Lookup'!$C:$C,MATCH(B230,'Metabase Lookup'!$A:$A,0))="","Pending",INDEX('Metabase Lookup'!$C:$C,MATCH(B230,'Metabase Lookup'!$A:$A,0))))</f>
        <v/>
      </c>
      <c r="X230" s="14">
        <f>IF(ISNA(MATCH(B230,'Metabase Lookup'!$A:$A,0)),"",IF(INDEX('Metabase Lookup'!$D:$D,MATCH(B230,'Metabase Lookup'!$A:$A,0))="","",INDEX('Metabase Lookup'!$D:$D,MATCH(B230,'Metabase Lookup'!$A:$A,0))))</f>
        <v/>
      </c>
      <c r="Y230" s="14">
        <f>IF(ISNUMBER(W230),IF(W230&gt;0,"Yes","No"),"Pending")</f>
        <v/>
      </c>
      <c r="Z230" s="14" t="inlineStr">
        <is>
          <t>Driver not identified (OPS account)</t>
        </is>
      </c>
    </row>
    <row r="231">
      <c r="A231" s="14" t="n">
        <v>230</v>
      </c>
      <c r="B231" s="14" t="inlineStr">
        <is>
          <t>AEMYA000627407</t>
        </is>
      </c>
      <c r="C231" s="15" t="inlineStr">
        <is>
          <t>261382668935</t>
        </is>
      </c>
      <c r="D231" s="16" t="n">
        <v>46288.44296296296</v>
      </c>
      <c r="E231" s="17" t="n">
        <v>46288</v>
      </c>
      <c r="F231" s="14" t="inlineStr">
        <is>
          <t>Wed</t>
        </is>
      </c>
      <c r="G231" s="14" t="inlineStr">
        <is>
          <t>East MY</t>
        </is>
      </c>
      <c r="H231" s="14" t="inlineStr">
        <is>
          <t>KCH</t>
        </is>
      </c>
      <c r="I231" s="14" t="inlineStr">
        <is>
          <t>KCH - ID - AFEQ DANIAL</t>
        </is>
      </c>
      <c r="J231" s="14" t="inlineStr">
        <is>
          <t>ID (named driver)</t>
        </is>
      </c>
      <c r="K231" s="14" t="inlineStr">
        <is>
          <t>91865375</t>
        </is>
      </c>
      <c r="L231" s="14" t="n">
        <v>1</v>
      </c>
      <c r="M231" s="14" t="inlineStr">
        <is>
          <t>LM</t>
        </is>
      </c>
      <c r="N231" s="14" t="inlineStr">
        <is>
          <t>Fake Fail</t>
        </is>
      </c>
      <c r="O231" s="14" t="inlineStr">
        <is>
          <t>No call / call log missing</t>
        </is>
      </c>
      <c r="P231" s="14" t="inlineStr">
        <is>
          <t>No</t>
        </is>
      </c>
      <c r="Q231" s="14" t="inlineStr">
        <is>
          <t>No</t>
        </is>
      </c>
      <c r="R231" s="14" t="inlineStr">
        <is>
          <t>No call log and Whatsapp provided</t>
        </is>
      </c>
      <c r="S231" s="14" t="inlineStr">
        <is>
          <t>Izzni</t>
        </is>
      </c>
      <c r="T231" s="14">
        <f>COUNTIF($B$2:$B$499,B231)</f>
        <v/>
      </c>
      <c r="U231" s="14">
        <f>COUNTIF($I$2:$I$499,I231)</f>
        <v/>
      </c>
      <c r="V231" s="14">
        <f>IF(ISNA(MATCH(B231,'Metabase Lookup'!$A:$A,0)),"Not found",IF(INDEX('Metabase Lookup'!$B:$B,MATCH(B231,'Metabase Lookup'!$A:$A,0))="","Pending",INDEX('Metabase Lookup'!$B:$B,MATCH(B231,'Metabase Lookup'!$A:$A,0))))</f>
        <v/>
      </c>
      <c r="W231" s="14">
        <f>IF(ISNA(MATCH(B231,'Metabase Lookup'!$A:$A,0)),"Not found",IF(INDEX('Metabase Lookup'!$C:$C,MATCH(B231,'Metabase Lookup'!$A:$A,0))="","Pending",INDEX('Metabase Lookup'!$C:$C,MATCH(B231,'Metabase Lookup'!$A:$A,0))))</f>
        <v/>
      </c>
      <c r="X231" s="14">
        <f>IF(ISNA(MATCH(B231,'Metabase Lookup'!$A:$A,0)),"",IF(INDEX('Metabase Lookup'!$D:$D,MATCH(B231,'Metabase Lookup'!$A:$A,0))="","",INDEX('Metabase Lookup'!$D:$D,MATCH(B231,'Metabase Lookup'!$A:$A,0))))</f>
        <v/>
      </c>
      <c r="Y231" s="14">
        <f>IF(ISNUMBER(W231),IF(W231&gt;0,"Yes","No"),"Pending")</f>
        <v/>
      </c>
      <c r="Z231" s="14" t="inlineStr"/>
    </row>
    <row r="232">
      <c r="A232" s="14" t="n">
        <v>231</v>
      </c>
      <c r="B232" s="14" t="inlineStr">
        <is>
          <t>TNGSB125966755831752000</t>
        </is>
      </c>
      <c r="C232" s="15" t="inlineStr">
        <is>
          <t>263532648023</t>
        </is>
      </c>
      <c r="D232" s="16" t="n">
        <v>46288.45350694445</v>
      </c>
      <c r="E232" s="17" t="n">
        <v>46288</v>
      </c>
      <c r="F232" s="14" t="inlineStr">
        <is>
          <t>Wed</t>
        </is>
      </c>
      <c r="G232" s="14" t="inlineStr">
        <is>
          <t>KV</t>
        </is>
      </c>
      <c r="H232" s="14" t="inlineStr">
        <is>
          <t>SHA</t>
        </is>
      </c>
      <c r="I232" s="14" t="inlineStr">
        <is>
          <t>SHA - ID - AHMAD ISAH</t>
        </is>
      </c>
      <c r="J232" s="14" t="inlineStr">
        <is>
          <t>ID (named driver)</t>
        </is>
      </c>
      <c r="K232" s="14" t="inlineStr">
        <is>
          <t>91809648</t>
        </is>
      </c>
      <c r="L232" s="14" t="n">
        <v>1</v>
      </c>
      <c r="M232" s="14" t="inlineStr">
        <is>
          <t>LM</t>
        </is>
      </c>
      <c r="N232" s="14" t="inlineStr">
        <is>
          <t>Deliver to Wrong Address</t>
        </is>
      </c>
      <c r="O232" s="14" t="inlineStr"/>
      <c r="P232" s="14" t="inlineStr"/>
      <c r="Q232" s="14" t="inlineStr"/>
      <c r="R232" s="14" t="inlineStr">
        <is>
          <t>Completed 2026-09-15 but customer not received. Customer collected the parcel from the wrong location</t>
        </is>
      </c>
      <c r="S232" s="14" t="inlineStr">
        <is>
          <t>Syaza</t>
        </is>
      </c>
      <c r="T232" s="14">
        <f>COUNTIF($B$2:$B$499,B232)</f>
        <v/>
      </c>
      <c r="U232" s="14">
        <f>COUNTIF($I$2:$I$499,I232)</f>
        <v/>
      </c>
      <c r="V232" s="14">
        <f>IF(ISNA(MATCH(B232,'Metabase Lookup'!$A:$A,0)),"Not found",IF(INDEX('Metabase Lookup'!$B:$B,MATCH(B232,'Metabase Lookup'!$A:$A,0))="","Pending",INDEX('Metabase Lookup'!$B:$B,MATCH(B232,'Metabase Lookup'!$A:$A,0))))</f>
        <v/>
      </c>
      <c r="W232" s="14">
        <f>IF(ISNA(MATCH(B232,'Metabase Lookup'!$A:$A,0)),"Not found",IF(INDEX('Metabase Lookup'!$C:$C,MATCH(B232,'Metabase Lookup'!$A:$A,0))="","Pending",INDEX('Metabase Lookup'!$C:$C,MATCH(B232,'Metabase Lookup'!$A:$A,0))))</f>
        <v/>
      </c>
      <c r="X232" s="14">
        <f>IF(ISNA(MATCH(B232,'Metabase Lookup'!$A:$A,0)),"",IF(INDEX('Metabase Lookup'!$D:$D,MATCH(B232,'Metabase Lookup'!$A:$A,0))="","",INDEX('Metabase Lookup'!$D:$D,MATCH(B232,'Metabase Lookup'!$A:$A,0))))</f>
        <v/>
      </c>
      <c r="Y232" s="14">
        <f>IF(ISNUMBER(W232),IF(W232&gt;0,"Yes","No"),"Pending")</f>
        <v/>
      </c>
      <c r="Z232" s="14" t="inlineStr"/>
    </row>
    <row r="233">
      <c r="A233" s="14" t="n">
        <v>232</v>
      </c>
      <c r="B233" s="14" t="inlineStr">
        <is>
          <t>DEONL1549361821138235392</t>
        </is>
      </c>
      <c r="C233" s="15" t="inlineStr">
        <is>
          <t>265002657467</t>
        </is>
      </c>
      <c r="D233" s="16" t="n">
        <v>46288.45856481481</v>
      </c>
      <c r="E233" s="17" t="n">
        <v>46288</v>
      </c>
      <c r="F233" s="14" t="inlineStr">
        <is>
          <t>Wed</t>
        </is>
      </c>
      <c r="G233" s="14" t="inlineStr">
        <is>
          <t>East MY</t>
        </is>
      </c>
      <c r="H233" s="14" t="inlineStr">
        <is>
          <t>SBW</t>
        </is>
      </c>
      <c r="I233" s="14" t="inlineStr">
        <is>
          <t>SBW - ID - ZULHELMI</t>
        </is>
      </c>
      <c r="J233" s="14" t="inlineStr">
        <is>
          <t>ID (named driver)</t>
        </is>
      </c>
      <c r="K233" s="14" t="inlineStr">
        <is>
          <t>91864733</t>
        </is>
      </c>
      <c r="L233" s="14" t="n">
        <v>1</v>
      </c>
      <c r="M233" s="14" t="inlineStr">
        <is>
          <t>LM</t>
        </is>
      </c>
      <c r="N233" s="14" t="inlineStr">
        <is>
          <t>Fake Fail</t>
        </is>
      </c>
      <c r="O233" s="14" t="inlineStr">
        <is>
          <t>Invalid call log (unspecified)</t>
        </is>
      </c>
      <c r="P233" s="14" t="inlineStr">
        <is>
          <t>Yes</t>
        </is>
      </c>
      <c r="Q233" s="14" t="inlineStr">
        <is>
          <t>No</t>
        </is>
      </c>
      <c r="R233" s="14" t="inlineStr">
        <is>
          <t>invalid call log and no image of location provided</t>
        </is>
      </c>
      <c r="S233" s="14" t="inlineStr">
        <is>
          <t>Hartini</t>
        </is>
      </c>
      <c r="T233" s="14">
        <f>COUNTIF($B$2:$B$499,B233)</f>
        <v/>
      </c>
      <c r="U233" s="14">
        <f>COUNTIF($I$2:$I$499,I233)</f>
        <v/>
      </c>
      <c r="V233" s="14">
        <f>IF(ISNA(MATCH(B233,'Metabase Lookup'!$A:$A,0)),"Not found",IF(INDEX('Metabase Lookup'!$B:$B,MATCH(B233,'Metabase Lookup'!$A:$A,0))="","Pending",INDEX('Metabase Lookup'!$B:$B,MATCH(B233,'Metabase Lookup'!$A:$A,0))))</f>
        <v/>
      </c>
      <c r="W233" s="14">
        <f>IF(ISNA(MATCH(B233,'Metabase Lookup'!$A:$A,0)),"Not found",IF(INDEX('Metabase Lookup'!$C:$C,MATCH(B233,'Metabase Lookup'!$A:$A,0))="","Pending",INDEX('Metabase Lookup'!$C:$C,MATCH(B233,'Metabase Lookup'!$A:$A,0))))</f>
        <v/>
      </c>
      <c r="X233" s="14">
        <f>IF(ISNA(MATCH(B233,'Metabase Lookup'!$A:$A,0)),"",IF(INDEX('Metabase Lookup'!$D:$D,MATCH(B233,'Metabase Lookup'!$A:$A,0))="","",INDEX('Metabase Lookup'!$D:$D,MATCH(B233,'Metabase Lookup'!$A:$A,0))))</f>
        <v/>
      </c>
      <c r="Y233" s="14">
        <f>IF(ISNUMBER(W233),IF(W233&gt;0,"Yes","No"),"Pending")</f>
        <v/>
      </c>
      <c r="Z233" s="14" t="inlineStr">
        <is>
          <t>TID logged more than once</t>
        </is>
      </c>
    </row>
    <row r="234">
      <c r="A234" s="14" t="n">
        <v>233</v>
      </c>
      <c r="B234" s="14" t="inlineStr">
        <is>
          <t>NVMYMKLYW000NICOLE</t>
        </is>
      </c>
      <c r="C234" s="15" t="inlineStr">
        <is>
          <t>262432663934</t>
        </is>
      </c>
      <c r="D234" s="16" t="n">
        <v>46288.46494212963</v>
      </c>
      <c r="E234" s="17" t="n">
        <v>46288</v>
      </c>
      <c r="F234" s="14" t="inlineStr">
        <is>
          <t>Wed</t>
        </is>
      </c>
      <c r="G234" s="14" t="inlineStr">
        <is>
          <t>Southern</t>
        </is>
      </c>
      <c r="H234" s="14" t="inlineStr">
        <is>
          <t>GLG</t>
        </is>
      </c>
      <c r="I234" s="14" t="inlineStr">
        <is>
          <t>GLG - OPS - ENGKU | GLG - ID - AHMAD ARSYHAD</t>
        </is>
      </c>
      <c r="J234" s="14" t="inlineStr">
        <is>
          <t>Multiple drivers</t>
        </is>
      </c>
      <c r="K234" s="14" t="inlineStr">
        <is>
          <t>91864569, 91859700</t>
        </is>
      </c>
      <c r="L234" s="14" t="n">
        <v>2</v>
      </c>
      <c r="M234" s="14" t="inlineStr">
        <is>
          <t>LM</t>
        </is>
      </c>
      <c r="N234" s="14" t="inlineStr">
        <is>
          <t>Fake Fail</t>
        </is>
      </c>
      <c r="O234" s="14" t="inlineStr">
        <is>
          <t>Invalid call log (unspecified)</t>
        </is>
      </c>
      <c r="P234" s="14" t="inlineStr">
        <is>
          <t>No</t>
        </is>
      </c>
      <c r="Q234" s="14" t="inlineStr">
        <is>
          <t>Yes</t>
        </is>
      </c>
      <c r="R234" s="14" t="inlineStr">
        <is>
          <t>1st , failed by OPS, but dont have any text and call log attached. 2nd pOD call within same time and there is no template for unreachable as per POD guideline given to the customer</t>
        </is>
      </c>
      <c r="S234" s="14" t="inlineStr">
        <is>
          <t>Syak</t>
        </is>
      </c>
      <c r="T234" s="14">
        <f>COUNTIF($B$2:$B$499,B234)</f>
        <v/>
      </c>
      <c r="U234" s="14">
        <f>COUNTIF($I$2:$I$499,I234)</f>
        <v/>
      </c>
      <c r="V234" s="14">
        <f>IF(ISNA(MATCH(B234,'Metabase Lookup'!$A:$A,0)),"Not found",IF(INDEX('Metabase Lookup'!$B:$B,MATCH(B234,'Metabase Lookup'!$A:$A,0))="","Pending",INDEX('Metabase Lookup'!$B:$B,MATCH(B234,'Metabase Lookup'!$A:$A,0))))</f>
        <v/>
      </c>
      <c r="W234" s="14">
        <f>IF(ISNA(MATCH(B234,'Metabase Lookup'!$A:$A,0)),"Not found",IF(INDEX('Metabase Lookup'!$C:$C,MATCH(B234,'Metabase Lookup'!$A:$A,0))="","Pending",INDEX('Metabase Lookup'!$C:$C,MATCH(B234,'Metabase Lookup'!$A:$A,0))))</f>
        <v/>
      </c>
      <c r="X234" s="14">
        <f>IF(ISNA(MATCH(B234,'Metabase Lookup'!$A:$A,0)),"",IF(INDEX('Metabase Lookup'!$D:$D,MATCH(B234,'Metabase Lookup'!$A:$A,0))="","",INDEX('Metabase Lookup'!$D:$D,MATCH(B234,'Metabase Lookup'!$A:$A,0))))</f>
        <v/>
      </c>
      <c r="Y234" s="14">
        <f>IF(ISNUMBER(W234),IF(W234&gt;0,"Yes","No"),"Pending")</f>
        <v/>
      </c>
      <c r="Z234" s="14" t="inlineStr">
        <is>
          <t>Multiple drivers in one row; Multiple route IDs</t>
        </is>
      </c>
    </row>
    <row r="235">
      <c r="A235" s="14" t="n">
        <v>234</v>
      </c>
      <c r="B235" s="14" t="inlineStr">
        <is>
          <t>PARAS0017266312</t>
        </is>
      </c>
      <c r="C235" s="15" t="inlineStr">
        <is>
          <t>264922669009</t>
        </is>
      </c>
      <c r="D235" s="16" t="n">
        <v>46288.46572916667</v>
      </c>
      <c r="E235" s="17" t="n">
        <v>46288</v>
      </c>
      <c r="F235" s="14" t="inlineStr">
        <is>
          <t>Wed</t>
        </is>
      </c>
      <c r="G235" s="14" t="inlineStr">
        <is>
          <t>Southern</t>
        </is>
      </c>
      <c r="H235" s="14" t="inlineStr">
        <is>
          <t>NSJ</t>
        </is>
      </c>
      <c r="I235" s="14" t="inlineStr">
        <is>
          <t>OPS - NSJ</t>
        </is>
      </c>
      <c r="J235" s="14" t="inlineStr">
        <is>
          <t>OPS (generic hub account)</t>
        </is>
      </c>
      <c r="K235" s="14" t="inlineStr">
        <is>
          <t>91865830</t>
        </is>
      </c>
      <c r="L235" s="14" t="n">
        <v>1</v>
      </c>
      <c r="M235" s="14" t="inlineStr">
        <is>
          <t>LM</t>
        </is>
      </c>
      <c r="N235" s="14" t="inlineStr">
        <is>
          <t>Fake Fail</t>
        </is>
      </c>
      <c r="O235" s="14" t="inlineStr">
        <is>
          <t>No call / call log missing</t>
        </is>
      </c>
      <c r="P235" s="14" t="inlineStr">
        <is>
          <t>No</t>
        </is>
      </c>
      <c r="Q235" s="14" t="inlineStr">
        <is>
          <t>No</t>
        </is>
      </c>
      <c r="R235" s="14" t="inlineStr">
        <is>
          <t>POD invalid (No 3 attempt call with different times, No connected call)</t>
        </is>
      </c>
      <c r="S235" s="14" t="inlineStr">
        <is>
          <t>Huzair</t>
        </is>
      </c>
      <c r="T235" s="14">
        <f>COUNTIF($B$2:$B$499,B235)</f>
        <v/>
      </c>
      <c r="U235" s="14">
        <f>COUNTIF($I$2:$I$499,I235)</f>
        <v/>
      </c>
      <c r="V235" s="14">
        <f>IF(ISNA(MATCH(B235,'Metabase Lookup'!$A:$A,0)),"Not found",IF(INDEX('Metabase Lookup'!$B:$B,MATCH(B235,'Metabase Lookup'!$A:$A,0))="","Pending",INDEX('Metabase Lookup'!$B:$B,MATCH(B235,'Metabase Lookup'!$A:$A,0))))</f>
        <v/>
      </c>
      <c r="W235" s="14">
        <f>IF(ISNA(MATCH(B235,'Metabase Lookup'!$A:$A,0)),"Not found",IF(INDEX('Metabase Lookup'!$C:$C,MATCH(B235,'Metabase Lookup'!$A:$A,0))="","Pending",INDEX('Metabase Lookup'!$C:$C,MATCH(B235,'Metabase Lookup'!$A:$A,0))))</f>
        <v/>
      </c>
      <c r="X235" s="14">
        <f>IF(ISNA(MATCH(B235,'Metabase Lookup'!$A:$A,0)),"",IF(INDEX('Metabase Lookup'!$D:$D,MATCH(B235,'Metabase Lookup'!$A:$A,0))="","",INDEX('Metabase Lookup'!$D:$D,MATCH(B235,'Metabase Lookup'!$A:$A,0))))</f>
        <v/>
      </c>
      <c r="Y235" s="14">
        <f>IF(ISNUMBER(W235),IF(W235&gt;0,"Yes","No"),"Pending")</f>
        <v/>
      </c>
      <c r="Z235" s="14" t="inlineStr">
        <is>
          <t>Driver not identified (OPS account)</t>
        </is>
      </c>
    </row>
    <row r="236">
      <c r="A236" s="14" t="n">
        <v>235</v>
      </c>
      <c r="B236" s="14" t="inlineStr">
        <is>
          <t>TNGE125996954640361000</t>
        </is>
      </c>
      <c r="C236" s="15" t="inlineStr">
        <is>
          <t>267462648135</t>
        </is>
      </c>
      <c r="D236" s="16" t="n">
        <v>46288.46920138889</v>
      </c>
      <c r="E236" s="17" t="n">
        <v>46288</v>
      </c>
      <c r="F236" s="14" t="inlineStr">
        <is>
          <t>Wed</t>
        </is>
      </c>
      <c r="G236" s="14" t="inlineStr">
        <is>
          <t>KV</t>
        </is>
      </c>
      <c r="H236" s="14" t="inlineStr">
        <is>
          <t>BMC</t>
        </is>
      </c>
      <c r="I236" s="14" t="inlineStr">
        <is>
          <t>BMC - HD - KHAIRUL IDZWAN</t>
        </is>
      </c>
      <c r="J236" s="14" t="inlineStr">
        <is>
          <t>HD (named)</t>
        </is>
      </c>
      <c r="K236" s="14" t="inlineStr">
        <is>
          <t>91821698</t>
        </is>
      </c>
      <c r="L236" s="14" t="n">
        <v>1</v>
      </c>
      <c r="M236" s="14" t="inlineStr">
        <is>
          <t>LM</t>
        </is>
      </c>
      <c r="N236" s="14" t="inlineStr">
        <is>
          <t>Deliver to Wrong Address</t>
        </is>
      </c>
      <c r="O236" s="14" t="inlineStr"/>
      <c r="P236" s="14" t="inlineStr"/>
      <c r="Q236" s="14" t="inlineStr"/>
      <c r="R236" s="14" t="inlineStr">
        <is>
          <t>Completed 2026-09-17 but delivered to the wrong location (cust address at Jenjarom but BMC hub delivered the parcel). Parcel retrieve from the wrong location and LH to the correct hub</t>
        </is>
      </c>
      <c r="S236" s="14" t="inlineStr">
        <is>
          <t>Syaza</t>
        </is>
      </c>
      <c r="T236" s="14">
        <f>COUNTIF($B$2:$B$499,B236)</f>
        <v/>
      </c>
      <c r="U236" s="14">
        <f>COUNTIF($I$2:$I$499,I236)</f>
        <v/>
      </c>
      <c r="V236" s="14">
        <f>IF(ISNA(MATCH(B236,'Metabase Lookup'!$A:$A,0)),"Not found",IF(INDEX('Metabase Lookup'!$B:$B,MATCH(B236,'Metabase Lookup'!$A:$A,0))="","Pending",INDEX('Metabase Lookup'!$B:$B,MATCH(B236,'Metabase Lookup'!$A:$A,0))))</f>
        <v/>
      </c>
      <c r="W236" s="14">
        <f>IF(ISNA(MATCH(B236,'Metabase Lookup'!$A:$A,0)),"Not found",IF(INDEX('Metabase Lookup'!$C:$C,MATCH(B236,'Metabase Lookup'!$A:$A,0))="","Pending",INDEX('Metabase Lookup'!$C:$C,MATCH(B236,'Metabase Lookup'!$A:$A,0))))</f>
        <v/>
      </c>
      <c r="X236" s="14">
        <f>IF(ISNA(MATCH(B236,'Metabase Lookup'!$A:$A,0)),"",IF(INDEX('Metabase Lookup'!$D:$D,MATCH(B236,'Metabase Lookup'!$A:$A,0))="","",INDEX('Metabase Lookup'!$D:$D,MATCH(B236,'Metabase Lookup'!$A:$A,0))))</f>
        <v/>
      </c>
      <c r="Y236" s="14">
        <f>IF(ISNUMBER(W236),IF(W236&gt;0,"Yes","No"),"Pending")</f>
        <v/>
      </c>
      <c r="Z236" s="14" t="inlineStr"/>
    </row>
    <row r="237">
      <c r="A237" s="14" t="n">
        <v>236</v>
      </c>
      <c r="B237" s="14" t="inlineStr">
        <is>
          <t>NVMYDYURA050594351</t>
        </is>
      </c>
      <c r="C237" s="15" t="inlineStr">
        <is>
          <t>261942667419</t>
        </is>
      </c>
      <c r="D237" s="16" t="n">
        <v>46288.47006944445</v>
      </c>
      <c r="E237" s="17" t="n">
        <v>46288</v>
      </c>
      <c r="F237" s="14" t="inlineStr">
        <is>
          <t>Wed</t>
        </is>
      </c>
      <c r="G237" s="14" t="inlineStr">
        <is>
          <t>Southern</t>
        </is>
      </c>
      <c r="H237" s="14" t="inlineStr">
        <is>
          <t>HTM</t>
        </is>
      </c>
      <c r="I237" s="14" t="inlineStr">
        <is>
          <t>HTM - ID - OPS</t>
        </is>
      </c>
      <c r="J237" s="14" t="inlineStr">
        <is>
          <t>OPS (generic hub account)</t>
        </is>
      </c>
      <c r="K237" s="14" t="inlineStr">
        <is>
          <t>91866248</t>
        </is>
      </c>
      <c r="L237" s="14" t="n">
        <v>1</v>
      </c>
      <c r="M237" s="14" t="inlineStr">
        <is>
          <t>LM</t>
        </is>
      </c>
      <c r="N237" s="14" t="inlineStr">
        <is>
          <t>Fake Fail</t>
        </is>
      </c>
      <c r="O237" s="14" t="inlineStr">
        <is>
          <t>Wrong number called</t>
        </is>
      </c>
      <c r="P237" s="14" t="inlineStr">
        <is>
          <t>No</t>
        </is>
      </c>
      <c r="Q237" s="14" t="inlineStr">
        <is>
          <t>No</t>
        </is>
      </c>
      <c r="R237" s="14" t="inlineStr">
        <is>
          <t>The driver contacted wrong number</t>
        </is>
      </c>
      <c r="S237" s="14" t="inlineStr">
        <is>
          <t>Izzni</t>
        </is>
      </c>
      <c r="T237" s="14">
        <f>COUNTIF($B$2:$B$499,B237)</f>
        <v/>
      </c>
      <c r="U237" s="14">
        <f>COUNTIF($I$2:$I$499,I237)</f>
        <v/>
      </c>
      <c r="V237" s="14">
        <f>IF(ISNA(MATCH(B237,'Metabase Lookup'!$A:$A,0)),"Not found",IF(INDEX('Metabase Lookup'!$B:$B,MATCH(B237,'Metabase Lookup'!$A:$A,0))="","Pending",INDEX('Metabase Lookup'!$B:$B,MATCH(B237,'Metabase Lookup'!$A:$A,0))))</f>
        <v/>
      </c>
      <c r="W237" s="14">
        <f>IF(ISNA(MATCH(B237,'Metabase Lookup'!$A:$A,0)),"Not found",IF(INDEX('Metabase Lookup'!$C:$C,MATCH(B237,'Metabase Lookup'!$A:$A,0))="","Pending",INDEX('Metabase Lookup'!$C:$C,MATCH(B237,'Metabase Lookup'!$A:$A,0))))</f>
        <v/>
      </c>
      <c r="X237" s="14">
        <f>IF(ISNA(MATCH(B237,'Metabase Lookup'!$A:$A,0)),"",IF(INDEX('Metabase Lookup'!$D:$D,MATCH(B237,'Metabase Lookup'!$A:$A,0))="","",INDEX('Metabase Lookup'!$D:$D,MATCH(B237,'Metabase Lookup'!$A:$A,0))))</f>
        <v/>
      </c>
      <c r="Y237" s="14">
        <f>IF(ISNUMBER(W237),IF(W237&gt;0,"Yes","No"),"Pending")</f>
        <v/>
      </c>
      <c r="Z237" s="14" t="inlineStr">
        <is>
          <t>Driver not identified (OPS account)</t>
        </is>
      </c>
    </row>
    <row r="238">
      <c r="A238" s="14" t="n">
        <v>237</v>
      </c>
      <c r="B238" s="14" t="inlineStr">
        <is>
          <t>NVMYKILATWK0077175</t>
        </is>
      </c>
      <c r="C238" s="15" t="inlineStr">
        <is>
          <t>265652662635</t>
        </is>
      </c>
      <c r="D238" s="16" t="n">
        <v>46288.47043981482</v>
      </c>
      <c r="E238" s="17" t="n">
        <v>46288</v>
      </c>
      <c r="F238" s="14" t="inlineStr">
        <is>
          <t>Wed</t>
        </is>
      </c>
      <c r="G238" s="14" t="inlineStr">
        <is>
          <t>KV</t>
        </is>
      </c>
      <c r="H238" s="14" t="inlineStr">
        <is>
          <t>PJY</t>
        </is>
      </c>
      <c r="I238" s="14" t="inlineStr">
        <is>
          <t>OPS - PJY</t>
        </is>
      </c>
      <c r="J238" s="14" t="inlineStr">
        <is>
          <t>OPS (generic hub account)</t>
        </is>
      </c>
      <c r="K238" s="14" t="inlineStr">
        <is>
          <t>91868502</t>
        </is>
      </c>
      <c r="L238" s="14" t="n">
        <v>1</v>
      </c>
      <c r="M238" s="14" t="inlineStr">
        <is>
          <t>LM</t>
        </is>
      </c>
      <c r="N238" s="14" t="inlineStr">
        <is>
          <t>Fake Fail</t>
        </is>
      </c>
      <c r="O238" s="14" t="inlineStr">
        <is>
          <t>Call not connected / no response</t>
        </is>
      </c>
      <c r="P238" s="14" t="inlineStr">
        <is>
          <t>Yes</t>
        </is>
      </c>
      <c r="Q238" s="14" t="inlineStr">
        <is>
          <t>No</t>
        </is>
      </c>
      <c r="R238" s="14" t="inlineStr">
        <is>
          <t>POD invalid (No connected call or No responded chat, No unique identifier of the location)</t>
        </is>
      </c>
      <c r="S238" s="14" t="inlineStr">
        <is>
          <t>Huzair</t>
        </is>
      </c>
      <c r="T238" s="14">
        <f>COUNTIF($B$2:$B$499,B238)</f>
        <v/>
      </c>
      <c r="U238" s="14">
        <f>COUNTIF($I$2:$I$499,I238)</f>
        <v/>
      </c>
      <c r="V238" s="14">
        <f>IF(ISNA(MATCH(B238,'Metabase Lookup'!$A:$A,0)),"Not found",IF(INDEX('Metabase Lookup'!$B:$B,MATCH(B238,'Metabase Lookup'!$A:$A,0))="","Pending",INDEX('Metabase Lookup'!$B:$B,MATCH(B238,'Metabase Lookup'!$A:$A,0))))</f>
        <v/>
      </c>
      <c r="W238" s="14">
        <f>IF(ISNA(MATCH(B238,'Metabase Lookup'!$A:$A,0)),"Not found",IF(INDEX('Metabase Lookup'!$C:$C,MATCH(B238,'Metabase Lookup'!$A:$A,0))="","Pending",INDEX('Metabase Lookup'!$C:$C,MATCH(B238,'Metabase Lookup'!$A:$A,0))))</f>
        <v/>
      </c>
      <c r="X238" s="14">
        <f>IF(ISNA(MATCH(B238,'Metabase Lookup'!$A:$A,0)),"",IF(INDEX('Metabase Lookup'!$D:$D,MATCH(B238,'Metabase Lookup'!$A:$A,0))="","",INDEX('Metabase Lookup'!$D:$D,MATCH(B238,'Metabase Lookup'!$A:$A,0))))</f>
        <v/>
      </c>
      <c r="Y238" s="14">
        <f>IF(ISNUMBER(W238),IF(W238&gt;0,"Yes","No"),"Pending")</f>
        <v/>
      </c>
      <c r="Z238" s="14" t="inlineStr">
        <is>
          <t>Driver not identified (OPS account)</t>
        </is>
      </c>
    </row>
    <row r="239">
      <c r="A239" s="14" t="n">
        <v>238</v>
      </c>
      <c r="B239" s="14" t="inlineStr">
        <is>
          <t>NVMYSMRTP026091313-001</t>
        </is>
      </c>
      <c r="C239" s="15" t="inlineStr">
        <is>
          <t>267072610160</t>
        </is>
      </c>
      <c r="D239" s="16" t="n">
        <v>46288.4747337963</v>
      </c>
      <c r="E239" s="17" t="n">
        <v>46288</v>
      </c>
      <c r="F239" s="14" t="inlineStr">
        <is>
          <t>Wed</t>
        </is>
      </c>
      <c r="G239" s="14" t="inlineStr">
        <is>
          <t>Southern</t>
        </is>
      </c>
      <c r="H239" s="14" t="inlineStr">
        <is>
          <t>KEM</t>
        </is>
      </c>
      <c r="I239" s="14" t="inlineStr">
        <is>
          <t>KEM - ID - CHOU</t>
        </is>
      </c>
      <c r="J239" s="14" t="inlineStr">
        <is>
          <t>ID (named driver)</t>
        </is>
      </c>
      <c r="K239" s="14" t="inlineStr">
        <is>
          <t>91826975</t>
        </is>
      </c>
      <c r="L239" s="14" t="n">
        <v>1</v>
      </c>
      <c r="M239" s="14" t="inlineStr">
        <is>
          <t>LM</t>
        </is>
      </c>
      <c r="N239" s="14" t="inlineStr">
        <is>
          <t>Fake Success</t>
        </is>
      </c>
      <c r="O239" s="14" t="inlineStr"/>
      <c r="P239" s="14" t="inlineStr"/>
      <c r="Q239" s="14" t="inlineStr"/>
      <c r="R239" s="14" t="inlineStr">
        <is>
          <t>Completed 2026-09-17 but missing one carton. Customer received the missing parcels after complaint lodge</t>
        </is>
      </c>
      <c r="S239" s="14" t="inlineStr">
        <is>
          <t>Syaza</t>
        </is>
      </c>
      <c r="T239" s="14">
        <f>COUNTIF($B$2:$B$499,B239)</f>
        <v/>
      </c>
      <c r="U239" s="14">
        <f>COUNTIF($I$2:$I$499,I239)</f>
        <v/>
      </c>
      <c r="V239" s="14">
        <f>IF(ISNA(MATCH(B239,'Metabase Lookup'!$A:$A,0)),"Not found",IF(INDEX('Metabase Lookup'!$B:$B,MATCH(B239,'Metabase Lookup'!$A:$A,0))="","Pending",INDEX('Metabase Lookup'!$B:$B,MATCH(B239,'Metabase Lookup'!$A:$A,0))))</f>
        <v/>
      </c>
      <c r="W239" s="14">
        <f>IF(ISNA(MATCH(B239,'Metabase Lookup'!$A:$A,0)),"Not found",IF(INDEX('Metabase Lookup'!$C:$C,MATCH(B239,'Metabase Lookup'!$A:$A,0))="","Pending",INDEX('Metabase Lookup'!$C:$C,MATCH(B239,'Metabase Lookup'!$A:$A,0))))</f>
        <v/>
      </c>
      <c r="X239" s="14">
        <f>IF(ISNA(MATCH(B239,'Metabase Lookup'!$A:$A,0)),"",IF(INDEX('Metabase Lookup'!$D:$D,MATCH(B239,'Metabase Lookup'!$A:$A,0))="","",INDEX('Metabase Lookup'!$D:$D,MATCH(B239,'Metabase Lookup'!$A:$A,0))))</f>
        <v/>
      </c>
      <c r="Y239" s="14">
        <f>IF(ISNUMBER(W239),IF(W239&gt;0,"Yes","No"),"Pending")</f>
        <v/>
      </c>
      <c r="Z239" s="14" t="inlineStr"/>
    </row>
    <row r="240">
      <c r="A240" s="14" t="n">
        <v>239</v>
      </c>
      <c r="B240" s="14" t="inlineStr">
        <is>
          <t>JY200160145</t>
        </is>
      </c>
      <c r="C240" s="15" t="inlineStr">
        <is>
          <t>260542665344</t>
        </is>
      </c>
      <c r="D240" s="16" t="n">
        <v>46288.47788194445</v>
      </c>
      <c r="E240" s="17" t="n">
        <v>46288</v>
      </c>
      <c r="F240" s="14" t="inlineStr">
        <is>
          <t>Wed</t>
        </is>
      </c>
      <c r="G240" s="14" t="inlineStr">
        <is>
          <t>Southern</t>
        </is>
      </c>
      <c r="H240" s="14" t="inlineStr">
        <is>
          <t>GLG</t>
        </is>
      </c>
      <c r="I240" s="14" t="inlineStr">
        <is>
          <t>GLG - OPS - ENGKU</t>
        </is>
      </c>
      <c r="J240" s="14" t="inlineStr">
        <is>
          <t>OPS (generic hub account)</t>
        </is>
      </c>
      <c r="K240" s="14" t="inlineStr">
        <is>
          <t>91868637</t>
        </is>
      </c>
      <c r="L240" s="14" t="n">
        <v>1</v>
      </c>
      <c r="M240" s="14" t="inlineStr">
        <is>
          <t>LM</t>
        </is>
      </c>
      <c r="N240" s="14" t="inlineStr">
        <is>
          <t>Fake Fail</t>
        </is>
      </c>
      <c r="O240" s="14" t="inlineStr">
        <is>
          <t>No call / call log missing</t>
        </is>
      </c>
      <c r="P240" s="14" t="inlineStr">
        <is>
          <t>No</t>
        </is>
      </c>
      <c r="Q240" s="14" t="inlineStr">
        <is>
          <t>No</t>
        </is>
      </c>
      <c r="R240" s="14" t="inlineStr">
        <is>
          <t>POD invalid (No 3 attempt call with different times, No connected call)</t>
        </is>
      </c>
      <c r="S240" s="14" t="inlineStr">
        <is>
          <t>Huzair</t>
        </is>
      </c>
      <c r="T240" s="14">
        <f>COUNTIF($B$2:$B$499,B240)</f>
        <v/>
      </c>
      <c r="U240" s="14">
        <f>COUNTIF($I$2:$I$499,I240)</f>
        <v/>
      </c>
      <c r="V240" s="14">
        <f>IF(ISNA(MATCH(B240,'Metabase Lookup'!$A:$A,0)),"Not found",IF(INDEX('Metabase Lookup'!$B:$B,MATCH(B240,'Metabase Lookup'!$A:$A,0))="","Pending",INDEX('Metabase Lookup'!$B:$B,MATCH(B240,'Metabase Lookup'!$A:$A,0))))</f>
        <v/>
      </c>
      <c r="W240" s="14">
        <f>IF(ISNA(MATCH(B240,'Metabase Lookup'!$A:$A,0)),"Not found",IF(INDEX('Metabase Lookup'!$C:$C,MATCH(B240,'Metabase Lookup'!$A:$A,0))="","Pending",INDEX('Metabase Lookup'!$C:$C,MATCH(B240,'Metabase Lookup'!$A:$A,0))))</f>
        <v/>
      </c>
      <c r="X240" s="14">
        <f>IF(ISNA(MATCH(B240,'Metabase Lookup'!$A:$A,0)),"",IF(INDEX('Metabase Lookup'!$D:$D,MATCH(B240,'Metabase Lookup'!$A:$A,0))="","",INDEX('Metabase Lookup'!$D:$D,MATCH(B240,'Metabase Lookup'!$A:$A,0))))</f>
        <v/>
      </c>
      <c r="Y240" s="14">
        <f>IF(ISNUMBER(W240),IF(W240&gt;0,"Yes","No"),"Pending")</f>
        <v/>
      </c>
      <c r="Z240" s="14" t="inlineStr">
        <is>
          <t>Driver not identified (OPS account)</t>
        </is>
      </c>
    </row>
    <row r="241">
      <c r="A241" s="14" t="n">
        <v>240</v>
      </c>
      <c r="B241" s="14" t="inlineStr">
        <is>
          <t>CHVIN000010433</t>
        </is>
      </c>
      <c r="C241" s="15" t="inlineStr">
        <is>
          <t>265432641982</t>
        </is>
      </c>
      <c r="D241" s="16" t="n">
        <v>46288.47953703703</v>
      </c>
      <c r="E241" s="17" t="n">
        <v>46288</v>
      </c>
      <c r="F241" s="14" t="inlineStr">
        <is>
          <t>Wed</t>
        </is>
      </c>
      <c r="G241" s="14" t="inlineStr">
        <is>
          <t>Southern</t>
        </is>
      </c>
      <c r="H241" s="14" t="inlineStr">
        <is>
          <t>KEM</t>
        </is>
      </c>
      <c r="I241" s="14" t="inlineStr">
        <is>
          <t>KEM - ID - CHOU</t>
        </is>
      </c>
      <c r="J241" s="14" t="inlineStr">
        <is>
          <t>ID (named driver)</t>
        </is>
      </c>
      <c r="K241" s="14" t="inlineStr">
        <is>
          <t>91836323</t>
        </is>
      </c>
      <c r="L241" s="14" t="n">
        <v>1</v>
      </c>
      <c r="M241" s="14" t="inlineStr">
        <is>
          <t>LM</t>
        </is>
      </c>
      <c r="N241" s="14" t="inlineStr">
        <is>
          <t>Deliver to Wrong Address</t>
        </is>
      </c>
      <c r="O241" s="14" t="inlineStr"/>
      <c r="P241" s="14" t="inlineStr"/>
      <c r="Q241" s="14" t="inlineStr"/>
      <c r="R241" s="14" t="inlineStr">
        <is>
          <t>Completed 2026-09-18 but delivered to the wrong house. Done retrieve and customer received after complaint lodge</t>
        </is>
      </c>
      <c r="S241" s="14" t="inlineStr">
        <is>
          <t>Syaza</t>
        </is>
      </c>
      <c r="T241" s="14">
        <f>COUNTIF($B$2:$B$499,B241)</f>
        <v/>
      </c>
      <c r="U241" s="14">
        <f>COUNTIF($I$2:$I$499,I241)</f>
        <v/>
      </c>
      <c r="V241" s="14">
        <f>IF(ISNA(MATCH(B241,'Metabase Lookup'!$A:$A,0)),"Not found",IF(INDEX('Metabase Lookup'!$B:$B,MATCH(B241,'Metabase Lookup'!$A:$A,0))="","Pending",INDEX('Metabase Lookup'!$B:$B,MATCH(B241,'Metabase Lookup'!$A:$A,0))))</f>
        <v/>
      </c>
      <c r="W241" s="14">
        <f>IF(ISNA(MATCH(B241,'Metabase Lookup'!$A:$A,0)),"Not found",IF(INDEX('Metabase Lookup'!$C:$C,MATCH(B241,'Metabase Lookup'!$A:$A,0))="","Pending",INDEX('Metabase Lookup'!$C:$C,MATCH(B241,'Metabase Lookup'!$A:$A,0))))</f>
        <v/>
      </c>
      <c r="X241" s="14">
        <f>IF(ISNA(MATCH(B241,'Metabase Lookup'!$A:$A,0)),"",IF(INDEX('Metabase Lookup'!$D:$D,MATCH(B241,'Metabase Lookup'!$A:$A,0))="","",INDEX('Metabase Lookup'!$D:$D,MATCH(B241,'Metabase Lookup'!$A:$A,0))))</f>
        <v/>
      </c>
      <c r="Y241" s="14">
        <f>IF(ISNUMBER(W241),IF(W241&gt;0,"Yes","No"),"Pending")</f>
        <v/>
      </c>
      <c r="Z241" s="14" t="inlineStr"/>
    </row>
    <row r="242">
      <c r="A242" s="14" t="n">
        <v>241</v>
      </c>
      <c r="B242" s="14" t="inlineStr">
        <is>
          <t>FARCM24693436-1</t>
        </is>
      </c>
      <c r="C242" s="15" t="inlineStr">
        <is>
          <t>266132661221</t>
        </is>
      </c>
      <c r="D242" s="16" t="n">
        <v>46288.48253472222</v>
      </c>
      <c r="E242" s="17" t="n">
        <v>46288</v>
      </c>
      <c r="F242" s="14" t="inlineStr">
        <is>
          <t>Wed</t>
        </is>
      </c>
      <c r="G242" s="14" t="inlineStr">
        <is>
          <t>Northern</t>
        </is>
      </c>
      <c r="H242" s="14" t="inlineStr">
        <is>
          <t>PDG</t>
        </is>
      </c>
      <c r="I242" s="14" t="inlineStr">
        <is>
          <t>PDG - OPS - PDG HUB</t>
        </is>
      </c>
      <c r="J242" s="14" t="inlineStr">
        <is>
          <t>OPS (generic hub account)</t>
        </is>
      </c>
      <c r="K242" s="14" t="inlineStr">
        <is>
          <t>91858919</t>
        </is>
      </c>
      <c r="L242" s="14" t="n">
        <v>1</v>
      </c>
      <c r="M242" s="14" t="inlineStr">
        <is>
          <t>LM</t>
        </is>
      </c>
      <c r="N242" s="14" t="inlineStr">
        <is>
          <t>Fake Fail</t>
        </is>
      </c>
      <c r="O242" s="14" t="inlineStr">
        <is>
          <t>Wrong number called</t>
        </is>
      </c>
      <c r="P242" s="14" t="inlineStr">
        <is>
          <t>No</t>
        </is>
      </c>
      <c r="Q242" s="14" t="inlineStr">
        <is>
          <t>No</t>
        </is>
      </c>
      <c r="R242" s="14" t="inlineStr">
        <is>
          <t>POD invalid (Call log does not belong to the customer or No responded chat)</t>
        </is>
      </c>
      <c r="S242" s="14" t="inlineStr">
        <is>
          <t>Huzair</t>
        </is>
      </c>
      <c r="T242" s="14">
        <f>COUNTIF($B$2:$B$499,B242)</f>
        <v/>
      </c>
      <c r="U242" s="14">
        <f>COUNTIF($I$2:$I$499,I242)</f>
        <v/>
      </c>
      <c r="V242" s="14">
        <f>IF(ISNA(MATCH(B242,'Metabase Lookup'!$A:$A,0)),"Not found",IF(INDEX('Metabase Lookup'!$B:$B,MATCH(B242,'Metabase Lookup'!$A:$A,0))="","Pending",INDEX('Metabase Lookup'!$B:$B,MATCH(B242,'Metabase Lookup'!$A:$A,0))))</f>
        <v/>
      </c>
      <c r="W242" s="14">
        <f>IF(ISNA(MATCH(B242,'Metabase Lookup'!$A:$A,0)),"Not found",IF(INDEX('Metabase Lookup'!$C:$C,MATCH(B242,'Metabase Lookup'!$A:$A,0))="","Pending",INDEX('Metabase Lookup'!$C:$C,MATCH(B242,'Metabase Lookup'!$A:$A,0))))</f>
        <v/>
      </c>
      <c r="X242" s="14">
        <f>IF(ISNA(MATCH(B242,'Metabase Lookup'!$A:$A,0)),"",IF(INDEX('Metabase Lookup'!$D:$D,MATCH(B242,'Metabase Lookup'!$A:$A,0))="","",INDEX('Metabase Lookup'!$D:$D,MATCH(B242,'Metabase Lookup'!$A:$A,0))))</f>
        <v/>
      </c>
      <c r="Y242" s="14">
        <f>IF(ISNUMBER(W242),IF(W242&gt;0,"Yes","No"),"Pending")</f>
        <v/>
      </c>
      <c r="Z242" s="14" t="inlineStr">
        <is>
          <t>Driver not identified (OPS account)</t>
        </is>
      </c>
    </row>
    <row r="243">
      <c r="A243" s="14" t="n">
        <v>242</v>
      </c>
      <c r="B243" s="14" t="inlineStr">
        <is>
          <t>TNGDV2609126917953110</t>
        </is>
      </c>
      <c r="C243" s="15" t="inlineStr">
        <is>
          <t>269102619609</t>
        </is>
      </c>
      <c r="D243" s="16" t="n">
        <v>46288.48539351852</v>
      </c>
      <c r="E243" s="17" t="n">
        <v>46288</v>
      </c>
      <c r="F243" s="14" t="inlineStr">
        <is>
          <t>Wed</t>
        </is>
      </c>
      <c r="G243" s="14" t="inlineStr">
        <is>
          <t>Southern</t>
        </is>
      </c>
      <c r="H243" s="14" t="inlineStr">
        <is>
          <t>LKN</t>
        </is>
      </c>
      <c r="I243" s="14" t="inlineStr">
        <is>
          <t>LKN - ID - RAMADAN</t>
        </is>
      </c>
      <c r="J243" s="14" t="inlineStr">
        <is>
          <t>ID (named driver)</t>
        </is>
      </c>
      <c r="K243" s="14" t="inlineStr">
        <is>
          <t>91827173</t>
        </is>
      </c>
      <c r="L243" s="14" t="n">
        <v>1</v>
      </c>
      <c r="M243" s="14" t="inlineStr">
        <is>
          <t>LM</t>
        </is>
      </c>
      <c r="N243" s="14" t="inlineStr">
        <is>
          <t>Fake Success</t>
        </is>
      </c>
      <c r="O243" s="14" t="inlineStr"/>
      <c r="P243" s="14" t="inlineStr"/>
      <c r="Q243" s="14" t="inlineStr"/>
      <c r="R243" s="14" t="inlineStr">
        <is>
          <t>Completed 2026-09-17 but not received. Done retrieve and customer received it the parcel yesterday night (22/9)</t>
        </is>
      </c>
      <c r="S243" s="14" t="inlineStr">
        <is>
          <t>Syaza</t>
        </is>
      </c>
      <c r="T243" s="14">
        <f>COUNTIF($B$2:$B$499,B243)</f>
        <v/>
      </c>
      <c r="U243" s="14">
        <f>COUNTIF($I$2:$I$499,I243)</f>
        <v/>
      </c>
      <c r="V243" s="14">
        <f>IF(ISNA(MATCH(B243,'Metabase Lookup'!$A:$A,0)),"Not found",IF(INDEX('Metabase Lookup'!$B:$B,MATCH(B243,'Metabase Lookup'!$A:$A,0))="","Pending",INDEX('Metabase Lookup'!$B:$B,MATCH(B243,'Metabase Lookup'!$A:$A,0))))</f>
        <v/>
      </c>
      <c r="W243" s="14">
        <f>IF(ISNA(MATCH(B243,'Metabase Lookup'!$A:$A,0)),"Not found",IF(INDEX('Metabase Lookup'!$C:$C,MATCH(B243,'Metabase Lookup'!$A:$A,0))="","Pending",INDEX('Metabase Lookup'!$C:$C,MATCH(B243,'Metabase Lookup'!$A:$A,0))))</f>
        <v/>
      </c>
      <c r="X243" s="14">
        <f>IF(ISNA(MATCH(B243,'Metabase Lookup'!$A:$A,0)),"",IF(INDEX('Metabase Lookup'!$D:$D,MATCH(B243,'Metabase Lookup'!$A:$A,0))="","",INDEX('Metabase Lookup'!$D:$D,MATCH(B243,'Metabase Lookup'!$A:$A,0))))</f>
        <v/>
      </c>
      <c r="Y243" s="14">
        <f>IF(ISNUMBER(W243),IF(W243&gt;0,"Yes","No"),"Pending")</f>
        <v/>
      </c>
      <c r="Z243" s="14" t="inlineStr"/>
    </row>
    <row r="244">
      <c r="A244" s="14" t="n">
        <v>243</v>
      </c>
      <c r="B244" s="14" t="inlineStr">
        <is>
          <t>NVMYDDTSE00013757A</t>
        </is>
      </c>
      <c r="C244" s="15" t="inlineStr">
        <is>
          <t>263632602599</t>
        </is>
      </c>
      <c r="D244" s="16" t="n">
        <v>46288.49001157407</v>
      </c>
      <c r="E244" s="17" t="n">
        <v>46288</v>
      </c>
      <c r="F244" s="14" t="inlineStr">
        <is>
          <t>Wed</t>
        </is>
      </c>
      <c r="G244" s="14" t="inlineStr">
        <is>
          <t>Southern</t>
        </is>
      </c>
      <c r="H244" s="14" t="inlineStr">
        <is>
          <t>AUS</t>
        </is>
      </c>
      <c r="I244" s="14" t="inlineStr">
        <is>
          <t>AUS - ID - TAUFIK</t>
        </is>
      </c>
      <c r="J244" s="14" t="inlineStr">
        <is>
          <t>ID (named driver)</t>
        </is>
      </c>
      <c r="K244" s="14" t="inlineStr">
        <is>
          <t>91806211</t>
        </is>
      </c>
      <c r="L244" s="14" t="n">
        <v>1</v>
      </c>
      <c r="M244" s="14" t="inlineStr">
        <is>
          <t>LM</t>
        </is>
      </c>
      <c r="N244" s="14" t="inlineStr">
        <is>
          <t>Fake Success</t>
        </is>
      </c>
      <c r="O244" s="14" t="inlineStr"/>
      <c r="P244" s="14" t="inlineStr"/>
      <c r="Q244" s="14" t="inlineStr"/>
      <c r="R244" s="14" t="inlineStr">
        <is>
          <t>Completed 2026-09-15 but cust not received. Done retrieved and customer received it on 18/9</t>
        </is>
      </c>
      <c r="S244" s="14" t="inlineStr">
        <is>
          <t>Syaza</t>
        </is>
      </c>
      <c r="T244" s="14">
        <f>COUNTIF($B$2:$B$499,B244)</f>
        <v/>
      </c>
      <c r="U244" s="14">
        <f>COUNTIF($I$2:$I$499,I244)</f>
        <v/>
      </c>
      <c r="V244" s="14">
        <f>IF(ISNA(MATCH(B244,'Metabase Lookup'!$A:$A,0)),"Not found",IF(INDEX('Metabase Lookup'!$B:$B,MATCH(B244,'Metabase Lookup'!$A:$A,0))="","Pending",INDEX('Metabase Lookup'!$B:$B,MATCH(B244,'Metabase Lookup'!$A:$A,0))))</f>
        <v/>
      </c>
      <c r="W244" s="14">
        <f>IF(ISNA(MATCH(B244,'Metabase Lookup'!$A:$A,0)),"Not found",IF(INDEX('Metabase Lookup'!$C:$C,MATCH(B244,'Metabase Lookup'!$A:$A,0))="","Pending",INDEX('Metabase Lookup'!$C:$C,MATCH(B244,'Metabase Lookup'!$A:$A,0))))</f>
        <v/>
      </c>
      <c r="X244" s="14">
        <f>IF(ISNA(MATCH(B244,'Metabase Lookup'!$A:$A,0)),"",IF(INDEX('Metabase Lookup'!$D:$D,MATCH(B244,'Metabase Lookup'!$A:$A,0))="","",INDEX('Metabase Lookup'!$D:$D,MATCH(B244,'Metabase Lookup'!$A:$A,0))))</f>
        <v/>
      </c>
      <c r="Y244" s="14">
        <f>IF(ISNUMBER(W244),IF(W244&gt;0,"Yes","No"),"Pending")</f>
        <v/>
      </c>
      <c r="Z244" s="14" t="inlineStr"/>
    </row>
    <row r="245">
      <c r="A245" s="14" t="n">
        <v>244</v>
      </c>
      <c r="B245" s="14" t="inlineStr">
        <is>
          <t>NVMYMYNTW000HOVIS1-001</t>
        </is>
      </c>
      <c r="C245" s="15" t="inlineStr">
        <is>
          <t>268482664805</t>
        </is>
      </c>
      <c r="D245" s="16" t="n">
        <v>46288.49332175926</v>
      </c>
      <c r="E245" s="17" t="n">
        <v>46288</v>
      </c>
      <c r="F245" s="14" t="inlineStr">
        <is>
          <t>Wed</t>
        </is>
      </c>
      <c r="G245" s="14" t="inlineStr">
        <is>
          <t>Southern</t>
        </is>
      </c>
      <c r="H245" s="14" t="inlineStr">
        <is>
          <t>MUA</t>
        </is>
      </c>
      <c r="I245" s="14" t="inlineStr">
        <is>
          <t>MUA - OPS | MUA - ID - HAFEZ HARON</t>
        </is>
      </c>
      <c r="J245" s="14" t="inlineStr">
        <is>
          <t>Multiple drivers</t>
        </is>
      </c>
      <c r="K245" s="14" t="inlineStr">
        <is>
          <t>91859625, 91864220</t>
        </is>
      </c>
      <c r="L245" s="14" t="n">
        <v>2</v>
      </c>
      <c r="M245" s="14" t="inlineStr">
        <is>
          <t>LM</t>
        </is>
      </c>
      <c r="N245" s="14" t="inlineStr">
        <is>
          <t>Fake Fail</t>
        </is>
      </c>
      <c r="O245" s="14" t="inlineStr">
        <is>
          <t>Call not connected / no response</t>
        </is>
      </c>
      <c r="P245" s="14" t="inlineStr">
        <is>
          <t>Yes</t>
        </is>
      </c>
      <c r="Q245" s="14" t="inlineStr">
        <is>
          <t>Yes</t>
        </is>
      </c>
      <c r="R245" s="14" t="inlineStr">
        <is>
          <t>Failed by ops, invalid location Call log same minute, no location</t>
        </is>
      </c>
      <c r="S245" s="14" t="inlineStr">
        <is>
          <t>Ninja Hadif</t>
        </is>
      </c>
      <c r="T245" s="14">
        <f>COUNTIF($B$2:$B$499,B245)</f>
        <v/>
      </c>
      <c r="U245" s="14">
        <f>COUNTIF($I$2:$I$499,I245)</f>
        <v/>
      </c>
      <c r="V245" s="14">
        <f>IF(ISNA(MATCH(B245,'Metabase Lookup'!$A:$A,0)),"Not found",IF(INDEX('Metabase Lookup'!$B:$B,MATCH(B245,'Metabase Lookup'!$A:$A,0))="","Pending",INDEX('Metabase Lookup'!$B:$B,MATCH(B245,'Metabase Lookup'!$A:$A,0))))</f>
        <v/>
      </c>
      <c r="W245" s="14">
        <f>IF(ISNA(MATCH(B245,'Metabase Lookup'!$A:$A,0)),"Not found",IF(INDEX('Metabase Lookup'!$C:$C,MATCH(B245,'Metabase Lookup'!$A:$A,0))="","Pending",INDEX('Metabase Lookup'!$C:$C,MATCH(B245,'Metabase Lookup'!$A:$A,0))))</f>
        <v/>
      </c>
      <c r="X245" s="14">
        <f>IF(ISNA(MATCH(B245,'Metabase Lookup'!$A:$A,0)),"",IF(INDEX('Metabase Lookup'!$D:$D,MATCH(B245,'Metabase Lookup'!$A:$A,0))="","",INDEX('Metabase Lookup'!$D:$D,MATCH(B245,'Metabase Lookup'!$A:$A,0))))</f>
        <v/>
      </c>
      <c r="Y245" s="14">
        <f>IF(ISNUMBER(W245),IF(W245&gt;0,"Yes","No"),"Pending")</f>
        <v/>
      </c>
      <c r="Z245" s="14" t="inlineStr">
        <is>
          <t>Multiple drivers in one row; Multiple route IDs</t>
        </is>
      </c>
    </row>
    <row r="246">
      <c r="A246" s="14" t="n">
        <v>245</v>
      </c>
      <c r="B246" s="14" t="inlineStr">
        <is>
          <t>LLABO01150A</t>
        </is>
      </c>
      <c r="C246" s="15" t="inlineStr">
        <is>
          <t>268052658153</t>
        </is>
      </c>
      <c r="D246" s="16" t="n">
        <v>46288.50037037037</v>
      </c>
      <c r="E246" s="17" t="n">
        <v>46288</v>
      </c>
      <c r="F246" s="14" t="inlineStr">
        <is>
          <t>Wed</t>
        </is>
      </c>
      <c r="G246" s="14" t="inlineStr">
        <is>
          <t>East MY</t>
        </is>
      </c>
      <c r="H246" s="14" t="inlineStr">
        <is>
          <t>MYY</t>
        </is>
      </c>
      <c r="I246" s="14" t="inlineStr">
        <is>
          <t>MYY - ID - LEE YEW FOOK</t>
        </is>
      </c>
      <c r="J246" s="14" t="inlineStr">
        <is>
          <t>ID (named driver)</t>
        </is>
      </c>
      <c r="K246" s="14" t="inlineStr">
        <is>
          <t>91854769</t>
        </is>
      </c>
      <c r="L246" s="14" t="n">
        <v>1</v>
      </c>
      <c r="M246" s="14" t="inlineStr">
        <is>
          <t>LM</t>
        </is>
      </c>
      <c r="N246" s="14" t="inlineStr">
        <is>
          <t>Fake Success</t>
        </is>
      </c>
      <c r="O246" s="14" t="inlineStr"/>
      <c r="P246" s="14" t="inlineStr"/>
      <c r="Q246" s="14" t="inlineStr"/>
      <c r="R246" s="14" t="inlineStr">
        <is>
          <t>parcel delivered on 21/9 but customer only receive back the parcel on 22/9 after shipper made complaint</t>
        </is>
      </c>
      <c r="S246" s="14" t="inlineStr">
        <is>
          <t>Zati</t>
        </is>
      </c>
      <c r="T246" s="14">
        <f>COUNTIF($B$2:$B$499,B246)</f>
        <v/>
      </c>
      <c r="U246" s="14">
        <f>COUNTIF($I$2:$I$499,I246)</f>
        <v/>
      </c>
      <c r="V246" s="14">
        <f>IF(ISNA(MATCH(B246,'Metabase Lookup'!$A:$A,0)),"Not found",IF(INDEX('Metabase Lookup'!$B:$B,MATCH(B246,'Metabase Lookup'!$A:$A,0))="","Pending",INDEX('Metabase Lookup'!$B:$B,MATCH(B246,'Metabase Lookup'!$A:$A,0))))</f>
        <v/>
      </c>
      <c r="W246" s="14">
        <f>IF(ISNA(MATCH(B246,'Metabase Lookup'!$A:$A,0)),"Not found",IF(INDEX('Metabase Lookup'!$C:$C,MATCH(B246,'Metabase Lookup'!$A:$A,0))="","Pending",INDEX('Metabase Lookup'!$C:$C,MATCH(B246,'Metabase Lookup'!$A:$A,0))))</f>
        <v/>
      </c>
      <c r="X246" s="14">
        <f>IF(ISNA(MATCH(B246,'Metabase Lookup'!$A:$A,0)),"",IF(INDEX('Metabase Lookup'!$D:$D,MATCH(B246,'Metabase Lookup'!$A:$A,0))="","",INDEX('Metabase Lookup'!$D:$D,MATCH(B246,'Metabase Lookup'!$A:$A,0))))</f>
        <v/>
      </c>
      <c r="Y246" s="14">
        <f>IF(ISNUMBER(W246),IF(W246&gt;0,"Yes","No"),"Pending")</f>
        <v/>
      </c>
      <c r="Z246" s="14" t="inlineStr"/>
    </row>
    <row r="247">
      <c r="A247" s="14" t="n">
        <v>246</v>
      </c>
      <c r="B247" s="14" t="inlineStr">
        <is>
          <t>NVMYGCHEN000000483</t>
        </is>
      </c>
      <c r="C247" s="15" t="inlineStr">
        <is>
          <t>260782669253</t>
        </is>
      </c>
      <c r="D247" s="16" t="n">
        <v>46288.50359953703</v>
      </c>
      <c r="E247" s="17" t="n">
        <v>46288</v>
      </c>
      <c r="F247" s="14" t="inlineStr">
        <is>
          <t>Wed</t>
        </is>
      </c>
      <c r="G247" s="14" t="inlineStr">
        <is>
          <t>North West</t>
        </is>
      </c>
      <c r="H247" s="14" t="inlineStr">
        <is>
          <t>BAG</t>
        </is>
      </c>
      <c r="I247" s="14" t="inlineStr">
        <is>
          <t>Bagan Serai</t>
        </is>
      </c>
      <c r="J247" s="14" t="inlineStr">
        <is>
          <t>Name only (no hub/code)</t>
        </is>
      </c>
      <c r="K247" s="14" t="inlineStr">
        <is>
          <t>91855197</t>
        </is>
      </c>
      <c r="L247" s="14" t="n">
        <v>1</v>
      </c>
      <c r="M247" s="14" t="inlineStr">
        <is>
          <t>LM</t>
        </is>
      </c>
      <c r="N247" s="14" t="inlineStr">
        <is>
          <t>Fake Fail</t>
        </is>
      </c>
      <c r="O247" s="14" t="inlineStr">
        <is>
          <t>Invalid location / site photo</t>
        </is>
      </c>
      <c r="P247" s="14" t="inlineStr">
        <is>
          <t>Yes</t>
        </is>
      </c>
      <c r="Q247" s="14" t="inlineStr">
        <is>
          <t>No</t>
        </is>
      </c>
      <c r="R247" s="14" t="inlineStr">
        <is>
          <t>POD invalid Location not customer address</t>
        </is>
      </c>
      <c r="S247" s="14" t="inlineStr">
        <is>
          <t>Ninja Hadif</t>
        </is>
      </c>
      <c r="T247" s="14">
        <f>COUNTIF($B$2:$B$499,B247)</f>
        <v/>
      </c>
      <c r="U247" s="14">
        <f>COUNTIF($I$2:$I$499,I247)</f>
        <v/>
      </c>
      <c r="V247" s="14">
        <f>IF(ISNA(MATCH(B247,'Metabase Lookup'!$A:$A,0)),"Not found",IF(INDEX('Metabase Lookup'!$B:$B,MATCH(B247,'Metabase Lookup'!$A:$A,0))="","Pending",INDEX('Metabase Lookup'!$B:$B,MATCH(B247,'Metabase Lookup'!$A:$A,0))))</f>
        <v/>
      </c>
      <c r="W247" s="14">
        <f>IF(ISNA(MATCH(B247,'Metabase Lookup'!$A:$A,0)),"Not found",IF(INDEX('Metabase Lookup'!$C:$C,MATCH(B247,'Metabase Lookup'!$A:$A,0))="","Pending",INDEX('Metabase Lookup'!$C:$C,MATCH(B247,'Metabase Lookup'!$A:$A,0))))</f>
        <v/>
      </c>
      <c r="X247" s="14">
        <f>IF(ISNA(MATCH(B247,'Metabase Lookup'!$A:$A,0)),"",IF(INDEX('Metabase Lookup'!$D:$D,MATCH(B247,'Metabase Lookup'!$A:$A,0))="","",INDEX('Metabase Lookup'!$D:$D,MATCH(B247,'Metabase Lookup'!$A:$A,0))))</f>
        <v/>
      </c>
      <c r="Y247" s="14">
        <f>IF(ISNUMBER(W247),IF(W247&gt;0,"Yes","No"),"Pending")</f>
        <v/>
      </c>
      <c r="Z247" s="14" t="inlineStr"/>
    </row>
    <row r="248">
      <c r="A248" s="14" t="n">
        <v>247</v>
      </c>
      <c r="B248" s="14" t="inlineStr">
        <is>
          <t>MYNJV70042015878</t>
        </is>
      </c>
      <c r="C248" s="15" t="inlineStr">
        <is>
          <t>266422665692</t>
        </is>
      </c>
      <c r="D248" s="16" t="n">
        <v>46288.50413194444</v>
      </c>
      <c r="E248" s="17" t="n">
        <v>46288</v>
      </c>
      <c r="F248" s="14" t="inlineStr">
        <is>
          <t>Wed</t>
        </is>
      </c>
      <c r="G248" s="14" t="inlineStr">
        <is>
          <t>Southern</t>
        </is>
      </c>
      <c r="H248" s="14" t="inlineStr">
        <is>
          <t>GLG</t>
        </is>
      </c>
      <c r="I248" s="14" t="inlineStr">
        <is>
          <t>GLG - OPS - ENGKU</t>
        </is>
      </c>
      <c r="J248" s="14" t="inlineStr">
        <is>
          <t>OPS (generic hub account)</t>
        </is>
      </c>
      <c r="K248" s="14" t="inlineStr">
        <is>
          <t>91868637</t>
        </is>
      </c>
      <c r="L248" s="14" t="n">
        <v>1</v>
      </c>
      <c r="M248" s="14" t="inlineStr">
        <is>
          <t>LM</t>
        </is>
      </c>
      <c r="N248" s="14" t="inlineStr">
        <is>
          <t>Fake Fail</t>
        </is>
      </c>
      <c r="O248" s="14" t="inlineStr">
        <is>
          <t>Call not connected / no response</t>
        </is>
      </c>
      <c r="P248" s="14" t="inlineStr">
        <is>
          <t>No</t>
        </is>
      </c>
      <c r="Q248" s="14" t="inlineStr">
        <is>
          <t>No</t>
        </is>
      </c>
      <c r="R248" s="14" t="inlineStr">
        <is>
          <t>Call log is not connected and no Whatsapp provided</t>
        </is>
      </c>
      <c r="S248" s="14" t="inlineStr">
        <is>
          <t>Izzni</t>
        </is>
      </c>
      <c r="T248" s="14">
        <f>COUNTIF($B$2:$B$499,B248)</f>
        <v/>
      </c>
      <c r="U248" s="14">
        <f>COUNTIF($I$2:$I$499,I248)</f>
        <v/>
      </c>
      <c r="V248" s="14">
        <f>IF(ISNA(MATCH(B248,'Metabase Lookup'!$A:$A,0)),"Not found",IF(INDEX('Metabase Lookup'!$B:$B,MATCH(B248,'Metabase Lookup'!$A:$A,0))="","Pending",INDEX('Metabase Lookup'!$B:$B,MATCH(B248,'Metabase Lookup'!$A:$A,0))))</f>
        <v/>
      </c>
      <c r="W248" s="14">
        <f>IF(ISNA(MATCH(B248,'Metabase Lookup'!$A:$A,0)),"Not found",IF(INDEX('Metabase Lookup'!$C:$C,MATCH(B248,'Metabase Lookup'!$A:$A,0))="","Pending",INDEX('Metabase Lookup'!$C:$C,MATCH(B248,'Metabase Lookup'!$A:$A,0))))</f>
        <v/>
      </c>
      <c r="X248" s="14">
        <f>IF(ISNA(MATCH(B248,'Metabase Lookup'!$A:$A,0)),"",IF(INDEX('Metabase Lookup'!$D:$D,MATCH(B248,'Metabase Lookup'!$A:$A,0))="","",INDEX('Metabase Lookup'!$D:$D,MATCH(B248,'Metabase Lookup'!$A:$A,0))))</f>
        <v/>
      </c>
      <c r="Y248" s="14">
        <f>IF(ISNUMBER(W248),IF(W248&gt;0,"Yes","No"),"Pending")</f>
        <v/>
      </c>
      <c r="Z248" s="14" t="inlineStr">
        <is>
          <t>Driver not identified (OPS account)</t>
        </is>
      </c>
    </row>
    <row r="249">
      <c r="A249" s="14" t="n">
        <v>248</v>
      </c>
      <c r="B249" s="14" t="inlineStr">
        <is>
          <t>TNGE126006994822516000</t>
        </is>
      </c>
      <c r="C249" s="15" t="inlineStr">
        <is>
          <t>260842640542</t>
        </is>
      </c>
      <c r="D249" s="16" t="n">
        <v>46288.50557870371</v>
      </c>
      <c r="E249" s="17" t="n">
        <v>46288</v>
      </c>
      <c r="F249" s="14" t="inlineStr">
        <is>
          <t>Wed</t>
        </is>
      </c>
      <c r="G249" s="14" t="inlineStr">
        <is>
          <t>KV</t>
        </is>
      </c>
      <c r="H249" s="14" t="inlineStr">
        <is>
          <t>BGI</t>
        </is>
      </c>
      <c r="I249" s="14" t="inlineStr">
        <is>
          <t>BGI - ID - SHAFIQ HAIQAL</t>
        </is>
      </c>
      <c r="J249" s="14" t="inlineStr">
        <is>
          <t>ID (named driver)</t>
        </is>
      </c>
      <c r="K249" s="14" t="inlineStr">
        <is>
          <t>91820577</t>
        </is>
      </c>
      <c r="L249" s="14" t="n">
        <v>1</v>
      </c>
      <c r="M249" s="14" t="inlineStr">
        <is>
          <t>LM</t>
        </is>
      </c>
      <c r="N249" s="14" t="inlineStr">
        <is>
          <t>Fake Success</t>
        </is>
      </c>
      <c r="O249" s="14" t="inlineStr"/>
      <c r="P249" s="14" t="inlineStr"/>
      <c r="Q249" s="14" t="inlineStr"/>
      <c r="R249" s="14" t="inlineStr">
        <is>
          <t>Completed 2026-09-17 but cust not received. Done retrieve and customer received after the complaint lodge</t>
        </is>
      </c>
      <c r="S249" s="14" t="inlineStr">
        <is>
          <t>Syaza</t>
        </is>
      </c>
      <c r="T249" s="14">
        <f>COUNTIF($B$2:$B$499,B249)</f>
        <v/>
      </c>
      <c r="U249" s="14">
        <f>COUNTIF($I$2:$I$499,I249)</f>
        <v/>
      </c>
      <c r="V249" s="14">
        <f>IF(ISNA(MATCH(B249,'Metabase Lookup'!$A:$A,0)),"Not found",IF(INDEX('Metabase Lookup'!$B:$B,MATCH(B249,'Metabase Lookup'!$A:$A,0))="","Pending",INDEX('Metabase Lookup'!$B:$B,MATCH(B249,'Metabase Lookup'!$A:$A,0))))</f>
        <v/>
      </c>
      <c r="W249" s="14">
        <f>IF(ISNA(MATCH(B249,'Metabase Lookup'!$A:$A,0)),"Not found",IF(INDEX('Metabase Lookup'!$C:$C,MATCH(B249,'Metabase Lookup'!$A:$A,0))="","Pending",INDEX('Metabase Lookup'!$C:$C,MATCH(B249,'Metabase Lookup'!$A:$A,0))))</f>
        <v/>
      </c>
      <c r="X249" s="14">
        <f>IF(ISNA(MATCH(B249,'Metabase Lookup'!$A:$A,0)),"",IF(INDEX('Metabase Lookup'!$D:$D,MATCH(B249,'Metabase Lookup'!$A:$A,0))="","",INDEX('Metabase Lookup'!$D:$D,MATCH(B249,'Metabase Lookup'!$A:$A,0))))</f>
        <v/>
      </c>
      <c r="Y249" s="14">
        <f>IF(ISNUMBER(W249),IF(W249&gt;0,"Yes","No"),"Pending")</f>
        <v/>
      </c>
      <c r="Z249" s="14" t="inlineStr"/>
    </row>
    <row r="250">
      <c r="A250" s="14" t="n">
        <v>249</v>
      </c>
      <c r="B250" s="14" t="inlineStr">
        <is>
          <t>NVMYADI00000422148</t>
        </is>
      </c>
      <c r="C250" s="15" t="inlineStr">
        <is>
          <t>261742667569</t>
        </is>
      </c>
      <c r="D250" s="16" t="n">
        <v>46288.50652777778</v>
      </c>
      <c r="E250" s="17" t="n">
        <v>46288</v>
      </c>
      <c r="F250" s="14" t="inlineStr">
        <is>
          <t>Wed</t>
        </is>
      </c>
      <c r="G250" s="14" t="inlineStr">
        <is>
          <t>KV</t>
        </is>
      </c>
      <c r="H250" s="14" t="inlineStr">
        <is>
          <t>OUG</t>
        </is>
      </c>
      <c r="I250" s="14" t="inlineStr">
        <is>
          <t>OPS - OUG</t>
        </is>
      </c>
      <c r="J250" s="14" t="inlineStr">
        <is>
          <t>OPS (generic hub account)</t>
        </is>
      </c>
      <c r="K250" s="14" t="inlineStr">
        <is>
          <t>91868506</t>
        </is>
      </c>
      <c r="L250" s="14" t="n">
        <v>1</v>
      </c>
      <c r="M250" s="14" t="inlineStr">
        <is>
          <t>LM</t>
        </is>
      </c>
      <c r="N250" s="14" t="inlineStr">
        <is>
          <t>Fake Fail</t>
        </is>
      </c>
      <c r="O250" s="14" t="inlineStr">
        <is>
          <t>Call not connected / no response</t>
        </is>
      </c>
      <c r="P250" s="14" t="inlineStr">
        <is>
          <t>No</t>
        </is>
      </c>
      <c r="Q250" s="14" t="inlineStr">
        <is>
          <t>No</t>
        </is>
      </c>
      <c r="R250" s="14" t="inlineStr">
        <is>
          <t>The call log is not connected and no Whatsapp provided</t>
        </is>
      </c>
      <c r="S250" s="14" t="inlineStr">
        <is>
          <t>Izzni</t>
        </is>
      </c>
      <c r="T250" s="14">
        <f>COUNTIF($B$2:$B$499,B250)</f>
        <v/>
      </c>
      <c r="U250" s="14">
        <f>COUNTIF($I$2:$I$499,I250)</f>
        <v/>
      </c>
      <c r="V250" s="14">
        <f>IF(ISNA(MATCH(B250,'Metabase Lookup'!$A:$A,0)),"Not found",IF(INDEX('Metabase Lookup'!$B:$B,MATCH(B250,'Metabase Lookup'!$A:$A,0))="","Pending",INDEX('Metabase Lookup'!$B:$B,MATCH(B250,'Metabase Lookup'!$A:$A,0))))</f>
        <v/>
      </c>
      <c r="W250" s="14">
        <f>IF(ISNA(MATCH(B250,'Metabase Lookup'!$A:$A,0)),"Not found",IF(INDEX('Metabase Lookup'!$C:$C,MATCH(B250,'Metabase Lookup'!$A:$A,0))="","Pending",INDEX('Metabase Lookup'!$C:$C,MATCH(B250,'Metabase Lookup'!$A:$A,0))))</f>
        <v/>
      </c>
      <c r="X250" s="14">
        <f>IF(ISNA(MATCH(B250,'Metabase Lookup'!$A:$A,0)),"",IF(INDEX('Metabase Lookup'!$D:$D,MATCH(B250,'Metabase Lookup'!$A:$A,0))="","",INDEX('Metabase Lookup'!$D:$D,MATCH(B250,'Metabase Lookup'!$A:$A,0))))</f>
        <v/>
      </c>
      <c r="Y250" s="14">
        <f>IF(ISNUMBER(W250),IF(W250&gt;0,"Yes","No"),"Pending")</f>
        <v/>
      </c>
      <c r="Z250" s="14" t="inlineStr">
        <is>
          <t>Driver not identified (OPS account)</t>
        </is>
      </c>
    </row>
    <row r="251">
      <c r="A251" s="14" t="n">
        <v>250</v>
      </c>
      <c r="B251" s="14" t="inlineStr">
        <is>
          <t>NVMYNINJA002501647</t>
        </is>
      </c>
      <c r="C251" s="15" t="inlineStr">
        <is>
          <t>261532662986</t>
        </is>
      </c>
      <c r="D251" s="16" t="n">
        <v>46288.50706018518</v>
      </c>
      <c r="E251" s="17" t="n">
        <v>46288</v>
      </c>
      <c r="F251" s="14" t="inlineStr">
        <is>
          <t>Wed</t>
        </is>
      </c>
      <c r="G251" s="14" t="inlineStr">
        <is>
          <t>Northern</t>
        </is>
      </c>
      <c r="H251" s="14" t="inlineStr">
        <is>
          <t>PSN</t>
        </is>
      </c>
      <c r="I251" s="14" t="inlineStr">
        <is>
          <t>PSN - OPS - PSN HUB</t>
        </is>
      </c>
      <c r="J251" s="14" t="inlineStr">
        <is>
          <t>OPS (generic hub account)</t>
        </is>
      </c>
      <c r="K251" s="14" t="inlineStr">
        <is>
          <t>91794903</t>
        </is>
      </c>
      <c r="L251" s="14" t="n">
        <v>1</v>
      </c>
      <c r="M251" s="14" t="inlineStr">
        <is>
          <t>LM</t>
        </is>
      </c>
      <c r="N251" s="14" t="inlineStr">
        <is>
          <t>Fake Fail</t>
        </is>
      </c>
      <c r="O251" s="14" t="inlineStr">
        <is>
          <t>Invalid call log (unspecified)</t>
        </is>
      </c>
      <c r="P251" s="14" t="inlineStr">
        <is>
          <t>No</t>
        </is>
      </c>
      <c r="Q251" s="14" t="inlineStr">
        <is>
          <t>No</t>
        </is>
      </c>
      <c r="R251" s="14" t="inlineStr">
        <is>
          <t>invalid call log provided</t>
        </is>
      </c>
      <c r="S251" s="14" t="inlineStr">
        <is>
          <t>Hartini</t>
        </is>
      </c>
      <c r="T251" s="14">
        <f>COUNTIF($B$2:$B$499,B251)</f>
        <v/>
      </c>
      <c r="U251" s="14">
        <f>COUNTIF($I$2:$I$499,I251)</f>
        <v/>
      </c>
      <c r="V251" s="14">
        <f>IF(ISNA(MATCH(B251,'Metabase Lookup'!$A:$A,0)),"Not found",IF(INDEX('Metabase Lookup'!$B:$B,MATCH(B251,'Metabase Lookup'!$A:$A,0))="","Pending",INDEX('Metabase Lookup'!$B:$B,MATCH(B251,'Metabase Lookup'!$A:$A,0))))</f>
        <v/>
      </c>
      <c r="W251" s="14">
        <f>IF(ISNA(MATCH(B251,'Metabase Lookup'!$A:$A,0)),"Not found",IF(INDEX('Metabase Lookup'!$C:$C,MATCH(B251,'Metabase Lookup'!$A:$A,0))="","Pending",INDEX('Metabase Lookup'!$C:$C,MATCH(B251,'Metabase Lookup'!$A:$A,0))))</f>
        <v/>
      </c>
      <c r="X251" s="14">
        <f>IF(ISNA(MATCH(B251,'Metabase Lookup'!$A:$A,0)),"",IF(INDEX('Metabase Lookup'!$D:$D,MATCH(B251,'Metabase Lookup'!$A:$A,0))="","",INDEX('Metabase Lookup'!$D:$D,MATCH(B251,'Metabase Lookup'!$A:$A,0))))</f>
        <v/>
      </c>
      <c r="Y251" s="14">
        <f>IF(ISNUMBER(W251),IF(W251&gt;0,"Yes","No"),"Pending")</f>
        <v/>
      </c>
      <c r="Z251" s="14" t="inlineStr">
        <is>
          <t>Driver not identified (OPS account)</t>
        </is>
      </c>
    </row>
    <row r="252">
      <c r="A252" s="14" t="n">
        <v>251</v>
      </c>
      <c r="B252" s="14" t="inlineStr">
        <is>
          <t>SPDRT1550468303319040000</t>
        </is>
      </c>
      <c r="C252" s="15" t="inlineStr">
        <is>
          <t>261742667569</t>
        </is>
      </c>
      <c r="D252" s="16" t="n">
        <v>46288.50810185185</v>
      </c>
      <c r="E252" s="17" t="n">
        <v>46288</v>
      </c>
      <c r="F252" s="14" t="inlineStr">
        <is>
          <t>Wed</t>
        </is>
      </c>
      <c r="G252" s="14" t="inlineStr">
        <is>
          <t>KV</t>
        </is>
      </c>
      <c r="H252" s="14" t="inlineStr">
        <is>
          <t>OUG</t>
        </is>
      </c>
      <c r="I252" s="14" t="inlineStr">
        <is>
          <t>OPS - OUG</t>
        </is>
      </c>
      <c r="J252" s="14" t="inlineStr">
        <is>
          <t>OPS (generic hub account)</t>
        </is>
      </c>
      <c r="K252" s="14" t="inlineStr">
        <is>
          <t>91851660</t>
        </is>
      </c>
      <c r="L252" s="14" t="n">
        <v>1</v>
      </c>
      <c r="M252" s="14" t="inlineStr">
        <is>
          <t>LM</t>
        </is>
      </c>
      <c r="N252" s="14" t="inlineStr">
        <is>
          <t>Fake Fail</t>
        </is>
      </c>
      <c r="O252" s="14" t="inlineStr">
        <is>
          <t>Call not connected / no response</t>
        </is>
      </c>
      <c r="P252" s="14" t="inlineStr">
        <is>
          <t>No</t>
        </is>
      </c>
      <c r="Q252" s="14" t="inlineStr">
        <is>
          <t>No</t>
        </is>
      </c>
      <c r="R252" s="14" t="inlineStr">
        <is>
          <t>Call log is not connected and no Whatsapp provided</t>
        </is>
      </c>
      <c r="S252" s="14" t="inlineStr">
        <is>
          <t>Izzni</t>
        </is>
      </c>
      <c r="T252" s="14">
        <f>COUNTIF($B$2:$B$499,B252)</f>
        <v/>
      </c>
      <c r="U252" s="14">
        <f>COUNTIF($I$2:$I$499,I252)</f>
        <v/>
      </c>
      <c r="V252" s="14">
        <f>IF(ISNA(MATCH(B252,'Metabase Lookup'!$A:$A,0)),"Not found",IF(INDEX('Metabase Lookup'!$B:$B,MATCH(B252,'Metabase Lookup'!$A:$A,0))="","Pending",INDEX('Metabase Lookup'!$B:$B,MATCH(B252,'Metabase Lookup'!$A:$A,0))))</f>
        <v/>
      </c>
      <c r="W252" s="14">
        <f>IF(ISNA(MATCH(B252,'Metabase Lookup'!$A:$A,0)),"Not found",IF(INDEX('Metabase Lookup'!$C:$C,MATCH(B252,'Metabase Lookup'!$A:$A,0))="","Pending",INDEX('Metabase Lookup'!$C:$C,MATCH(B252,'Metabase Lookup'!$A:$A,0))))</f>
        <v/>
      </c>
      <c r="X252" s="14">
        <f>IF(ISNA(MATCH(B252,'Metabase Lookup'!$A:$A,0)),"",IF(INDEX('Metabase Lookup'!$D:$D,MATCH(B252,'Metabase Lookup'!$A:$A,0))="","",INDEX('Metabase Lookup'!$D:$D,MATCH(B252,'Metabase Lookup'!$A:$A,0))))</f>
        <v/>
      </c>
      <c r="Y252" s="14">
        <f>IF(ISNUMBER(W252),IF(W252&gt;0,"Yes","No"),"Pending")</f>
        <v/>
      </c>
      <c r="Z252" s="14" t="inlineStr">
        <is>
          <t>Driver not identified (OPS account)</t>
        </is>
      </c>
    </row>
    <row r="253">
      <c r="A253" s="14" t="n">
        <v>252</v>
      </c>
      <c r="B253" s="14" t="inlineStr">
        <is>
          <t>NVMYWLDAN000015808</t>
        </is>
      </c>
      <c r="C253" s="15" t="inlineStr">
        <is>
          <t>264832652657</t>
        </is>
      </c>
      <c r="D253" s="16" t="n">
        <v>46288.50878472222</v>
      </c>
      <c r="E253" s="17" t="n">
        <v>46288</v>
      </c>
      <c r="F253" s="14" t="inlineStr">
        <is>
          <t>Wed</t>
        </is>
      </c>
      <c r="G253" s="14" t="inlineStr">
        <is>
          <t>KV</t>
        </is>
      </c>
      <c r="H253" s="14" t="inlineStr">
        <is>
          <t>STG</t>
        </is>
      </c>
      <c r="I253" s="14" t="inlineStr">
        <is>
          <t>STG - ID - IZZATI</t>
        </is>
      </c>
      <c r="J253" s="14" t="inlineStr">
        <is>
          <t>ID (named driver)</t>
        </is>
      </c>
      <c r="K253" s="14" t="inlineStr">
        <is>
          <t>91846612</t>
        </is>
      </c>
      <c r="L253" s="14" t="n">
        <v>1</v>
      </c>
      <c r="M253" s="14" t="inlineStr">
        <is>
          <t>LM</t>
        </is>
      </c>
      <c r="N253" s="14" t="inlineStr">
        <is>
          <t>Deliver to Wrong Address</t>
        </is>
      </c>
      <c r="O253" s="14" t="inlineStr"/>
      <c r="P253" s="14" t="inlineStr"/>
      <c r="Q253" s="14" t="inlineStr"/>
      <c r="R253" s="14" t="inlineStr">
        <is>
          <t>driver deliver to wrong address, cust receives after made a complaint</t>
        </is>
      </c>
      <c r="S253" s="14" t="inlineStr">
        <is>
          <t>Yana</t>
        </is>
      </c>
      <c r="T253" s="14">
        <f>COUNTIF($B$2:$B$499,B253)</f>
        <v/>
      </c>
      <c r="U253" s="14">
        <f>COUNTIF($I$2:$I$499,I253)</f>
        <v/>
      </c>
      <c r="V253" s="14">
        <f>IF(ISNA(MATCH(B253,'Metabase Lookup'!$A:$A,0)),"Not found",IF(INDEX('Metabase Lookup'!$B:$B,MATCH(B253,'Metabase Lookup'!$A:$A,0))="","Pending",INDEX('Metabase Lookup'!$B:$B,MATCH(B253,'Metabase Lookup'!$A:$A,0))))</f>
        <v/>
      </c>
      <c r="W253" s="14">
        <f>IF(ISNA(MATCH(B253,'Metabase Lookup'!$A:$A,0)),"Not found",IF(INDEX('Metabase Lookup'!$C:$C,MATCH(B253,'Metabase Lookup'!$A:$A,0))="","Pending",INDEX('Metabase Lookup'!$C:$C,MATCH(B253,'Metabase Lookup'!$A:$A,0))))</f>
        <v/>
      </c>
      <c r="X253" s="14">
        <f>IF(ISNA(MATCH(B253,'Metabase Lookup'!$A:$A,0)),"",IF(INDEX('Metabase Lookup'!$D:$D,MATCH(B253,'Metabase Lookup'!$A:$A,0))="","",INDEX('Metabase Lookup'!$D:$D,MATCH(B253,'Metabase Lookup'!$A:$A,0))))</f>
        <v/>
      </c>
      <c r="Y253" s="14">
        <f>IF(ISNUMBER(W253),IF(W253&gt;0,"Yes","No"),"Pending")</f>
        <v/>
      </c>
      <c r="Z253" s="14" t="inlineStr"/>
    </row>
    <row r="254">
      <c r="A254" s="14" t="n">
        <v>253</v>
      </c>
      <c r="B254" s="14" t="inlineStr">
        <is>
          <t>NVMYSFPRO000001025-001NVMYSFPRO000001025-002</t>
        </is>
      </c>
      <c r="C254" s="15" t="inlineStr">
        <is>
          <t>260142665512</t>
        </is>
      </c>
      <c r="D254" s="16" t="n">
        <v>46288.51069444444</v>
      </c>
      <c r="E254" s="17" t="n">
        <v>46288</v>
      </c>
      <c r="F254" s="14" t="inlineStr">
        <is>
          <t>Wed</t>
        </is>
      </c>
      <c r="G254" s="14" t="inlineStr">
        <is>
          <t>KV</t>
        </is>
      </c>
      <c r="H254" s="14" t="inlineStr">
        <is>
          <t>RWG</t>
        </is>
      </c>
      <c r="I254" s="14" t="inlineStr">
        <is>
          <t>OPS - RWG</t>
        </is>
      </c>
      <c r="J254" s="14" t="inlineStr">
        <is>
          <t>OPS (generic hub account)</t>
        </is>
      </c>
      <c r="K254" s="14" t="inlineStr">
        <is>
          <t>91836497</t>
        </is>
      </c>
      <c r="L254" s="14" t="n">
        <v>1</v>
      </c>
      <c r="M254" s="14" t="inlineStr">
        <is>
          <t>LM</t>
        </is>
      </c>
      <c r="N254" s="14" t="inlineStr">
        <is>
          <t>Fake Fail</t>
        </is>
      </c>
      <c r="O254" s="14" t="inlineStr">
        <is>
          <t>Call not connected / no response</t>
        </is>
      </c>
      <c r="P254" s="14" t="inlineStr">
        <is>
          <t>No</t>
        </is>
      </c>
      <c r="Q254" s="14" t="inlineStr">
        <is>
          <t>No</t>
        </is>
      </c>
      <c r="R254" s="14" t="inlineStr">
        <is>
          <t>Call log is not connected and no Whatsapp provided</t>
        </is>
      </c>
      <c r="S254" s="14" t="inlineStr">
        <is>
          <t>Izzni</t>
        </is>
      </c>
      <c r="T254" s="14">
        <f>COUNTIF($B$2:$B$499,B254)</f>
        <v/>
      </c>
      <c r="U254" s="14">
        <f>COUNTIF($I$2:$I$499,I254)</f>
        <v/>
      </c>
      <c r="V254" s="14">
        <f>IF(ISNA(MATCH(B254,'Metabase Lookup'!$A:$A,0)),"Not found",IF(INDEX('Metabase Lookup'!$B:$B,MATCH(B254,'Metabase Lookup'!$A:$A,0))="","Pending",INDEX('Metabase Lookup'!$B:$B,MATCH(B254,'Metabase Lookup'!$A:$A,0))))</f>
        <v/>
      </c>
      <c r="W254" s="14">
        <f>IF(ISNA(MATCH(B254,'Metabase Lookup'!$A:$A,0)),"Not found",IF(INDEX('Metabase Lookup'!$C:$C,MATCH(B254,'Metabase Lookup'!$A:$A,0))="","Pending",INDEX('Metabase Lookup'!$C:$C,MATCH(B254,'Metabase Lookup'!$A:$A,0))))</f>
        <v/>
      </c>
      <c r="X254" s="14">
        <f>IF(ISNA(MATCH(B254,'Metabase Lookup'!$A:$A,0)),"",IF(INDEX('Metabase Lookup'!$D:$D,MATCH(B254,'Metabase Lookup'!$A:$A,0))="","",INDEX('Metabase Lookup'!$D:$D,MATCH(B254,'Metabase Lookup'!$A:$A,0))))</f>
        <v/>
      </c>
      <c r="Y254" s="14">
        <f>IF(ISNUMBER(W254),IF(W254&gt;0,"Yes","No"),"Pending")</f>
        <v/>
      </c>
      <c r="Z254" s="14" t="inlineStr">
        <is>
          <t>TID had stray spaces/line breaks (cleaned); Driver not identified (OPS account)</t>
        </is>
      </c>
    </row>
    <row r="255">
      <c r="A255" s="14" t="n">
        <v>254</v>
      </c>
      <c r="B255" s="14" t="inlineStr">
        <is>
          <t>AEMYA000627864</t>
        </is>
      </c>
      <c r="C255" s="15" t="inlineStr">
        <is>
          <t>266302663171</t>
        </is>
      </c>
      <c r="D255" s="16" t="n">
        <v>46288.51222222222</v>
      </c>
      <c r="E255" s="17" t="n">
        <v>46288</v>
      </c>
      <c r="F255" s="14" t="inlineStr">
        <is>
          <t>Wed</t>
        </is>
      </c>
      <c r="G255" s="14" t="inlineStr">
        <is>
          <t>Southern</t>
        </is>
      </c>
      <c r="H255" s="14" t="inlineStr">
        <is>
          <t>PTN</t>
        </is>
      </c>
      <c r="I255" s="14" t="inlineStr">
        <is>
          <t>PTN - ID - AFIZAH</t>
        </is>
      </c>
      <c r="J255" s="14" t="inlineStr">
        <is>
          <t>ID (named driver)</t>
        </is>
      </c>
      <c r="K255" s="14" t="inlineStr">
        <is>
          <t>91867444</t>
        </is>
      </c>
      <c r="L255" s="14" t="n">
        <v>1</v>
      </c>
      <c r="M255" s="14" t="inlineStr">
        <is>
          <t>LM</t>
        </is>
      </c>
      <c r="N255" s="14" t="inlineStr">
        <is>
          <t>Fake Fail</t>
        </is>
      </c>
      <c r="O255" s="14" t="inlineStr">
        <is>
          <t>Call not connected / no response</t>
        </is>
      </c>
      <c r="P255" s="14" t="inlineStr">
        <is>
          <t>No</t>
        </is>
      </c>
      <c r="Q255" s="14" t="inlineStr">
        <is>
          <t>No</t>
        </is>
      </c>
      <c r="R255" s="14" t="inlineStr">
        <is>
          <t>Call log is not connected and no Whatsapp provided</t>
        </is>
      </c>
      <c r="S255" s="14" t="inlineStr">
        <is>
          <t>Izzni</t>
        </is>
      </c>
      <c r="T255" s="14">
        <f>COUNTIF($B$2:$B$499,B255)</f>
        <v/>
      </c>
      <c r="U255" s="14">
        <f>COUNTIF($I$2:$I$499,I255)</f>
        <v/>
      </c>
      <c r="V255" s="14">
        <f>IF(ISNA(MATCH(B255,'Metabase Lookup'!$A:$A,0)),"Not found",IF(INDEX('Metabase Lookup'!$B:$B,MATCH(B255,'Metabase Lookup'!$A:$A,0))="","Pending",INDEX('Metabase Lookup'!$B:$B,MATCH(B255,'Metabase Lookup'!$A:$A,0))))</f>
        <v/>
      </c>
      <c r="W255" s="14">
        <f>IF(ISNA(MATCH(B255,'Metabase Lookup'!$A:$A,0)),"Not found",IF(INDEX('Metabase Lookup'!$C:$C,MATCH(B255,'Metabase Lookup'!$A:$A,0))="","Pending",INDEX('Metabase Lookup'!$C:$C,MATCH(B255,'Metabase Lookup'!$A:$A,0))))</f>
        <v/>
      </c>
      <c r="X255" s="14">
        <f>IF(ISNA(MATCH(B255,'Metabase Lookup'!$A:$A,0)),"",IF(INDEX('Metabase Lookup'!$D:$D,MATCH(B255,'Metabase Lookup'!$A:$A,0))="","",INDEX('Metabase Lookup'!$D:$D,MATCH(B255,'Metabase Lookup'!$A:$A,0))))</f>
        <v/>
      </c>
      <c r="Y255" s="14">
        <f>IF(ISNUMBER(W255),IF(W255&gt;0,"Yes","No"),"Pending")</f>
        <v/>
      </c>
      <c r="Z255" s="14" t="inlineStr"/>
    </row>
    <row r="256">
      <c r="A256" s="14" t="n">
        <v>255</v>
      </c>
      <c r="B256" s="14" t="inlineStr">
        <is>
          <t>STLMY1550782677370200064</t>
        </is>
      </c>
      <c r="C256" s="15" t="inlineStr">
        <is>
          <t>263542655174</t>
        </is>
      </c>
      <c r="D256" s="16" t="n">
        <v>46288.51436342593</v>
      </c>
      <c r="E256" s="17" t="n">
        <v>46288</v>
      </c>
      <c r="F256" s="14" t="inlineStr">
        <is>
          <t>Wed</t>
        </is>
      </c>
      <c r="G256" s="14" t="inlineStr">
        <is>
          <t>Southern</t>
        </is>
      </c>
      <c r="H256" s="14" t="inlineStr">
        <is>
          <t>LKN</t>
        </is>
      </c>
      <c r="I256" s="14" t="inlineStr">
        <is>
          <t>LKN - HD - ROSAZMIZARINIE</t>
        </is>
      </c>
      <c r="J256" s="14" t="inlineStr">
        <is>
          <t>HD (named)</t>
        </is>
      </c>
      <c r="K256" s="14" t="inlineStr">
        <is>
          <t>91856405</t>
        </is>
      </c>
      <c r="L256" s="14" t="n">
        <v>1</v>
      </c>
      <c r="M256" s="14" t="inlineStr">
        <is>
          <t>LM</t>
        </is>
      </c>
      <c r="N256" s="14" t="inlineStr">
        <is>
          <t>Fake Success</t>
        </is>
      </c>
      <c r="O256" s="14" t="inlineStr"/>
      <c r="P256" s="14" t="inlineStr"/>
      <c r="Q256" s="14" t="inlineStr"/>
      <c r="R256" s="14" t="inlineStr">
        <is>
          <t>cust receives parcel after made a complaint</t>
        </is>
      </c>
      <c r="S256" s="14" t="inlineStr">
        <is>
          <t>Yana</t>
        </is>
      </c>
      <c r="T256" s="14">
        <f>COUNTIF($B$2:$B$499,B256)</f>
        <v/>
      </c>
      <c r="U256" s="14">
        <f>COUNTIF($I$2:$I$499,I256)</f>
        <v/>
      </c>
      <c r="V256" s="14">
        <f>IF(ISNA(MATCH(B256,'Metabase Lookup'!$A:$A,0)),"Not found",IF(INDEX('Metabase Lookup'!$B:$B,MATCH(B256,'Metabase Lookup'!$A:$A,0))="","Pending",INDEX('Metabase Lookup'!$B:$B,MATCH(B256,'Metabase Lookup'!$A:$A,0))))</f>
        <v/>
      </c>
      <c r="W256" s="14">
        <f>IF(ISNA(MATCH(B256,'Metabase Lookup'!$A:$A,0)),"Not found",IF(INDEX('Metabase Lookup'!$C:$C,MATCH(B256,'Metabase Lookup'!$A:$A,0))="","Pending",INDEX('Metabase Lookup'!$C:$C,MATCH(B256,'Metabase Lookup'!$A:$A,0))))</f>
        <v/>
      </c>
      <c r="X256" s="14">
        <f>IF(ISNA(MATCH(B256,'Metabase Lookup'!$A:$A,0)),"",IF(INDEX('Metabase Lookup'!$D:$D,MATCH(B256,'Metabase Lookup'!$A:$A,0))="","",INDEX('Metabase Lookup'!$D:$D,MATCH(B256,'Metabase Lookup'!$A:$A,0))))</f>
        <v/>
      </c>
      <c r="Y256" s="14">
        <f>IF(ISNUMBER(W256),IF(W256&gt;0,"Yes","No"),"Pending")</f>
        <v/>
      </c>
      <c r="Z256" s="14" t="inlineStr"/>
    </row>
    <row r="257">
      <c r="A257" s="14" t="n">
        <v>256</v>
      </c>
      <c r="B257" s="14" t="inlineStr">
        <is>
          <t>LIVHU1550696753238847488</t>
        </is>
      </c>
      <c r="C257" s="15" t="inlineStr">
        <is>
          <t>268822654417</t>
        </is>
      </c>
      <c r="D257" s="16" t="n">
        <v>46288.51711805556</v>
      </c>
      <c r="E257" s="17" t="n">
        <v>46288</v>
      </c>
      <c r="F257" s="14" t="inlineStr">
        <is>
          <t>Wed</t>
        </is>
      </c>
      <c r="G257" s="14" t="inlineStr">
        <is>
          <t>KV</t>
        </is>
      </c>
      <c r="H257" s="14" t="inlineStr">
        <is>
          <t>PUDO-KV-DEL - CC-GLE</t>
        </is>
      </c>
      <c r="I257" s="14" t="inlineStr">
        <is>
          <t>KV4 - FM - Tarmizi Abdul Aziz</t>
        </is>
      </c>
      <c r="J257" s="14" t="inlineStr">
        <is>
          <t>FM (first-mile)</t>
        </is>
      </c>
      <c r="K257" s="14" t="inlineStr">
        <is>
          <t>91854199</t>
        </is>
      </c>
      <c r="L257" s="14" t="n">
        <v>1</v>
      </c>
      <c r="M257" s="14" t="inlineStr">
        <is>
          <t>Cold Chain (CC)</t>
        </is>
      </c>
      <c r="N257" s="14" t="inlineStr">
        <is>
          <t>Fake Success</t>
        </is>
      </c>
      <c r="O257" s="14" t="inlineStr"/>
      <c r="P257" s="14" t="inlineStr"/>
      <c r="Q257" s="14" t="inlineStr"/>
      <c r="R257" s="14" t="inlineStr">
        <is>
          <t>driver fake success REVERT COMPLETED on 2026-09-22 15:41:20</t>
        </is>
      </c>
      <c r="S257" s="14" t="inlineStr">
        <is>
          <t>Yana</t>
        </is>
      </c>
      <c r="T257" s="14">
        <f>COUNTIF($B$2:$B$499,B257)</f>
        <v/>
      </c>
      <c r="U257" s="14">
        <f>COUNTIF($I$2:$I$499,I257)</f>
        <v/>
      </c>
      <c r="V257" s="14">
        <f>IF(ISNA(MATCH(B257,'Metabase Lookup'!$A:$A,0)),"Not found",IF(INDEX('Metabase Lookup'!$B:$B,MATCH(B257,'Metabase Lookup'!$A:$A,0))="","Pending",INDEX('Metabase Lookup'!$B:$B,MATCH(B257,'Metabase Lookup'!$A:$A,0))))</f>
        <v/>
      </c>
      <c r="W257" s="14">
        <f>IF(ISNA(MATCH(B257,'Metabase Lookup'!$A:$A,0)),"Not found",IF(INDEX('Metabase Lookup'!$C:$C,MATCH(B257,'Metabase Lookup'!$A:$A,0))="","Pending",INDEX('Metabase Lookup'!$C:$C,MATCH(B257,'Metabase Lookup'!$A:$A,0))))</f>
        <v/>
      </c>
      <c r="X257" s="14">
        <f>IF(ISNA(MATCH(B257,'Metabase Lookup'!$A:$A,0)),"",IF(INDEX('Metabase Lookup'!$D:$D,MATCH(B257,'Metabase Lookup'!$A:$A,0))="","",INDEX('Metabase Lookup'!$D:$D,MATCH(B257,'Metabase Lookup'!$A:$A,0))))</f>
        <v/>
      </c>
      <c r="Y257" s="14">
        <f>IF(ISNUMBER(W257),IF(W257&gt;0,"Yes","No"),"Pending")</f>
        <v/>
      </c>
      <c r="Z257" s="14" t="inlineStr"/>
    </row>
    <row r="258">
      <c r="A258" s="14" t="n">
        <v>257</v>
      </c>
      <c r="B258" s="14" t="inlineStr">
        <is>
          <t>NVMYNINJA002509548</t>
        </is>
      </c>
      <c r="C258" s="15" t="inlineStr">
        <is>
          <t>261272642560</t>
        </is>
      </c>
      <c r="D258" s="16" t="n">
        <v>46288.52496527778</v>
      </c>
      <c r="E258" s="17" t="n">
        <v>46288</v>
      </c>
      <c r="F258" s="14" t="inlineStr">
        <is>
          <t>Wed</t>
        </is>
      </c>
      <c r="G258" s="14" t="inlineStr">
        <is>
          <t>KV</t>
        </is>
      </c>
      <c r="H258" s="14" t="inlineStr">
        <is>
          <t>DAM</t>
        </is>
      </c>
      <c r="I258" s="14" t="inlineStr">
        <is>
          <t>DAM - ID - EDDY HERMAN</t>
        </is>
      </c>
      <c r="J258" s="14" t="inlineStr">
        <is>
          <t>ID (named driver)</t>
        </is>
      </c>
      <c r="K258" s="14" t="inlineStr">
        <is>
          <t>91829908</t>
        </is>
      </c>
      <c r="L258" s="14" t="n">
        <v>1</v>
      </c>
      <c r="M258" s="14" t="inlineStr">
        <is>
          <t>LM</t>
        </is>
      </c>
      <c r="N258" s="14" t="inlineStr">
        <is>
          <t>Fake Success</t>
        </is>
      </c>
      <c r="O258" s="14" t="inlineStr"/>
      <c r="P258" s="14" t="inlineStr"/>
      <c r="Q258" s="14" t="inlineStr"/>
      <c r="R258" s="14" t="inlineStr">
        <is>
          <t>System shoe parcel completed on 18.09.2026 but customer received on 21.09.2026</t>
        </is>
      </c>
      <c r="S258" s="14" t="inlineStr">
        <is>
          <t>Adid</t>
        </is>
      </c>
      <c r="T258" s="14">
        <f>COUNTIF($B$2:$B$499,B258)</f>
        <v/>
      </c>
      <c r="U258" s="14">
        <f>COUNTIF($I$2:$I$499,I258)</f>
        <v/>
      </c>
      <c r="V258" s="14">
        <f>IF(ISNA(MATCH(B258,'Metabase Lookup'!$A:$A,0)),"Not found",IF(INDEX('Metabase Lookup'!$B:$B,MATCH(B258,'Metabase Lookup'!$A:$A,0))="","Pending",INDEX('Metabase Lookup'!$B:$B,MATCH(B258,'Metabase Lookup'!$A:$A,0))))</f>
        <v/>
      </c>
      <c r="W258" s="14">
        <f>IF(ISNA(MATCH(B258,'Metabase Lookup'!$A:$A,0)),"Not found",IF(INDEX('Metabase Lookup'!$C:$C,MATCH(B258,'Metabase Lookup'!$A:$A,0))="","Pending",INDEX('Metabase Lookup'!$C:$C,MATCH(B258,'Metabase Lookup'!$A:$A,0))))</f>
        <v/>
      </c>
      <c r="X258" s="14">
        <f>IF(ISNA(MATCH(B258,'Metabase Lookup'!$A:$A,0)),"",IF(INDEX('Metabase Lookup'!$D:$D,MATCH(B258,'Metabase Lookup'!$A:$A,0))="","",INDEX('Metabase Lookup'!$D:$D,MATCH(B258,'Metabase Lookup'!$A:$A,0))))</f>
        <v/>
      </c>
      <c r="Y258" s="14">
        <f>IF(ISNUMBER(W258),IF(W258&gt;0,"Yes","No"),"Pending")</f>
        <v/>
      </c>
      <c r="Z258" s="14" t="inlineStr"/>
    </row>
    <row r="259">
      <c r="A259" s="14" t="n">
        <v>258</v>
      </c>
      <c r="B259" s="14" t="inlineStr">
        <is>
          <t>NVMYYAMOW000003004</t>
        </is>
      </c>
      <c r="C259" s="15" t="inlineStr">
        <is>
          <t>267112668863</t>
        </is>
      </c>
      <c r="D259" s="16" t="n">
        <v>46288.52760416667</v>
      </c>
      <c r="E259" s="17" t="n">
        <v>46288</v>
      </c>
      <c r="F259" s="14" t="inlineStr">
        <is>
          <t>Wed</t>
        </is>
      </c>
      <c r="G259" s="14" t="inlineStr">
        <is>
          <t>KV</t>
        </is>
      </c>
      <c r="H259" s="14" t="inlineStr">
        <is>
          <t>KSR</t>
        </is>
      </c>
      <c r="I259" s="14" t="inlineStr">
        <is>
          <t>KSR - ID - AZRI</t>
        </is>
      </c>
      <c r="J259" s="14" t="inlineStr">
        <is>
          <t>ID (named driver)</t>
        </is>
      </c>
      <c r="K259" s="14" t="inlineStr">
        <is>
          <t>91864291</t>
        </is>
      </c>
      <c r="L259" s="14" t="n">
        <v>1</v>
      </c>
      <c r="M259" s="14" t="inlineStr">
        <is>
          <t>LM</t>
        </is>
      </c>
      <c r="N259" s="14" t="inlineStr">
        <is>
          <t>Fake Fail</t>
        </is>
      </c>
      <c r="O259" s="14" t="inlineStr">
        <is>
          <t>Invalid location / site photo</t>
        </is>
      </c>
      <c r="P259" s="14" t="inlineStr">
        <is>
          <t>Yes</t>
        </is>
      </c>
      <c r="Q259" s="14" t="inlineStr">
        <is>
          <t>No</t>
        </is>
      </c>
      <c r="R259" s="14" t="inlineStr">
        <is>
          <t>POD invalid (house) instead the correct location was restaurant.</t>
        </is>
      </c>
      <c r="S259" s="14" t="inlineStr">
        <is>
          <t>Syak</t>
        </is>
      </c>
      <c r="T259" s="14">
        <f>COUNTIF($B$2:$B$499,B259)</f>
        <v/>
      </c>
      <c r="U259" s="14">
        <f>COUNTIF($I$2:$I$499,I259)</f>
        <v/>
      </c>
      <c r="V259" s="14">
        <f>IF(ISNA(MATCH(B259,'Metabase Lookup'!$A:$A,0)),"Not found",IF(INDEX('Metabase Lookup'!$B:$B,MATCH(B259,'Metabase Lookup'!$A:$A,0))="","Pending",INDEX('Metabase Lookup'!$B:$B,MATCH(B259,'Metabase Lookup'!$A:$A,0))))</f>
        <v/>
      </c>
      <c r="W259" s="14">
        <f>IF(ISNA(MATCH(B259,'Metabase Lookup'!$A:$A,0)),"Not found",IF(INDEX('Metabase Lookup'!$C:$C,MATCH(B259,'Metabase Lookup'!$A:$A,0))="","Pending",INDEX('Metabase Lookup'!$C:$C,MATCH(B259,'Metabase Lookup'!$A:$A,0))))</f>
        <v/>
      </c>
      <c r="X259" s="14">
        <f>IF(ISNA(MATCH(B259,'Metabase Lookup'!$A:$A,0)),"",IF(INDEX('Metabase Lookup'!$D:$D,MATCH(B259,'Metabase Lookup'!$A:$A,0))="","",INDEX('Metabase Lookup'!$D:$D,MATCH(B259,'Metabase Lookup'!$A:$A,0))))</f>
        <v/>
      </c>
      <c r="Y259" s="14">
        <f>IF(ISNUMBER(W259),IF(W259&gt;0,"Yes","No"),"Pending")</f>
        <v/>
      </c>
      <c r="Z259" s="14" t="inlineStr"/>
    </row>
    <row r="260">
      <c r="A260" s="14" t="n">
        <v>259</v>
      </c>
      <c r="B260" s="14" t="inlineStr">
        <is>
          <t>TWMY00SM26035579-002</t>
        </is>
      </c>
      <c r="C260" s="15" t="inlineStr">
        <is>
          <t>260482669413</t>
        </is>
      </c>
      <c r="D260" s="16" t="n">
        <v>46288.53010416667</v>
      </c>
      <c r="E260" s="17" t="n">
        <v>46288</v>
      </c>
      <c r="F260" s="14" t="inlineStr">
        <is>
          <t>Wed</t>
        </is>
      </c>
      <c r="G260" s="14" t="inlineStr">
        <is>
          <t>KV</t>
        </is>
      </c>
      <c r="H260" s="14" t="inlineStr">
        <is>
          <t>PUC</t>
        </is>
      </c>
      <c r="I260" s="14" t="inlineStr">
        <is>
          <t>PUC - ID - MUHAMMAD SUBADRULL</t>
        </is>
      </c>
      <c r="J260" s="14" t="inlineStr">
        <is>
          <t>ID (named driver)</t>
        </is>
      </c>
      <c r="K260" s="14" t="inlineStr">
        <is>
          <t>91868612</t>
        </is>
      </c>
      <c r="L260" s="14" t="n">
        <v>1</v>
      </c>
      <c r="M260" s="14" t="inlineStr">
        <is>
          <t>LM</t>
        </is>
      </c>
      <c r="N260" s="14" t="inlineStr">
        <is>
          <t>Parcel Dumping</t>
        </is>
      </c>
      <c r="O260" s="14" t="inlineStr"/>
      <c r="P260" s="14" t="inlineStr"/>
      <c r="Q260" s="14" t="inlineStr"/>
      <c r="R260" s="14" t="inlineStr">
        <is>
          <t>The driver did not notify the customer before dropping the parcel at the customer’s porch.</t>
        </is>
      </c>
      <c r="S260" s="14" t="inlineStr">
        <is>
          <t>Izzni</t>
        </is>
      </c>
      <c r="T260" s="14">
        <f>COUNTIF($B$2:$B$499,B260)</f>
        <v/>
      </c>
      <c r="U260" s="14">
        <f>COUNTIF($I$2:$I$499,I260)</f>
        <v/>
      </c>
      <c r="V260" s="14">
        <f>IF(ISNA(MATCH(B260,'Metabase Lookup'!$A:$A,0)),"Not found",IF(INDEX('Metabase Lookup'!$B:$B,MATCH(B260,'Metabase Lookup'!$A:$A,0))="","Pending",INDEX('Metabase Lookup'!$B:$B,MATCH(B260,'Metabase Lookup'!$A:$A,0))))</f>
        <v/>
      </c>
      <c r="W260" s="14">
        <f>IF(ISNA(MATCH(B260,'Metabase Lookup'!$A:$A,0)),"Not found",IF(INDEX('Metabase Lookup'!$C:$C,MATCH(B260,'Metabase Lookup'!$A:$A,0))="","Pending",INDEX('Metabase Lookup'!$C:$C,MATCH(B260,'Metabase Lookup'!$A:$A,0))))</f>
        <v/>
      </c>
      <c r="X260" s="14">
        <f>IF(ISNA(MATCH(B260,'Metabase Lookup'!$A:$A,0)),"",IF(INDEX('Metabase Lookup'!$D:$D,MATCH(B260,'Metabase Lookup'!$A:$A,0))="","",INDEX('Metabase Lookup'!$D:$D,MATCH(B260,'Metabase Lookup'!$A:$A,0))))</f>
        <v/>
      </c>
      <c r="Y260" s="14">
        <f>IF(ISNUMBER(W260),IF(W260&gt;0,"Yes","No"),"Pending")</f>
        <v/>
      </c>
      <c r="Z260" s="14" t="inlineStr"/>
    </row>
    <row r="261">
      <c r="A261" s="14" t="n">
        <v>260</v>
      </c>
      <c r="B261" s="14" t="inlineStr">
        <is>
          <t>NVMYRAHOL050469063</t>
        </is>
      </c>
      <c r="C261" s="15" t="inlineStr">
        <is>
          <t>265712627875</t>
        </is>
      </c>
      <c r="D261" s="16" t="n">
        <v>46288.53479166667</v>
      </c>
      <c r="E261" s="17" t="n">
        <v>46288</v>
      </c>
      <c r="F261" s="14" t="inlineStr">
        <is>
          <t>Wed</t>
        </is>
      </c>
      <c r="G261" s="14" t="inlineStr">
        <is>
          <t>KV</t>
        </is>
      </c>
      <c r="H261" s="14" t="inlineStr">
        <is>
          <t>BRP</t>
        </is>
      </c>
      <c r="I261" s="14" t="inlineStr">
        <is>
          <t>BRP - ID - HAIRI</t>
        </is>
      </c>
      <c r="J261" s="14" t="inlineStr">
        <is>
          <t>ID (named driver)</t>
        </is>
      </c>
      <c r="K261" s="14" t="inlineStr">
        <is>
          <t>91829980</t>
        </is>
      </c>
      <c r="L261" s="14" t="n">
        <v>1</v>
      </c>
      <c r="M261" s="14" t="inlineStr">
        <is>
          <t>LM</t>
        </is>
      </c>
      <c r="N261" s="14" t="inlineStr">
        <is>
          <t>Deliver to Wrong Address</t>
        </is>
      </c>
      <c r="O261" s="14" t="inlineStr"/>
      <c r="P261" s="14" t="inlineStr"/>
      <c r="Q261" s="14" t="inlineStr"/>
      <c r="R261" s="14" t="inlineStr">
        <is>
          <t>Completed 2026-09-18 but cust not received as the driver deliver to the wrong location. Done retrieve and cust received it after complaint lodge</t>
        </is>
      </c>
      <c r="S261" s="14" t="inlineStr">
        <is>
          <t>Syaza</t>
        </is>
      </c>
      <c r="T261" s="14">
        <f>COUNTIF($B$2:$B$499,B261)</f>
        <v/>
      </c>
      <c r="U261" s="14">
        <f>COUNTIF($I$2:$I$499,I261)</f>
        <v/>
      </c>
      <c r="V261" s="14">
        <f>IF(ISNA(MATCH(B261,'Metabase Lookup'!$A:$A,0)),"Not found",IF(INDEX('Metabase Lookup'!$B:$B,MATCH(B261,'Metabase Lookup'!$A:$A,0))="","Pending",INDEX('Metabase Lookup'!$B:$B,MATCH(B261,'Metabase Lookup'!$A:$A,0))))</f>
        <v/>
      </c>
      <c r="W261" s="14">
        <f>IF(ISNA(MATCH(B261,'Metabase Lookup'!$A:$A,0)),"Not found",IF(INDEX('Metabase Lookup'!$C:$C,MATCH(B261,'Metabase Lookup'!$A:$A,0))="","Pending",INDEX('Metabase Lookup'!$C:$C,MATCH(B261,'Metabase Lookup'!$A:$A,0))))</f>
        <v/>
      </c>
      <c r="X261" s="14">
        <f>IF(ISNA(MATCH(B261,'Metabase Lookup'!$A:$A,0)),"",IF(INDEX('Metabase Lookup'!$D:$D,MATCH(B261,'Metabase Lookup'!$A:$A,0))="","",INDEX('Metabase Lookup'!$D:$D,MATCH(B261,'Metabase Lookup'!$A:$A,0))))</f>
        <v/>
      </c>
      <c r="Y261" s="14">
        <f>IF(ISNUMBER(W261),IF(W261&gt;0,"Yes","No"),"Pending")</f>
        <v/>
      </c>
      <c r="Z261" s="14" t="inlineStr"/>
    </row>
    <row r="262">
      <c r="A262" s="14" t="n">
        <v>261</v>
      </c>
      <c r="B262" s="14" t="inlineStr">
        <is>
          <t>NVMYZAFES000476028</t>
        </is>
      </c>
      <c r="C262" s="15" t="inlineStr">
        <is>
          <t>261912669510</t>
        </is>
      </c>
      <c r="D262" s="16" t="n">
        <v>46288.5393287037</v>
      </c>
      <c r="E262" s="17" t="n">
        <v>46288</v>
      </c>
      <c r="F262" s="14" t="inlineStr">
        <is>
          <t>Wed</t>
        </is>
      </c>
      <c r="G262" s="14" t="inlineStr">
        <is>
          <t>Southern</t>
        </is>
      </c>
      <c r="H262" s="14" t="inlineStr">
        <is>
          <t>AUS</t>
        </is>
      </c>
      <c r="I262" s="14" t="inlineStr">
        <is>
          <t>OPSAUS | AUS - ID - TEY KOK HOW</t>
        </is>
      </c>
      <c r="J262" s="14" t="inlineStr">
        <is>
          <t>Multiple drivers</t>
        </is>
      </c>
      <c r="K262" s="14" t="inlineStr">
        <is>
          <t>91765015, 91852430, 91861216</t>
        </is>
      </c>
      <c r="L262" s="14" t="n">
        <v>3</v>
      </c>
      <c r="M262" s="14" t="inlineStr">
        <is>
          <t>LM</t>
        </is>
      </c>
      <c r="N262" s="14" t="inlineStr">
        <is>
          <t>Fake Fail</t>
        </is>
      </c>
      <c r="O262" s="14" t="inlineStr">
        <is>
          <t>Invalid POD (no detail)</t>
        </is>
      </c>
      <c r="P262" s="14" t="inlineStr">
        <is>
          <t>No</t>
        </is>
      </c>
      <c r="Q262" s="14" t="inlineStr">
        <is>
          <t>No</t>
        </is>
      </c>
      <c r="R262" s="14" t="inlineStr">
        <is>
          <t>No POD has been provided</t>
        </is>
      </c>
      <c r="S262" s="14" t="inlineStr">
        <is>
          <t>Izzni</t>
        </is>
      </c>
      <c r="T262" s="14">
        <f>COUNTIF($B$2:$B$499,B262)</f>
        <v/>
      </c>
      <c r="U262" s="14">
        <f>COUNTIF($I$2:$I$499,I262)</f>
        <v/>
      </c>
      <c r="V262" s="14">
        <f>IF(ISNA(MATCH(B262,'Metabase Lookup'!$A:$A,0)),"Not found",IF(INDEX('Metabase Lookup'!$B:$B,MATCH(B262,'Metabase Lookup'!$A:$A,0))="","Pending",INDEX('Metabase Lookup'!$B:$B,MATCH(B262,'Metabase Lookup'!$A:$A,0))))</f>
        <v/>
      </c>
      <c r="W262" s="14">
        <f>IF(ISNA(MATCH(B262,'Metabase Lookup'!$A:$A,0)),"Not found",IF(INDEX('Metabase Lookup'!$C:$C,MATCH(B262,'Metabase Lookup'!$A:$A,0))="","Pending",INDEX('Metabase Lookup'!$C:$C,MATCH(B262,'Metabase Lookup'!$A:$A,0))))</f>
        <v/>
      </c>
      <c r="X262" s="14">
        <f>IF(ISNA(MATCH(B262,'Metabase Lookup'!$A:$A,0)),"",IF(INDEX('Metabase Lookup'!$D:$D,MATCH(B262,'Metabase Lookup'!$A:$A,0))="","",INDEX('Metabase Lookup'!$D:$D,MATCH(B262,'Metabase Lookup'!$A:$A,0))))</f>
        <v/>
      </c>
      <c r="Y262" s="14">
        <f>IF(ISNUMBER(W262),IF(W262&gt;0,"Yes","No"),"Pending")</f>
        <v/>
      </c>
      <c r="Z262" s="14" t="inlineStr">
        <is>
          <t>TID logged more than once; Multiple drivers in one row; Multiple route IDs</t>
        </is>
      </c>
    </row>
    <row r="263">
      <c r="A263" s="14" t="n">
        <v>262</v>
      </c>
      <c r="B263" s="14" t="inlineStr">
        <is>
          <t>NVMYMZ0N3000028442</t>
        </is>
      </c>
      <c r="C263" s="15" t="inlineStr">
        <is>
          <t>267222668084</t>
        </is>
      </c>
      <c r="D263" s="16" t="n">
        <v>46288.54902777778</v>
      </c>
      <c r="E263" s="17" t="n">
        <v>46288</v>
      </c>
      <c r="F263" s="14" t="inlineStr">
        <is>
          <t>Wed</t>
        </is>
      </c>
      <c r="G263" s="14" t="inlineStr">
        <is>
          <t>KV</t>
        </is>
      </c>
      <c r="H263" s="14" t="inlineStr">
        <is>
          <t>BTR</t>
        </is>
      </c>
      <c r="I263" s="14" t="inlineStr">
        <is>
          <t>OPS - BTR</t>
        </is>
      </c>
      <c r="J263" s="14" t="inlineStr">
        <is>
          <t>OPS (generic hub account)</t>
        </is>
      </c>
      <c r="K263" s="14" t="inlineStr">
        <is>
          <t>91863085</t>
        </is>
      </c>
      <c r="L263" s="14" t="n">
        <v>1</v>
      </c>
      <c r="M263" s="14" t="inlineStr">
        <is>
          <t>LM</t>
        </is>
      </c>
      <c r="N263" s="14" t="inlineStr">
        <is>
          <t>Fake Fail</t>
        </is>
      </c>
      <c r="O263" s="14" t="inlineStr">
        <is>
          <t>No call / call log missing</t>
        </is>
      </c>
      <c r="P263" s="14" t="inlineStr">
        <is>
          <t>Yes</t>
        </is>
      </c>
      <c r="Q263" s="14" t="inlineStr">
        <is>
          <t>Yes</t>
        </is>
      </c>
      <c r="R263" s="14" t="inlineStr">
        <is>
          <t>failed by ops no contact no location</t>
        </is>
      </c>
      <c r="S263" s="14" t="inlineStr">
        <is>
          <t>Ninja Hadif</t>
        </is>
      </c>
      <c r="T263" s="14">
        <f>COUNTIF($B$2:$B$499,B263)</f>
        <v/>
      </c>
      <c r="U263" s="14">
        <f>COUNTIF($I$2:$I$499,I263)</f>
        <v/>
      </c>
      <c r="V263" s="14">
        <f>IF(ISNA(MATCH(B263,'Metabase Lookup'!$A:$A,0)),"Not found",IF(INDEX('Metabase Lookup'!$B:$B,MATCH(B263,'Metabase Lookup'!$A:$A,0))="","Pending",INDEX('Metabase Lookup'!$B:$B,MATCH(B263,'Metabase Lookup'!$A:$A,0))))</f>
        <v/>
      </c>
      <c r="W263" s="14">
        <f>IF(ISNA(MATCH(B263,'Metabase Lookup'!$A:$A,0)),"Not found",IF(INDEX('Metabase Lookup'!$C:$C,MATCH(B263,'Metabase Lookup'!$A:$A,0))="","Pending",INDEX('Metabase Lookup'!$C:$C,MATCH(B263,'Metabase Lookup'!$A:$A,0))))</f>
        <v/>
      </c>
      <c r="X263" s="14">
        <f>IF(ISNA(MATCH(B263,'Metabase Lookup'!$A:$A,0)),"",IF(INDEX('Metabase Lookup'!$D:$D,MATCH(B263,'Metabase Lookup'!$A:$A,0))="","",INDEX('Metabase Lookup'!$D:$D,MATCH(B263,'Metabase Lookup'!$A:$A,0))))</f>
        <v/>
      </c>
      <c r="Y263" s="14">
        <f>IF(ISNUMBER(W263),IF(W263&gt;0,"Yes","No"),"Pending")</f>
        <v/>
      </c>
      <c r="Z263" s="14" t="inlineStr">
        <is>
          <t>Driver not identified (OPS account)</t>
        </is>
      </c>
    </row>
    <row r="264">
      <c r="A264" s="14" t="n">
        <v>263</v>
      </c>
      <c r="B264" s="14" t="inlineStr">
        <is>
          <t>AEMYA000634021</t>
        </is>
      </c>
      <c r="C264" s="15" t="inlineStr">
        <is>
          <t>267372660709</t>
        </is>
      </c>
      <c r="D264" s="16" t="n">
        <v>46288.56005787037</v>
      </c>
      <c r="E264" s="17" t="n">
        <v>46288</v>
      </c>
      <c r="F264" s="14" t="inlineStr">
        <is>
          <t>Wed</t>
        </is>
      </c>
      <c r="G264" s="14" t="inlineStr">
        <is>
          <t>Southern</t>
        </is>
      </c>
      <c r="H264" s="14" t="inlineStr">
        <is>
          <t>NSJ</t>
        </is>
      </c>
      <c r="I264" s="14" t="inlineStr">
        <is>
          <t>OPS - NSJ</t>
        </is>
      </c>
      <c r="J264" s="14" t="inlineStr">
        <is>
          <t>OPS (generic hub account)</t>
        </is>
      </c>
      <c r="K264" s="14" t="inlineStr">
        <is>
          <t>91865830</t>
        </is>
      </c>
      <c r="L264" s="14" t="n">
        <v>1</v>
      </c>
      <c r="M264" s="14" t="inlineStr">
        <is>
          <t>LM</t>
        </is>
      </c>
      <c r="N264" s="14" t="inlineStr">
        <is>
          <t>Fake Fail</t>
        </is>
      </c>
      <c r="O264" s="14" t="inlineStr">
        <is>
          <t>No call / call log missing</t>
        </is>
      </c>
      <c r="P264" s="14" t="inlineStr">
        <is>
          <t>No</t>
        </is>
      </c>
      <c r="Q264" s="14" t="inlineStr">
        <is>
          <t>No</t>
        </is>
      </c>
      <c r="R264" s="14" t="inlineStr">
        <is>
          <t>Blank POD has been provided (no call log/no whatsapp)</t>
        </is>
      </c>
      <c r="S264" s="14" t="inlineStr">
        <is>
          <t>Izzni</t>
        </is>
      </c>
      <c r="T264" s="14">
        <f>COUNTIF($B$2:$B$499,B264)</f>
        <v/>
      </c>
      <c r="U264" s="14">
        <f>COUNTIF($I$2:$I$499,I264)</f>
        <v/>
      </c>
      <c r="V264" s="14">
        <f>IF(ISNA(MATCH(B264,'Metabase Lookup'!$A:$A,0)),"Not found",IF(INDEX('Metabase Lookup'!$B:$B,MATCH(B264,'Metabase Lookup'!$A:$A,0))="","Pending",INDEX('Metabase Lookup'!$B:$B,MATCH(B264,'Metabase Lookup'!$A:$A,0))))</f>
        <v/>
      </c>
      <c r="W264" s="14">
        <f>IF(ISNA(MATCH(B264,'Metabase Lookup'!$A:$A,0)),"Not found",IF(INDEX('Metabase Lookup'!$C:$C,MATCH(B264,'Metabase Lookup'!$A:$A,0))="","Pending",INDEX('Metabase Lookup'!$C:$C,MATCH(B264,'Metabase Lookup'!$A:$A,0))))</f>
        <v/>
      </c>
      <c r="X264" s="14">
        <f>IF(ISNA(MATCH(B264,'Metabase Lookup'!$A:$A,0)),"",IF(INDEX('Metabase Lookup'!$D:$D,MATCH(B264,'Metabase Lookup'!$A:$A,0))="","",INDEX('Metabase Lookup'!$D:$D,MATCH(B264,'Metabase Lookup'!$A:$A,0))))</f>
        <v/>
      </c>
      <c r="Y264" s="14">
        <f>IF(ISNUMBER(W264),IF(W264&gt;0,"Yes","No"),"Pending")</f>
        <v/>
      </c>
      <c r="Z264" s="14" t="inlineStr">
        <is>
          <t>Driver not identified (OPS account)</t>
        </is>
      </c>
    </row>
    <row r="265">
      <c r="A265" s="14" t="n">
        <v>264</v>
      </c>
      <c r="B265" s="14" t="inlineStr">
        <is>
          <t>TYARA18799A</t>
        </is>
      </c>
      <c r="C265" s="15" t="inlineStr">
        <is>
          <t>268872662765</t>
        </is>
      </c>
      <c r="D265" s="16" t="n">
        <v>46288.56417824074</v>
      </c>
      <c r="E265" s="17" t="n">
        <v>46288</v>
      </c>
      <c r="F265" s="14" t="inlineStr">
        <is>
          <t>Wed</t>
        </is>
      </c>
      <c r="G265" s="14" t="inlineStr">
        <is>
          <t>KV</t>
        </is>
      </c>
      <c r="H265" s="14" t="inlineStr">
        <is>
          <t>PJY</t>
        </is>
      </c>
      <c r="I265" s="14" t="inlineStr">
        <is>
          <t>OPS - PJY</t>
        </is>
      </c>
      <c r="J265" s="14" t="inlineStr">
        <is>
          <t>OPS (generic hub account)</t>
        </is>
      </c>
      <c r="K265" s="14" t="inlineStr">
        <is>
          <t>91861025</t>
        </is>
      </c>
      <c r="L265" s="14" t="n">
        <v>1</v>
      </c>
      <c r="M265" s="14" t="inlineStr">
        <is>
          <t>LM</t>
        </is>
      </c>
      <c r="N265" s="14" t="inlineStr">
        <is>
          <t>Fake Fail</t>
        </is>
      </c>
      <c r="O265" s="14" t="inlineStr">
        <is>
          <t>No call / call log missing</t>
        </is>
      </c>
      <c r="P265" s="14" t="inlineStr">
        <is>
          <t>No</t>
        </is>
      </c>
      <c r="Q265" s="14" t="inlineStr">
        <is>
          <t>No</t>
        </is>
      </c>
      <c r="R265" s="14" t="inlineStr">
        <is>
          <t>No call log provided</t>
        </is>
      </c>
      <c r="S265" s="14" t="inlineStr">
        <is>
          <t>Izzni</t>
        </is>
      </c>
      <c r="T265" s="14">
        <f>COUNTIF($B$2:$B$499,B265)</f>
        <v/>
      </c>
      <c r="U265" s="14">
        <f>COUNTIF($I$2:$I$499,I265)</f>
        <v/>
      </c>
      <c r="V265" s="14">
        <f>IF(ISNA(MATCH(B265,'Metabase Lookup'!$A:$A,0)),"Not found",IF(INDEX('Metabase Lookup'!$B:$B,MATCH(B265,'Metabase Lookup'!$A:$A,0))="","Pending",INDEX('Metabase Lookup'!$B:$B,MATCH(B265,'Metabase Lookup'!$A:$A,0))))</f>
        <v/>
      </c>
      <c r="W265" s="14">
        <f>IF(ISNA(MATCH(B265,'Metabase Lookup'!$A:$A,0)),"Not found",IF(INDEX('Metabase Lookup'!$C:$C,MATCH(B265,'Metabase Lookup'!$A:$A,0))="","Pending",INDEX('Metabase Lookup'!$C:$C,MATCH(B265,'Metabase Lookup'!$A:$A,0))))</f>
        <v/>
      </c>
      <c r="X265" s="14">
        <f>IF(ISNA(MATCH(B265,'Metabase Lookup'!$A:$A,0)),"",IF(INDEX('Metabase Lookup'!$D:$D,MATCH(B265,'Metabase Lookup'!$A:$A,0))="","",INDEX('Metabase Lookup'!$D:$D,MATCH(B265,'Metabase Lookup'!$A:$A,0))))</f>
        <v/>
      </c>
      <c r="Y265" s="14">
        <f>IF(ISNUMBER(W265),IF(W265&gt;0,"Yes","No"),"Pending")</f>
        <v/>
      </c>
      <c r="Z265" s="14" t="inlineStr">
        <is>
          <t>Driver not identified (OPS account)</t>
        </is>
      </c>
    </row>
    <row r="266">
      <c r="A266" s="14" t="n">
        <v>265</v>
      </c>
      <c r="B266" s="14" t="inlineStr">
        <is>
          <t>NVMYWP00000GRACE10</t>
        </is>
      </c>
      <c r="C266" s="15" t="inlineStr">
        <is>
          <t>268482666230</t>
        </is>
      </c>
      <c r="D266" s="16" t="n">
        <v>46288.56423611111</v>
      </c>
      <c r="E266" s="17" t="n">
        <v>46288</v>
      </c>
      <c r="F266" s="14" t="inlineStr">
        <is>
          <t>Wed</t>
        </is>
      </c>
      <c r="G266" s="14" t="inlineStr">
        <is>
          <t>Northern</t>
        </is>
      </c>
      <c r="H266" s="14" t="inlineStr">
        <is>
          <t>GEO</t>
        </is>
      </c>
      <c r="I266" s="14" t="inlineStr">
        <is>
          <t>GEO - OPS - MACALISTER</t>
        </is>
      </c>
      <c r="J266" s="14" t="inlineStr">
        <is>
          <t>OPS (generic hub account)</t>
        </is>
      </c>
      <c r="K266" s="14" t="inlineStr">
        <is>
          <t>91843016, 91860071</t>
        </is>
      </c>
      <c r="L266" s="14" t="n">
        <v>2</v>
      </c>
      <c r="M266" s="14" t="inlineStr">
        <is>
          <t>LM</t>
        </is>
      </c>
      <c r="N266" s="14" t="inlineStr">
        <is>
          <t>Fake Fail</t>
        </is>
      </c>
      <c r="O266" s="14" t="inlineStr">
        <is>
          <t>Call not connected / no response</t>
        </is>
      </c>
      <c r="P266" s="14" t="inlineStr">
        <is>
          <t>Yes</t>
        </is>
      </c>
      <c r="Q266" s="14" t="inlineStr">
        <is>
          <t>No</t>
        </is>
      </c>
      <c r="R266" s="14" t="inlineStr">
        <is>
          <t>POD invalid (No connected call or No responded chat, No unique identifier of the location)</t>
        </is>
      </c>
      <c r="S266" s="14" t="inlineStr">
        <is>
          <t>Huzair</t>
        </is>
      </c>
      <c r="T266" s="14">
        <f>COUNTIF($B$2:$B$499,B266)</f>
        <v/>
      </c>
      <c r="U266" s="14">
        <f>COUNTIF($I$2:$I$499,I266)</f>
        <v/>
      </c>
      <c r="V266" s="14">
        <f>IF(ISNA(MATCH(B266,'Metabase Lookup'!$A:$A,0)),"Not found",IF(INDEX('Metabase Lookup'!$B:$B,MATCH(B266,'Metabase Lookup'!$A:$A,0))="","Pending",INDEX('Metabase Lookup'!$B:$B,MATCH(B266,'Metabase Lookup'!$A:$A,0))))</f>
        <v/>
      </c>
      <c r="W266" s="14">
        <f>IF(ISNA(MATCH(B266,'Metabase Lookup'!$A:$A,0)),"Not found",IF(INDEX('Metabase Lookup'!$C:$C,MATCH(B266,'Metabase Lookup'!$A:$A,0))="","Pending",INDEX('Metabase Lookup'!$C:$C,MATCH(B266,'Metabase Lookup'!$A:$A,0))))</f>
        <v/>
      </c>
      <c r="X266" s="14">
        <f>IF(ISNA(MATCH(B266,'Metabase Lookup'!$A:$A,0)),"",IF(INDEX('Metabase Lookup'!$D:$D,MATCH(B266,'Metabase Lookup'!$A:$A,0))="","",INDEX('Metabase Lookup'!$D:$D,MATCH(B266,'Metabase Lookup'!$A:$A,0))))</f>
        <v/>
      </c>
      <c r="Y266" s="14">
        <f>IF(ISNUMBER(W266),IF(W266&gt;0,"Yes","No"),"Pending")</f>
        <v/>
      </c>
      <c r="Z266" s="14" t="inlineStr">
        <is>
          <t>Multiple route IDs; Driver not identified (OPS account)</t>
        </is>
      </c>
    </row>
    <row r="267">
      <c r="A267" s="14" t="n">
        <v>266</v>
      </c>
      <c r="B267" s="14" t="inlineStr">
        <is>
          <t>STLMY1550348916931018752</t>
        </is>
      </c>
      <c r="C267" s="15" t="inlineStr">
        <is>
          <t>263472661002</t>
        </is>
      </c>
      <c r="D267" s="16" t="n">
        <v>46288.5665162037</v>
      </c>
      <c r="E267" s="17" t="n">
        <v>46288</v>
      </c>
      <c r="F267" s="14" t="inlineStr">
        <is>
          <t>Wed</t>
        </is>
      </c>
      <c r="G267" s="14" t="inlineStr">
        <is>
          <t>Southern</t>
        </is>
      </c>
      <c r="H267" s="14" t="inlineStr">
        <is>
          <t>LKN</t>
        </is>
      </c>
      <c r="I267" s="14" t="inlineStr">
        <is>
          <t>MUA - HR - SYUKRIAHEZAN</t>
        </is>
      </c>
      <c r="J267" s="14" t="inlineStr">
        <is>
          <t>HR (named)</t>
        </is>
      </c>
      <c r="K267" s="14" t="inlineStr">
        <is>
          <t>91868252</t>
        </is>
      </c>
      <c r="L267" s="14" t="n">
        <v>1</v>
      </c>
      <c r="M267" s="14" t="inlineStr">
        <is>
          <t>LM</t>
        </is>
      </c>
      <c r="N267" s="14" t="inlineStr">
        <is>
          <t>Fake Fail</t>
        </is>
      </c>
      <c r="O267" s="14" t="inlineStr">
        <is>
          <t>Call not connected / no response</t>
        </is>
      </c>
      <c r="P267" s="14" t="inlineStr">
        <is>
          <t>Yes</t>
        </is>
      </c>
      <c r="Q267" s="14" t="inlineStr">
        <is>
          <t>No</t>
        </is>
      </c>
      <c r="R267" s="14" t="inlineStr">
        <is>
          <t>POD invalid (Call log not customer number or No responded chat, Not customer location)</t>
        </is>
      </c>
      <c r="S267" s="14" t="inlineStr">
        <is>
          <t>Huzair</t>
        </is>
      </c>
      <c r="T267" s="14">
        <f>COUNTIF($B$2:$B$499,B267)</f>
        <v/>
      </c>
      <c r="U267" s="14">
        <f>COUNTIF($I$2:$I$499,I267)</f>
        <v/>
      </c>
      <c r="V267" s="14">
        <f>IF(ISNA(MATCH(B267,'Metabase Lookup'!$A:$A,0)),"Not found",IF(INDEX('Metabase Lookup'!$B:$B,MATCH(B267,'Metabase Lookup'!$A:$A,0))="","Pending",INDEX('Metabase Lookup'!$B:$B,MATCH(B267,'Metabase Lookup'!$A:$A,0))))</f>
        <v/>
      </c>
      <c r="W267" s="14">
        <f>IF(ISNA(MATCH(B267,'Metabase Lookup'!$A:$A,0)),"Not found",IF(INDEX('Metabase Lookup'!$C:$C,MATCH(B267,'Metabase Lookup'!$A:$A,0))="","Pending",INDEX('Metabase Lookup'!$C:$C,MATCH(B267,'Metabase Lookup'!$A:$A,0))))</f>
        <v/>
      </c>
      <c r="X267" s="14">
        <f>IF(ISNA(MATCH(B267,'Metabase Lookup'!$A:$A,0)),"",IF(INDEX('Metabase Lookup'!$D:$D,MATCH(B267,'Metabase Lookup'!$A:$A,0))="","",INDEX('Metabase Lookup'!$D:$D,MATCH(B267,'Metabase Lookup'!$A:$A,0))))</f>
        <v/>
      </c>
      <c r="Y267" s="14">
        <f>IF(ISNUMBER(W267),IF(W267&gt;0,"Yes","No"),"Pending")</f>
        <v/>
      </c>
      <c r="Z267" s="14" t="inlineStr"/>
    </row>
    <row r="268">
      <c r="A268" s="14" t="n">
        <v>267</v>
      </c>
      <c r="B268" s="14" t="inlineStr">
        <is>
          <t>RYTDB8P4QYWC16W</t>
        </is>
      </c>
      <c r="C268" s="15" t="inlineStr">
        <is>
          <t>267442662669</t>
        </is>
      </c>
      <c r="D268" s="16" t="n">
        <v>46288.56685185185</v>
      </c>
      <c r="E268" s="17" t="n">
        <v>46288</v>
      </c>
      <c r="F268" s="14" t="inlineStr">
        <is>
          <t>Wed</t>
        </is>
      </c>
      <c r="G268" s="14" t="inlineStr">
        <is>
          <t>KV</t>
        </is>
      </c>
      <c r="H268" s="14" t="inlineStr">
        <is>
          <t>PJY</t>
        </is>
      </c>
      <c r="I268" s="14" t="inlineStr">
        <is>
          <t>OPS - PJY</t>
        </is>
      </c>
      <c r="J268" s="14" t="inlineStr">
        <is>
          <t>OPS (generic hub account)</t>
        </is>
      </c>
      <c r="K268" s="14" t="inlineStr">
        <is>
          <t>91868502</t>
        </is>
      </c>
      <c r="L268" s="14" t="n">
        <v>1</v>
      </c>
      <c r="M268" s="14" t="inlineStr">
        <is>
          <t>LM</t>
        </is>
      </c>
      <c r="N268" s="14" t="inlineStr">
        <is>
          <t>Fake Fail</t>
        </is>
      </c>
      <c r="O268" s="14" t="inlineStr">
        <is>
          <t>No call / call log missing</t>
        </is>
      </c>
      <c r="P268" s="14" t="inlineStr">
        <is>
          <t>No</t>
        </is>
      </c>
      <c r="Q268" s="14" t="inlineStr">
        <is>
          <t>No</t>
        </is>
      </c>
      <c r="R268" s="14" t="inlineStr">
        <is>
          <t>No call log provided</t>
        </is>
      </c>
      <c r="S268" s="14" t="inlineStr">
        <is>
          <t>Izzni</t>
        </is>
      </c>
      <c r="T268" s="14">
        <f>COUNTIF($B$2:$B$499,B268)</f>
        <v/>
      </c>
      <c r="U268" s="14">
        <f>COUNTIF($I$2:$I$499,I268)</f>
        <v/>
      </c>
      <c r="V268" s="14">
        <f>IF(ISNA(MATCH(B268,'Metabase Lookup'!$A:$A,0)),"Not found",IF(INDEX('Metabase Lookup'!$B:$B,MATCH(B268,'Metabase Lookup'!$A:$A,0))="","Pending",INDEX('Metabase Lookup'!$B:$B,MATCH(B268,'Metabase Lookup'!$A:$A,0))))</f>
        <v/>
      </c>
      <c r="W268" s="14">
        <f>IF(ISNA(MATCH(B268,'Metabase Lookup'!$A:$A,0)),"Not found",IF(INDEX('Metabase Lookup'!$C:$C,MATCH(B268,'Metabase Lookup'!$A:$A,0))="","Pending",INDEX('Metabase Lookup'!$C:$C,MATCH(B268,'Metabase Lookup'!$A:$A,0))))</f>
        <v/>
      </c>
      <c r="X268" s="14">
        <f>IF(ISNA(MATCH(B268,'Metabase Lookup'!$A:$A,0)),"",IF(INDEX('Metabase Lookup'!$D:$D,MATCH(B268,'Metabase Lookup'!$A:$A,0))="","",INDEX('Metabase Lookup'!$D:$D,MATCH(B268,'Metabase Lookup'!$A:$A,0))))</f>
        <v/>
      </c>
      <c r="Y268" s="14">
        <f>IF(ISNUMBER(W268),IF(W268&gt;0,"Yes","No"),"Pending")</f>
        <v/>
      </c>
      <c r="Z268" s="14" t="inlineStr">
        <is>
          <t>Driver not identified (OPS account)</t>
        </is>
      </c>
    </row>
    <row r="269">
      <c r="A269" s="14" t="n">
        <v>268</v>
      </c>
      <c r="B269" s="14" t="inlineStr">
        <is>
          <t>ZNV217543945-1255</t>
        </is>
      </c>
      <c r="C269" s="15" t="inlineStr">
        <is>
          <t>266082663227</t>
        </is>
      </c>
      <c r="D269" s="16" t="n">
        <v>46288.56829861111</v>
      </c>
      <c r="E269" s="17" t="n">
        <v>46288</v>
      </c>
      <c r="F269" s="14" t="inlineStr">
        <is>
          <t>Wed</t>
        </is>
      </c>
      <c r="G269" s="14" t="inlineStr">
        <is>
          <t>Northern</t>
        </is>
      </c>
      <c r="H269" s="14" t="inlineStr">
        <is>
          <t>SIM</t>
        </is>
      </c>
      <c r="I269" s="14" t="inlineStr">
        <is>
          <t>SIM - ID - ISMAIL</t>
        </is>
      </c>
      <c r="J269" s="14" t="inlineStr">
        <is>
          <t>ID (named driver)</t>
        </is>
      </c>
      <c r="K269" s="14" t="inlineStr">
        <is>
          <t>91869243</t>
        </is>
      </c>
      <c r="L269" s="14" t="n">
        <v>1</v>
      </c>
      <c r="M269" s="14" t="inlineStr">
        <is>
          <t>LM</t>
        </is>
      </c>
      <c r="N269" s="14" t="inlineStr">
        <is>
          <t>Fake Fail</t>
        </is>
      </c>
      <c r="O269" s="14" t="inlineStr">
        <is>
          <t>Call not connected / no response</t>
        </is>
      </c>
      <c r="P269" s="14" t="inlineStr">
        <is>
          <t>Yes</t>
        </is>
      </c>
      <c r="Q269" s="14" t="inlineStr">
        <is>
          <t>No</t>
        </is>
      </c>
      <c r="R269" s="14" t="inlineStr">
        <is>
          <t>POD invalid (No connected call or No responded chat, Not customer location)</t>
        </is>
      </c>
      <c r="S269" s="14" t="inlineStr">
        <is>
          <t>Huzair</t>
        </is>
      </c>
      <c r="T269" s="14">
        <f>COUNTIF($B$2:$B$499,B269)</f>
        <v/>
      </c>
      <c r="U269" s="14">
        <f>COUNTIF($I$2:$I$499,I269)</f>
        <v/>
      </c>
      <c r="V269" s="14">
        <f>IF(ISNA(MATCH(B269,'Metabase Lookup'!$A:$A,0)),"Not found",IF(INDEX('Metabase Lookup'!$B:$B,MATCH(B269,'Metabase Lookup'!$A:$A,0))="","Pending",INDEX('Metabase Lookup'!$B:$B,MATCH(B269,'Metabase Lookup'!$A:$A,0))))</f>
        <v/>
      </c>
      <c r="W269" s="14">
        <f>IF(ISNA(MATCH(B269,'Metabase Lookup'!$A:$A,0)),"Not found",IF(INDEX('Metabase Lookup'!$C:$C,MATCH(B269,'Metabase Lookup'!$A:$A,0))="","Pending",INDEX('Metabase Lookup'!$C:$C,MATCH(B269,'Metabase Lookup'!$A:$A,0))))</f>
        <v/>
      </c>
      <c r="X269" s="14">
        <f>IF(ISNA(MATCH(B269,'Metabase Lookup'!$A:$A,0)),"",IF(INDEX('Metabase Lookup'!$D:$D,MATCH(B269,'Metabase Lookup'!$A:$A,0))="","",INDEX('Metabase Lookup'!$D:$D,MATCH(B269,'Metabase Lookup'!$A:$A,0))))</f>
        <v/>
      </c>
      <c r="Y269" s="14">
        <f>IF(ISNUMBER(W269),IF(W269&gt;0,"Yes","No"),"Pending")</f>
        <v/>
      </c>
      <c r="Z269" s="14" t="inlineStr"/>
    </row>
    <row r="270">
      <c r="A270" s="14" t="n">
        <v>269</v>
      </c>
      <c r="B270" s="14" t="inlineStr">
        <is>
          <t>NVMYONEGA000042873</t>
        </is>
      </c>
      <c r="C270" s="15" t="inlineStr">
        <is>
          <t>268322661086</t>
        </is>
      </c>
      <c r="D270" s="16" t="n">
        <v>46288.56908564815</v>
      </c>
      <c r="E270" s="17" t="n">
        <v>46288</v>
      </c>
      <c r="F270" s="14" t="inlineStr">
        <is>
          <t>Wed</t>
        </is>
      </c>
      <c r="G270" s="14" t="inlineStr">
        <is>
          <t>Southern</t>
        </is>
      </c>
      <c r="H270" s="14" t="inlineStr">
        <is>
          <t>AUS</t>
        </is>
      </c>
      <c r="I270" s="14" t="inlineStr">
        <is>
          <t>OPSAUS</t>
        </is>
      </c>
      <c r="J270" s="14" t="inlineStr">
        <is>
          <t>OPS (generic hub account)</t>
        </is>
      </c>
      <c r="K270" s="14" t="inlineStr">
        <is>
          <t>91852430</t>
        </is>
      </c>
      <c r="L270" s="14" t="n">
        <v>1</v>
      </c>
      <c r="M270" s="14" t="inlineStr">
        <is>
          <t>LM</t>
        </is>
      </c>
      <c r="N270" s="14" t="inlineStr">
        <is>
          <t>Fake Fail</t>
        </is>
      </c>
      <c r="O270" s="14" t="inlineStr">
        <is>
          <t>No call / call log missing</t>
        </is>
      </c>
      <c r="P270" s="14" t="inlineStr">
        <is>
          <t>No</t>
        </is>
      </c>
      <c r="Q270" s="14" t="inlineStr">
        <is>
          <t>Yes</t>
        </is>
      </c>
      <c r="R270" s="14" t="inlineStr">
        <is>
          <t>failed by OPS. Invalid POD no call log attached</t>
        </is>
      </c>
      <c r="S270" s="14" t="inlineStr">
        <is>
          <t>Aimenn Aiyad</t>
        </is>
      </c>
      <c r="T270" s="14">
        <f>COUNTIF($B$2:$B$499,B270)</f>
        <v/>
      </c>
      <c r="U270" s="14">
        <f>COUNTIF($I$2:$I$499,I270)</f>
        <v/>
      </c>
      <c r="V270" s="14">
        <f>IF(ISNA(MATCH(B270,'Metabase Lookup'!$A:$A,0)),"Not found",IF(INDEX('Metabase Lookup'!$B:$B,MATCH(B270,'Metabase Lookup'!$A:$A,0))="","Pending",INDEX('Metabase Lookup'!$B:$B,MATCH(B270,'Metabase Lookup'!$A:$A,0))))</f>
        <v/>
      </c>
      <c r="W270" s="14">
        <f>IF(ISNA(MATCH(B270,'Metabase Lookup'!$A:$A,0)),"Not found",IF(INDEX('Metabase Lookup'!$C:$C,MATCH(B270,'Metabase Lookup'!$A:$A,0))="","Pending",INDEX('Metabase Lookup'!$C:$C,MATCH(B270,'Metabase Lookup'!$A:$A,0))))</f>
        <v/>
      </c>
      <c r="X270" s="14">
        <f>IF(ISNA(MATCH(B270,'Metabase Lookup'!$A:$A,0)),"",IF(INDEX('Metabase Lookup'!$D:$D,MATCH(B270,'Metabase Lookup'!$A:$A,0))="","",INDEX('Metabase Lookup'!$D:$D,MATCH(B270,'Metabase Lookup'!$A:$A,0))))</f>
        <v/>
      </c>
      <c r="Y270" s="14">
        <f>IF(ISNUMBER(W270),IF(W270&gt;0,"Yes","No"),"Pending")</f>
        <v/>
      </c>
      <c r="Z270" s="14" t="inlineStr">
        <is>
          <t>TID logged more than once; Driver not identified (OPS account)</t>
        </is>
      </c>
    </row>
    <row r="271">
      <c r="A271" s="14" t="n">
        <v>270</v>
      </c>
      <c r="B271" s="14" t="inlineStr">
        <is>
          <t>ZNV946826890-4877</t>
        </is>
      </c>
      <c r="C271" s="15" t="inlineStr">
        <is>
          <t>260172646705</t>
        </is>
      </c>
      <c r="D271" s="16" t="n">
        <v>46288.57153935185</v>
      </c>
      <c r="E271" s="17" t="n">
        <v>46288</v>
      </c>
      <c r="F271" s="14" t="inlineStr">
        <is>
          <t>Wed</t>
        </is>
      </c>
      <c r="G271" s="14" t="inlineStr">
        <is>
          <t>KV</t>
        </is>
      </c>
      <c r="H271" s="14" t="inlineStr">
        <is>
          <t>PUC</t>
        </is>
      </c>
      <c r="I271" s="14" t="inlineStr">
        <is>
          <t>PUC - ID - HAIROL</t>
        </is>
      </c>
      <c r="J271" s="14" t="inlineStr">
        <is>
          <t>ID (named driver)</t>
        </is>
      </c>
      <c r="K271" s="14" t="inlineStr">
        <is>
          <t>91844749</t>
        </is>
      </c>
      <c r="L271" s="14" t="n">
        <v>1</v>
      </c>
      <c r="M271" s="14" t="inlineStr">
        <is>
          <t>LM</t>
        </is>
      </c>
      <c r="N271" s="14" t="inlineStr">
        <is>
          <t>Fake Success</t>
        </is>
      </c>
      <c r="O271" s="14" t="inlineStr"/>
      <c r="P271" s="14" t="inlineStr"/>
      <c r="Q271" s="14" t="inlineStr"/>
      <c r="R271" s="14" t="inlineStr">
        <is>
          <t>The parcel has just been received by the cust once the complaint has been raised</t>
        </is>
      </c>
      <c r="S271" s="14" t="inlineStr">
        <is>
          <t>Izzni</t>
        </is>
      </c>
      <c r="T271" s="14">
        <f>COUNTIF($B$2:$B$499,B271)</f>
        <v/>
      </c>
      <c r="U271" s="14">
        <f>COUNTIF($I$2:$I$499,I271)</f>
        <v/>
      </c>
      <c r="V271" s="14">
        <f>IF(ISNA(MATCH(B271,'Metabase Lookup'!$A:$A,0)),"Not found",IF(INDEX('Metabase Lookup'!$B:$B,MATCH(B271,'Metabase Lookup'!$A:$A,0))="","Pending",INDEX('Metabase Lookup'!$B:$B,MATCH(B271,'Metabase Lookup'!$A:$A,0))))</f>
        <v/>
      </c>
      <c r="W271" s="14">
        <f>IF(ISNA(MATCH(B271,'Metabase Lookup'!$A:$A,0)),"Not found",IF(INDEX('Metabase Lookup'!$C:$C,MATCH(B271,'Metabase Lookup'!$A:$A,0))="","Pending",INDEX('Metabase Lookup'!$C:$C,MATCH(B271,'Metabase Lookup'!$A:$A,0))))</f>
        <v/>
      </c>
      <c r="X271" s="14">
        <f>IF(ISNA(MATCH(B271,'Metabase Lookup'!$A:$A,0)),"",IF(INDEX('Metabase Lookup'!$D:$D,MATCH(B271,'Metabase Lookup'!$A:$A,0))="","",INDEX('Metabase Lookup'!$D:$D,MATCH(B271,'Metabase Lookup'!$A:$A,0))))</f>
        <v/>
      </c>
      <c r="Y271" s="14">
        <f>IF(ISNUMBER(W271),IF(W271&gt;0,"Yes","No"),"Pending")</f>
        <v/>
      </c>
      <c r="Z271" s="14" t="inlineStr"/>
    </row>
    <row r="272">
      <c r="A272" s="14" t="n">
        <v>271</v>
      </c>
      <c r="B272" s="14" t="inlineStr">
        <is>
          <t>NVMYNINJA002524047</t>
        </is>
      </c>
      <c r="C272" s="15" t="inlineStr">
        <is>
          <t>267972661818</t>
        </is>
      </c>
      <c r="D272" s="16" t="n">
        <v>46288.58278935185</v>
      </c>
      <c r="E272" s="17" t="n">
        <v>46288</v>
      </c>
      <c r="F272" s="14" t="inlineStr">
        <is>
          <t>Wed</t>
        </is>
      </c>
      <c r="G272" s="14" t="inlineStr">
        <is>
          <t>KV</t>
        </is>
      </c>
      <c r="H272" s="14" t="inlineStr">
        <is>
          <t>RBY</t>
        </is>
      </c>
      <c r="I272" s="14" t="inlineStr">
        <is>
          <t>RBY - ID - AMIRUL AMRI</t>
        </is>
      </c>
      <c r="J272" s="14" t="inlineStr">
        <is>
          <t>ID (named driver)</t>
        </is>
      </c>
      <c r="K272" s="14" t="inlineStr">
        <is>
          <t>91871576</t>
        </is>
      </c>
      <c r="L272" s="14" t="n">
        <v>1</v>
      </c>
      <c r="M272" s="14" t="inlineStr">
        <is>
          <t>LM</t>
        </is>
      </c>
      <c r="N272" s="14" t="inlineStr">
        <is>
          <t>Fake Fail</t>
        </is>
      </c>
      <c r="O272" s="14" t="inlineStr">
        <is>
          <t>No call / call log missing</t>
        </is>
      </c>
      <c r="P272" s="14" t="inlineStr">
        <is>
          <t>No</t>
        </is>
      </c>
      <c r="Q272" s="14" t="inlineStr">
        <is>
          <t>No</t>
        </is>
      </c>
      <c r="R272" s="14" t="inlineStr">
        <is>
          <t>No call log provided</t>
        </is>
      </c>
      <c r="S272" s="14" t="inlineStr">
        <is>
          <t>Izzni</t>
        </is>
      </c>
      <c r="T272" s="14">
        <f>COUNTIF($B$2:$B$499,B272)</f>
        <v/>
      </c>
      <c r="U272" s="14">
        <f>COUNTIF($I$2:$I$499,I272)</f>
        <v/>
      </c>
      <c r="V272" s="14">
        <f>IF(ISNA(MATCH(B272,'Metabase Lookup'!$A:$A,0)),"Not found",IF(INDEX('Metabase Lookup'!$B:$B,MATCH(B272,'Metabase Lookup'!$A:$A,0))="","Pending",INDEX('Metabase Lookup'!$B:$B,MATCH(B272,'Metabase Lookup'!$A:$A,0))))</f>
        <v/>
      </c>
      <c r="W272" s="14">
        <f>IF(ISNA(MATCH(B272,'Metabase Lookup'!$A:$A,0)),"Not found",IF(INDEX('Metabase Lookup'!$C:$C,MATCH(B272,'Metabase Lookup'!$A:$A,0))="","Pending",INDEX('Metabase Lookup'!$C:$C,MATCH(B272,'Metabase Lookup'!$A:$A,0))))</f>
        <v/>
      </c>
      <c r="X272" s="14">
        <f>IF(ISNA(MATCH(B272,'Metabase Lookup'!$A:$A,0)),"",IF(INDEX('Metabase Lookup'!$D:$D,MATCH(B272,'Metabase Lookup'!$A:$A,0))="","",INDEX('Metabase Lookup'!$D:$D,MATCH(B272,'Metabase Lookup'!$A:$A,0))))</f>
        <v/>
      </c>
      <c r="Y272" s="14">
        <f>IF(ISNUMBER(W272),IF(W272&gt;0,"Yes","No"),"Pending")</f>
        <v/>
      </c>
      <c r="Z272" s="14" t="inlineStr">
        <is>
          <t>TID had stray spaces/line breaks (cleaned)</t>
        </is>
      </c>
    </row>
    <row r="273">
      <c r="A273" s="14" t="n">
        <v>272</v>
      </c>
      <c r="B273" s="14" t="inlineStr">
        <is>
          <t>TNGDV2609096877053600</t>
        </is>
      </c>
      <c r="C273" s="15" t="inlineStr">
        <is>
          <t>260812660785</t>
        </is>
      </c>
      <c r="D273" s="16" t="n">
        <v>46288.61730324074</v>
      </c>
      <c r="E273" s="17" t="n">
        <v>46288</v>
      </c>
      <c r="F273" s="14" t="inlineStr">
        <is>
          <t>Wed</t>
        </is>
      </c>
      <c r="G273" s="14" t="inlineStr">
        <is>
          <t>Northern</t>
        </is>
      </c>
      <c r="H273" s="14" t="inlineStr">
        <is>
          <t>GEO</t>
        </is>
      </c>
      <c r="I273" s="14" t="inlineStr">
        <is>
          <t>GEO - OPS - MACALISTER</t>
        </is>
      </c>
      <c r="J273" s="14" t="inlineStr">
        <is>
          <t>OPS (generic hub account)</t>
        </is>
      </c>
      <c r="K273" s="14" t="inlineStr">
        <is>
          <t>91827415</t>
        </is>
      </c>
      <c r="L273" s="14" t="n">
        <v>1</v>
      </c>
      <c r="M273" s="14" t="inlineStr">
        <is>
          <t>LM</t>
        </is>
      </c>
      <c r="N273" s="14" t="inlineStr">
        <is>
          <t>Fake Fail</t>
        </is>
      </c>
      <c r="O273" s="14" t="inlineStr">
        <is>
          <t>Call not connected / no response</t>
        </is>
      </c>
      <c r="P273" s="14" t="inlineStr">
        <is>
          <t>No</t>
        </is>
      </c>
      <c r="Q273" s="14" t="inlineStr">
        <is>
          <t>No</t>
        </is>
      </c>
      <c r="R273" s="14" t="inlineStr">
        <is>
          <t>POD invalid (No connected call or No responded chat)</t>
        </is>
      </c>
      <c r="S273" s="14" t="inlineStr">
        <is>
          <t>Huzair</t>
        </is>
      </c>
      <c r="T273" s="14">
        <f>COUNTIF($B$2:$B$499,B273)</f>
        <v/>
      </c>
      <c r="U273" s="14">
        <f>COUNTIF($I$2:$I$499,I273)</f>
        <v/>
      </c>
      <c r="V273" s="14">
        <f>IF(ISNA(MATCH(B273,'Metabase Lookup'!$A:$A,0)),"Not found",IF(INDEX('Metabase Lookup'!$B:$B,MATCH(B273,'Metabase Lookup'!$A:$A,0))="","Pending",INDEX('Metabase Lookup'!$B:$B,MATCH(B273,'Metabase Lookup'!$A:$A,0))))</f>
        <v/>
      </c>
      <c r="W273" s="14">
        <f>IF(ISNA(MATCH(B273,'Metabase Lookup'!$A:$A,0)),"Not found",IF(INDEX('Metabase Lookup'!$C:$C,MATCH(B273,'Metabase Lookup'!$A:$A,0))="","Pending",INDEX('Metabase Lookup'!$C:$C,MATCH(B273,'Metabase Lookup'!$A:$A,0))))</f>
        <v/>
      </c>
      <c r="X273" s="14">
        <f>IF(ISNA(MATCH(B273,'Metabase Lookup'!$A:$A,0)),"",IF(INDEX('Metabase Lookup'!$D:$D,MATCH(B273,'Metabase Lookup'!$A:$A,0))="","",INDEX('Metabase Lookup'!$D:$D,MATCH(B273,'Metabase Lookup'!$A:$A,0))))</f>
        <v/>
      </c>
      <c r="Y273" s="14">
        <f>IF(ISNUMBER(W273),IF(W273&gt;0,"Yes","No"),"Pending")</f>
        <v/>
      </c>
      <c r="Z273" s="14" t="inlineStr">
        <is>
          <t>Driver not identified (OPS account)</t>
        </is>
      </c>
    </row>
    <row r="274">
      <c r="A274" s="14" t="n">
        <v>273</v>
      </c>
      <c r="B274" s="14" t="inlineStr">
        <is>
          <t>NVMYNINJA002510812</t>
        </is>
      </c>
      <c r="C274" s="15" t="inlineStr">
        <is>
          <t>264172624613</t>
        </is>
      </c>
      <c r="D274" s="16" t="n">
        <v>46288.62778935185</v>
      </c>
      <c r="E274" s="17" t="n">
        <v>46288</v>
      </c>
      <c r="F274" s="14" t="inlineStr">
        <is>
          <t>Wed</t>
        </is>
      </c>
      <c r="G274" s="14" t="inlineStr">
        <is>
          <t>South West</t>
        </is>
      </c>
      <c r="H274" s="14" t="inlineStr">
        <is>
          <t>SBN</t>
        </is>
      </c>
      <c r="I274" s="14" t="inlineStr">
        <is>
          <t>SBN - ID - NAZMI</t>
        </is>
      </c>
      <c r="J274" s="14" t="inlineStr">
        <is>
          <t>ID (named driver)</t>
        </is>
      </c>
      <c r="K274" s="14" t="inlineStr">
        <is>
          <t>91843813</t>
        </is>
      </c>
      <c r="L274" s="14" t="n">
        <v>1</v>
      </c>
      <c r="M274" s="14" t="inlineStr">
        <is>
          <t>LM</t>
        </is>
      </c>
      <c r="N274" s="14" t="inlineStr">
        <is>
          <t>Fake Success</t>
        </is>
      </c>
      <c r="O274" s="14" t="inlineStr"/>
      <c r="P274" s="14" t="inlineStr"/>
      <c r="Q274" s="14" t="inlineStr"/>
      <c r="R274" s="14" t="inlineStr">
        <is>
          <t>Invalid POD wrong TN</t>
        </is>
      </c>
      <c r="S274" s="14" t="inlineStr">
        <is>
          <t>Adid</t>
        </is>
      </c>
      <c r="T274" s="14">
        <f>COUNTIF($B$2:$B$499,B274)</f>
        <v/>
      </c>
      <c r="U274" s="14">
        <f>COUNTIF($I$2:$I$499,I274)</f>
        <v/>
      </c>
      <c r="V274" s="14">
        <f>IF(ISNA(MATCH(B274,'Metabase Lookup'!$A:$A,0)),"Not found",IF(INDEX('Metabase Lookup'!$B:$B,MATCH(B274,'Metabase Lookup'!$A:$A,0))="","Pending",INDEX('Metabase Lookup'!$B:$B,MATCH(B274,'Metabase Lookup'!$A:$A,0))))</f>
        <v/>
      </c>
      <c r="W274" s="14">
        <f>IF(ISNA(MATCH(B274,'Metabase Lookup'!$A:$A,0)),"Not found",IF(INDEX('Metabase Lookup'!$C:$C,MATCH(B274,'Metabase Lookup'!$A:$A,0))="","Pending",INDEX('Metabase Lookup'!$C:$C,MATCH(B274,'Metabase Lookup'!$A:$A,0))))</f>
        <v/>
      </c>
      <c r="X274" s="14">
        <f>IF(ISNA(MATCH(B274,'Metabase Lookup'!$A:$A,0)),"",IF(INDEX('Metabase Lookup'!$D:$D,MATCH(B274,'Metabase Lookup'!$A:$A,0))="","",INDEX('Metabase Lookup'!$D:$D,MATCH(B274,'Metabase Lookup'!$A:$A,0))))</f>
        <v/>
      </c>
      <c r="Y274" s="14">
        <f>IF(ISNUMBER(W274),IF(W274&gt;0,"Yes","No"),"Pending")</f>
        <v/>
      </c>
      <c r="Z274" s="14" t="inlineStr"/>
    </row>
    <row r="275">
      <c r="A275" s="14" t="n">
        <v>274</v>
      </c>
      <c r="B275" s="14" t="inlineStr">
        <is>
          <t>NVMYTRADE014223243</t>
        </is>
      </c>
      <c r="C275" s="15" t="inlineStr">
        <is>
          <t>260242666931</t>
        </is>
      </c>
      <c r="D275" s="16" t="n">
        <v>46288.62861111111</v>
      </c>
      <c r="E275" s="17" t="n">
        <v>46288</v>
      </c>
      <c r="F275" s="14" t="inlineStr">
        <is>
          <t>Wed</t>
        </is>
      </c>
      <c r="G275" s="14" t="inlineStr">
        <is>
          <t>Southern</t>
        </is>
      </c>
      <c r="H275" s="14" t="inlineStr">
        <is>
          <t>KLI</t>
        </is>
      </c>
      <c r="I275" s="14" t="inlineStr">
        <is>
          <t>OPS - KULAI</t>
        </is>
      </c>
      <c r="J275" s="14" t="inlineStr">
        <is>
          <t>OPS (generic hub account)</t>
        </is>
      </c>
      <c r="K275" s="14" t="inlineStr">
        <is>
          <t>91864958</t>
        </is>
      </c>
      <c r="L275" s="14" t="n">
        <v>1</v>
      </c>
      <c r="M275" s="14" t="inlineStr">
        <is>
          <t>LM</t>
        </is>
      </c>
      <c r="N275" s="14" t="inlineStr">
        <is>
          <t>Fake Fail</t>
        </is>
      </c>
      <c r="O275" s="14" t="inlineStr">
        <is>
          <t>Call not connected / no response</t>
        </is>
      </c>
      <c r="P275" s="14" t="inlineStr">
        <is>
          <t>No</t>
        </is>
      </c>
      <c r="Q275" s="14" t="inlineStr">
        <is>
          <t>No</t>
        </is>
      </c>
      <c r="R275" s="14" t="inlineStr">
        <is>
          <t>POD invalid (No connected call or No responded chat)</t>
        </is>
      </c>
      <c r="S275" s="14" t="inlineStr">
        <is>
          <t>Huzair</t>
        </is>
      </c>
      <c r="T275" s="14">
        <f>COUNTIF($B$2:$B$499,B275)</f>
        <v/>
      </c>
      <c r="U275" s="14">
        <f>COUNTIF($I$2:$I$499,I275)</f>
        <v/>
      </c>
      <c r="V275" s="14">
        <f>IF(ISNA(MATCH(B275,'Metabase Lookup'!$A:$A,0)),"Not found",IF(INDEX('Metabase Lookup'!$B:$B,MATCH(B275,'Metabase Lookup'!$A:$A,0))="","Pending",INDEX('Metabase Lookup'!$B:$B,MATCH(B275,'Metabase Lookup'!$A:$A,0))))</f>
        <v/>
      </c>
      <c r="W275" s="14">
        <f>IF(ISNA(MATCH(B275,'Metabase Lookup'!$A:$A,0)),"Not found",IF(INDEX('Metabase Lookup'!$C:$C,MATCH(B275,'Metabase Lookup'!$A:$A,0))="","Pending",INDEX('Metabase Lookup'!$C:$C,MATCH(B275,'Metabase Lookup'!$A:$A,0))))</f>
        <v/>
      </c>
      <c r="X275" s="14">
        <f>IF(ISNA(MATCH(B275,'Metabase Lookup'!$A:$A,0)),"",IF(INDEX('Metabase Lookup'!$D:$D,MATCH(B275,'Metabase Lookup'!$A:$A,0))="","",INDEX('Metabase Lookup'!$D:$D,MATCH(B275,'Metabase Lookup'!$A:$A,0))))</f>
        <v/>
      </c>
      <c r="Y275" s="14">
        <f>IF(ISNUMBER(W275),IF(W275&gt;0,"Yes","No"),"Pending")</f>
        <v/>
      </c>
      <c r="Z275" s="14" t="inlineStr">
        <is>
          <t>Driver not identified (OPS account)</t>
        </is>
      </c>
    </row>
    <row r="276">
      <c r="A276" s="14" t="n">
        <v>275</v>
      </c>
      <c r="B276" s="14" t="inlineStr">
        <is>
          <t>NVMYPZXMS000048159</t>
        </is>
      </c>
      <c r="C276" s="15" t="inlineStr">
        <is>
          <t>269002662089</t>
        </is>
      </c>
      <c r="D276" s="16" t="n">
        <v>46288.63371527778</v>
      </c>
      <c r="E276" s="17" t="n">
        <v>46288</v>
      </c>
      <c r="F276" s="14" t="inlineStr">
        <is>
          <t>Wed</t>
        </is>
      </c>
      <c r="G276" s="14" t="inlineStr">
        <is>
          <t>KV</t>
        </is>
      </c>
      <c r="H276" s="14" t="inlineStr">
        <is>
          <t>PJY</t>
        </is>
      </c>
      <c r="I276" s="14" t="inlineStr">
        <is>
          <t>OPS - PJY</t>
        </is>
      </c>
      <c r="J276" s="14" t="inlineStr">
        <is>
          <t>OPS (generic hub account)</t>
        </is>
      </c>
      <c r="K276" s="14" t="inlineStr">
        <is>
          <t>91849516</t>
        </is>
      </c>
      <c r="L276" s="14" t="n">
        <v>1</v>
      </c>
      <c r="M276" s="14" t="inlineStr">
        <is>
          <t>LM</t>
        </is>
      </c>
      <c r="N276" s="14" t="inlineStr">
        <is>
          <t>Fake Fail</t>
        </is>
      </c>
      <c r="O276" s="14" t="inlineStr">
        <is>
          <t>Call not connected / no response</t>
        </is>
      </c>
      <c r="P276" s="14" t="inlineStr">
        <is>
          <t>No</t>
        </is>
      </c>
      <c r="Q276" s="14" t="inlineStr">
        <is>
          <t>No</t>
        </is>
      </c>
      <c r="R276" s="14" t="inlineStr">
        <is>
          <t>POD invalid (No connected call or No responded chat)</t>
        </is>
      </c>
      <c r="S276" s="14" t="inlineStr">
        <is>
          <t>Huzair</t>
        </is>
      </c>
      <c r="T276" s="14">
        <f>COUNTIF($B$2:$B$499,B276)</f>
        <v/>
      </c>
      <c r="U276" s="14">
        <f>COUNTIF($I$2:$I$499,I276)</f>
        <v/>
      </c>
      <c r="V276" s="14">
        <f>IF(ISNA(MATCH(B276,'Metabase Lookup'!$A:$A,0)),"Not found",IF(INDEX('Metabase Lookup'!$B:$B,MATCH(B276,'Metabase Lookup'!$A:$A,0))="","Pending",INDEX('Metabase Lookup'!$B:$B,MATCH(B276,'Metabase Lookup'!$A:$A,0))))</f>
        <v/>
      </c>
      <c r="W276" s="14">
        <f>IF(ISNA(MATCH(B276,'Metabase Lookup'!$A:$A,0)),"Not found",IF(INDEX('Metabase Lookup'!$C:$C,MATCH(B276,'Metabase Lookup'!$A:$A,0))="","Pending",INDEX('Metabase Lookup'!$C:$C,MATCH(B276,'Metabase Lookup'!$A:$A,0))))</f>
        <v/>
      </c>
      <c r="X276" s="14">
        <f>IF(ISNA(MATCH(B276,'Metabase Lookup'!$A:$A,0)),"",IF(INDEX('Metabase Lookup'!$D:$D,MATCH(B276,'Metabase Lookup'!$A:$A,0))="","",INDEX('Metabase Lookup'!$D:$D,MATCH(B276,'Metabase Lookup'!$A:$A,0))))</f>
        <v/>
      </c>
      <c r="Y276" s="14">
        <f>IF(ISNUMBER(W276),IF(W276&gt;0,"Yes","No"),"Pending")</f>
        <v/>
      </c>
      <c r="Z276" s="14" t="inlineStr">
        <is>
          <t>Possible double entry (&lt;60 min); Driver not identified (OPS account)</t>
        </is>
      </c>
    </row>
    <row r="277">
      <c r="A277" s="14" t="n">
        <v>276</v>
      </c>
      <c r="B277" s="14" t="inlineStr">
        <is>
          <t>NVMYPZXMS000048159</t>
        </is>
      </c>
      <c r="C277" s="15" t="inlineStr">
        <is>
          <t>269002662089</t>
        </is>
      </c>
      <c r="D277" s="16" t="n">
        <v>46288.63410879629</v>
      </c>
      <c r="E277" s="17" t="n">
        <v>46288</v>
      </c>
      <c r="F277" s="14" t="inlineStr">
        <is>
          <t>Wed</t>
        </is>
      </c>
      <c r="G277" s="14" t="inlineStr">
        <is>
          <t>KV</t>
        </is>
      </c>
      <c r="H277" s="14" t="inlineStr">
        <is>
          <t>PJY</t>
        </is>
      </c>
      <c r="I277" s="14" t="inlineStr">
        <is>
          <t>PJY - HD - RAZIQIN</t>
        </is>
      </c>
      <c r="J277" s="14" t="inlineStr">
        <is>
          <t>HD (named)</t>
        </is>
      </c>
      <c r="K277" s="14" t="inlineStr">
        <is>
          <t>91859575, 91868411</t>
        </is>
      </c>
      <c r="L277" s="14" t="n">
        <v>2</v>
      </c>
      <c r="M277" s="14" t="inlineStr">
        <is>
          <t>LM</t>
        </is>
      </c>
      <c r="N277" s="14" t="inlineStr">
        <is>
          <t>Fake Fail</t>
        </is>
      </c>
      <c r="O277" s="14" t="inlineStr">
        <is>
          <t>Call not connected / no response</t>
        </is>
      </c>
      <c r="P277" s="14" t="inlineStr">
        <is>
          <t>Yes</t>
        </is>
      </c>
      <c r="Q277" s="14" t="inlineStr">
        <is>
          <t>No</t>
        </is>
      </c>
      <c r="R277" s="14" t="inlineStr">
        <is>
          <t>POD invalid (No connected call or No responded chat, No unique identifier of the location)</t>
        </is>
      </c>
      <c r="S277" s="14" t="inlineStr">
        <is>
          <t>Huzair</t>
        </is>
      </c>
      <c r="T277" s="14">
        <f>COUNTIF($B$2:$B$499,B277)</f>
        <v/>
      </c>
      <c r="U277" s="14">
        <f>COUNTIF($I$2:$I$499,I277)</f>
        <v/>
      </c>
      <c r="V277" s="14">
        <f>IF(ISNA(MATCH(B277,'Metabase Lookup'!$A:$A,0)),"Not found",IF(INDEX('Metabase Lookup'!$B:$B,MATCH(B277,'Metabase Lookup'!$A:$A,0))="","Pending",INDEX('Metabase Lookup'!$B:$B,MATCH(B277,'Metabase Lookup'!$A:$A,0))))</f>
        <v/>
      </c>
      <c r="W277" s="14">
        <f>IF(ISNA(MATCH(B277,'Metabase Lookup'!$A:$A,0)),"Not found",IF(INDEX('Metabase Lookup'!$C:$C,MATCH(B277,'Metabase Lookup'!$A:$A,0))="","Pending",INDEX('Metabase Lookup'!$C:$C,MATCH(B277,'Metabase Lookup'!$A:$A,0))))</f>
        <v/>
      </c>
      <c r="X277" s="14">
        <f>IF(ISNA(MATCH(B277,'Metabase Lookup'!$A:$A,0)),"",IF(INDEX('Metabase Lookup'!$D:$D,MATCH(B277,'Metabase Lookup'!$A:$A,0))="","",INDEX('Metabase Lookup'!$D:$D,MATCH(B277,'Metabase Lookup'!$A:$A,0))))</f>
        <v/>
      </c>
      <c r="Y277" s="14">
        <f>IF(ISNUMBER(W277),IF(W277&gt;0,"Yes","No"),"Pending")</f>
        <v/>
      </c>
      <c r="Z277" s="14" t="inlineStr">
        <is>
          <t>Possible double entry (&lt;60 min); Multiple route IDs</t>
        </is>
      </c>
    </row>
    <row r="278">
      <c r="A278" s="14" t="n">
        <v>277</v>
      </c>
      <c r="B278" s="14" t="inlineStr">
        <is>
          <t>LSGMY5908395</t>
        </is>
      </c>
      <c r="C278" s="15" t="inlineStr">
        <is>
          <t>268622662354</t>
        </is>
      </c>
      <c r="D278" s="16" t="n">
        <v>46288.64628472222</v>
      </c>
      <c r="E278" s="17" t="n">
        <v>46288</v>
      </c>
      <c r="F278" s="14" t="inlineStr">
        <is>
          <t>Wed</t>
        </is>
      </c>
      <c r="G278" s="14" t="inlineStr">
        <is>
          <t>KV</t>
        </is>
      </c>
      <c r="H278" s="14" t="inlineStr">
        <is>
          <t>PJY</t>
        </is>
      </c>
      <c r="I278" s="14" t="inlineStr">
        <is>
          <t>OPS - PJY</t>
        </is>
      </c>
      <c r="J278" s="14" t="inlineStr">
        <is>
          <t>OPS (generic hub account)</t>
        </is>
      </c>
      <c r="K278" s="14" t="inlineStr">
        <is>
          <t>91868502</t>
        </is>
      </c>
      <c r="L278" s="14" t="n">
        <v>1</v>
      </c>
      <c r="M278" s="14" t="inlineStr">
        <is>
          <t>LM</t>
        </is>
      </c>
      <c r="N278" s="14" t="inlineStr">
        <is>
          <t>Fake Fail</t>
        </is>
      </c>
      <c r="O278" s="14" t="inlineStr">
        <is>
          <t>Call not connected / no response</t>
        </is>
      </c>
      <c r="P278" s="14" t="inlineStr">
        <is>
          <t>No</t>
        </is>
      </c>
      <c r="Q278" s="14" t="inlineStr">
        <is>
          <t>No</t>
        </is>
      </c>
      <c r="R278" s="14" t="inlineStr">
        <is>
          <t>POD invalid (No connected call or No responded chat)</t>
        </is>
      </c>
      <c r="S278" s="14" t="inlineStr">
        <is>
          <t>Huzair</t>
        </is>
      </c>
      <c r="T278" s="14">
        <f>COUNTIF($B$2:$B$499,B278)</f>
        <v/>
      </c>
      <c r="U278" s="14">
        <f>COUNTIF($I$2:$I$499,I278)</f>
        <v/>
      </c>
      <c r="V278" s="14">
        <f>IF(ISNA(MATCH(B278,'Metabase Lookup'!$A:$A,0)),"Not found",IF(INDEX('Metabase Lookup'!$B:$B,MATCH(B278,'Metabase Lookup'!$A:$A,0))="","Pending",INDEX('Metabase Lookup'!$B:$B,MATCH(B278,'Metabase Lookup'!$A:$A,0))))</f>
        <v/>
      </c>
      <c r="W278" s="14">
        <f>IF(ISNA(MATCH(B278,'Metabase Lookup'!$A:$A,0)),"Not found",IF(INDEX('Metabase Lookup'!$C:$C,MATCH(B278,'Metabase Lookup'!$A:$A,0))="","Pending",INDEX('Metabase Lookup'!$C:$C,MATCH(B278,'Metabase Lookup'!$A:$A,0))))</f>
        <v/>
      </c>
      <c r="X278" s="14">
        <f>IF(ISNA(MATCH(B278,'Metabase Lookup'!$A:$A,0)),"",IF(INDEX('Metabase Lookup'!$D:$D,MATCH(B278,'Metabase Lookup'!$A:$A,0))="","",INDEX('Metabase Lookup'!$D:$D,MATCH(B278,'Metabase Lookup'!$A:$A,0))))</f>
        <v/>
      </c>
      <c r="Y278" s="14">
        <f>IF(ISNUMBER(W278),IF(W278&gt;0,"Yes","No"),"Pending")</f>
        <v/>
      </c>
      <c r="Z278" s="14" t="inlineStr">
        <is>
          <t>Driver not identified (OPS account)</t>
        </is>
      </c>
    </row>
    <row r="279">
      <c r="A279" s="14" t="n">
        <v>278</v>
      </c>
      <c r="B279" s="14" t="inlineStr">
        <is>
          <t>TNGEO202609131001256129</t>
        </is>
      </c>
      <c r="C279" s="15" t="inlineStr">
        <is>
          <t>264562667867</t>
        </is>
      </c>
      <c r="D279" s="16" t="n">
        <v>46288.64946759259</v>
      </c>
      <c r="E279" s="17" t="n">
        <v>46288</v>
      </c>
      <c r="F279" s="14" t="inlineStr">
        <is>
          <t>Wed</t>
        </is>
      </c>
      <c r="G279" s="14" t="inlineStr">
        <is>
          <t>Southern</t>
        </is>
      </c>
      <c r="H279" s="14" t="inlineStr">
        <is>
          <t>GLG</t>
        </is>
      </c>
      <c r="I279" s="14" t="inlineStr">
        <is>
          <t>GLG - ID - AHMAD ARSYHAD</t>
        </is>
      </c>
      <c r="J279" s="14" t="inlineStr">
        <is>
          <t>ID (named driver)</t>
        </is>
      </c>
      <c r="K279" s="14" t="inlineStr">
        <is>
          <t>91864569</t>
        </is>
      </c>
      <c r="L279" s="14" t="n">
        <v>1</v>
      </c>
      <c r="M279" s="14" t="inlineStr">
        <is>
          <t>LM</t>
        </is>
      </c>
      <c r="N279" s="14" t="inlineStr">
        <is>
          <t>Fake Fail</t>
        </is>
      </c>
      <c r="O279" s="14" t="inlineStr">
        <is>
          <t>No call / call log missing</t>
        </is>
      </c>
      <c r="P279" s="14" t="inlineStr">
        <is>
          <t>No</t>
        </is>
      </c>
      <c r="Q279" s="14" t="inlineStr">
        <is>
          <t>No</t>
        </is>
      </c>
      <c r="R279" s="14" t="inlineStr">
        <is>
          <t>POD invalid (No 3 attempt call with different times, No connected call)</t>
        </is>
      </c>
      <c r="S279" s="14" t="inlineStr">
        <is>
          <t>Huzair</t>
        </is>
      </c>
      <c r="T279" s="14">
        <f>COUNTIF($B$2:$B$499,B279)</f>
        <v/>
      </c>
      <c r="U279" s="14">
        <f>COUNTIF($I$2:$I$499,I279)</f>
        <v/>
      </c>
      <c r="V279" s="14">
        <f>IF(ISNA(MATCH(B279,'Metabase Lookup'!$A:$A,0)),"Not found",IF(INDEX('Metabase Lookup'!$B:$B,MATCH(B279,'Metabase Lookup'!$A:$A,0))="","Pending",INDEX('Metabase Lookup'!$B:$B,MATCH(B279,'Metabase Lookup'!$A:$A,0))))</f>
        <v/>
      </c>
      <c r="W279" s="14">
        <f>IF(ISNA(MATCH(B279,'Metabase Lookup'!$A:$A,0)),"Not found",IF(INDEX('Metabase Lookup'!$C:$C,MATCH(B279,'Metabase Lookup'!$A:$A,0))="","Pending",INDEX('Metabase Lookup'!$C:$C,MATCH(B279,'Metabase Lookup'!$A:$A,0))))</f>
        <v/>
      </c>
      <c r="X279" s="14">
        <f>IF(ISNA(MATCH(B279,'Metabase Lookup'!$A:$A,0)),"",IF(INDEX('Metabase Lookup'!$D:$D,MATCH(B279,'Metabase Lookup'!$A:$A,0))="","",INDEX('Metabase Lookup'!$D:$D,MATCH(B279,'Metabase Lookup'!$A:$A,0))))</f>
        <v/>
      </c>
      <c r="Y279" s="14">
        <f>IF(ISNUMBER(W279),IF(W279&gt;0,"Yes","No"),"Pending")</f>
        <v/>
      </c>
      <c r="Z279" s="14" t="inlineStr"/>
    </row>
    <row r="280">
      <c r="A280" s="14" t="n">
        <v>279</v>
      </c>
      <c r="B280" s="14" t="inlineStr">
        <is>
          <t>NVMYSMR88SM6855765</t>
        </is>
      </c>
      <c r="C280" s="15" t="inlineStr">
        <is>
          <t>267312664779</t>
        </is>
      </c>
      <c r="D280" s="16" t="n">
        <v>46288.65011574074</v>
      </c>
      <c r="E280" s="17" t="n">
        <v>46288</v>
      </c>
      <c r="F280" s="14" t="inlineStr">
        <is>
          <t>Wed</t>
        </is>
      </c>
      <c r="G280" s="14" t="inlineStr">
        <is>
          <t>Northern</t>
        </is>
      </c>
      <c r="H280" s="14" t="inlineStr">
        <is>
          <t>AOR</t>
        </is>
      </c>
      <c r="I280" s="14" t="inlineStr">
        <is>
          <t>AOR - OPS - HAFIZ</t>
        </is>
      </c>
      <c r="J280" s="14" t="inlineStr">
        <is>
          <t>OPS (generic hub account)</t>
        </is>
      </c>
      <c r="K280" s="14" t="inlineStr">
        <is>
          <t>91860734</t>
        </is>
      </c>
      <c r="L280" s="14" t="n">
        <v>1</v>
      </c>
      <c r="M280" s="14" t="inlineStr">
        <is>
          <t>LM</t>
        </is>
      </c>
      <c r="N280" s="14" t="inlineStr">
        <is>
          <t>Fake Fail</t>
        </is>
      </c>
      <c r="O280" s="14" t="inlineStr">
        <is>
          <t>Call not connected / no response</t>
        </is>
      </c>
      <c r="P280" s="14" t="inlineStr">
        <is>
          <t>No</t>
        </is>
      </c>
      <c r="Q280" s="14" t="inlineStr">
        <is>
          <t>No</t>
        </is>
      </c>
      <c r="R280" s="14" t="inlineStr">
        <is>
          <t>Call log provided is not connected</t>
        </is>
      </c>
      <c r="S280" s="14" t="inlineStr">
        <is>
          <t>Izzni</t>
        </is>
      </c>
      <c r="T280" s="14">
        <f>COUNTIF($B$2:$B$499,B280)</f>
        <v/>
      </c>
      <c r="U280" s="14">
        <f>COUNTIF($I$2:$I$499,I280)</f>
        <v/>
      </c>
      <c r="V280" s="14">
        <f>IF(ISNA(MATCH(B280,'Metabase Lookup'!$A:$A,0)),"Not found",IF(INDEX('Metabase Lookup'!$B:$B,MATCH(B280,'Metabase Lookup'!$A:$A,0))="","Pending",INDEX('Metabase Lookup'!$B:$B,MATCH(B280,'Metabase Lookup'!$A:$A,0))))</f>
        <v/>
      </c>
      <c r="W280" s="14">
        <f>IF(ISNA(MATCH(B280,'Metabase Lookup'!$A:$A,0)),"Not found",IF(INDEX('Metabase Lookup'!$C:$C,MATCH(B280,'Metabase Lookup'!$A:$A,0))="","Pending",INDEX('Metabase Lookup'!$C:$C,MATCH(B280,'Metabase Lookup'!$A:$A,0))))</f>
        <v/>
      </c>
      <c r="X280" s="14">
        <f>IF(ISNA(MATCH(B280,'Metabase Lookup'!$A:$A,0)),"",IF(INDEX('Metabase Lookup'!$D:$D,MATCH(B280,'Metabase Lookup'!$A:$A,0))="","",INDEX('Metabase Lookup'!$D:$D,MATCH(B280,'Metabase Lookup'!$A:$A,0))))</f>
        <v/>
      </c>
      <c r="Y280" s="14">
        <f>IF(ISNUMBER(W280),IF(W280&gt;0,"Yes","No"),"Pending")</f>
        <v/>
      </c>
      <c r="Z280" s="14" t="inlineStr">
        <is>
          <t>Driver not identified (OPS account)</t>
        </is>
      </c>
    </row>
    <row r="281">
      <c r="A281" s="14" t="n">
        <v>280</v>
      </c>
      <c r="B281" s="14" t="inlineStr">
        <is>
          <t>TNGSB126037180372543000</t>
        </is>
      </c>
      <c r="C281" s="15" t="inlineStr">
        <is>
          <t>264562667867</t>
        </is>
      </c>
      <c r="D281" s="16" t="n">
        <v>46288.65012731482</v>
      </c>
      <c r="E281" s="17" t="n">
        <v>46288</v>
      </c>
      <c r="F281" s="14" t="inlineStr">
        <is>
          <t>Wed</t>
        </is>
      </c>
      <c r="G281" s="14" t="inlineStr">
        <is>
          <t>Southern</t>
        </is>
      </c>
      <c r="H281" s="14" t="inlineStr">
        <is>
          <t>GLG</t>
        </is>
      </c>
      <c r="I281" s="14" t="inlineStr">
        <is>
          <t>OPS - NSJ</t>
        </is>
      </c>
      <c r="J281" s="14" t="inlineStr">
        <is>
          <t>OPS (generic hub account)</t>
        </is>
      </c>
      <c r="K281" s="14" t="inlineStr">
        <is>
          <t>91865830</t>
        </is>
      </c>
      <c r="L281" s="14" t="n">
        <v>1</v>
      </c>
      <c r="M281" s="14" t="inlineStr">
        <is>
          <t>LM</t>
        </is>
      </c>
      <c r="N281" s="14" t="inlineStr">
        <is>
          <t>Fake Fail</t>
        </is>
      </c>
      <c r="O281" s="14" t="inlineStr">
        <is>
          <t>No call / call log missing</t>
        </is>
      </c>
      <c r="P281" s="14" t="inlineStr">
        <is>
          <t>No</t>
        </is>
      </c>
      <c r="Q281" s="14" t="inlineStr">
        <is>
          <t>No</t>
        </is>
      </c>
      <c r="R281" s="14" t="inlineStr">
        <is>
          <t>POD invalid (No 3 attempt call with different times, No connected call)</t>
        </is>
      </c>
      <c r="S281" s="14" t="inlineStr">
        <is>
          <t>Huzair</t>
        </is>
      </c>
      <c r="T281" s="14">
        <f>COUNTIF($B$2:$B$499,B281)</f>
        <v/>
      </c>
      <c r="U281" s="14">
        <f>COUNTIF($I$2:$I$499,I281)</f>
        <v/>
      </c>
      <c r="V281" s="14">
        <f>IF(ISNA(MATCH(B281,'Metabase Lookup'!$A:$A,0)),"Not found",IF(INDEX('Metabase Lookup'!$B:$B,MATCH(B281,'Metabase Lookup'!$A:$A,0))="","Pending",INDEX('Metabase Lookup'!$B:$B,MATCH(B281,'Metabase Lookup'!$A:$A,0))))</f>
        <v/>
      </c>
      <c r="W281" s="14">
        <f>IF(ISNA(MATCH(B281,'Metabase Lookup'!$A:$A,0)),"Not found",IF(INDEX('Metabase Lookup'!$C:$C,MATCH(B281,'Metabase Lookup'!$A:$A,0))="","Pending",INDEX('Metabase Lookup'!$C:$C,MATCH(B281,'Metabase Lookup'!$A:$A,0))))</f>
        <v/>
      </c>
      <c r="X281" s="14">
        <f>IF(ISNA(MATCH(B281,'Metabase Lookup'!$A:$A,0)),"",IF(INDEX('Metabase Lookup'!$D:$D,MATCH(B281,'Metabase Lookup'!$A:$A,0))="","",INDEX('Metabase Lookup'!$D:$D,MATCH(B281,'Metabase Lookup'!$A:$A,0))))</f>
        <v/>
      </c>
      <c r="Y281" s="14">
        <f>IF(ISNUMBER(W281),IF(W281&gt;0,"Yes","No"),"Pending")</f>
        <v/>
      </c>
      <c r="Z281" s="14" t="inlineStr">
        <is>
          <t>Driver not identified (OPS account)</t>
        </is>
      </c>
    </row>
    <row r="282">
      <c r="A282" s="14" t="n">
        <v>281</v>
      </c>
      <c r="B282" s="14" t="inlineStr">
        <is>
          <t>TNGEO202609161001258530</t>
        </is>
      </c>
      <c r="C282" s="15" t="inlineStr">
        <is>
          <t>268172663091</t>
        </is>
      </c>
      <c r="D282" s="16" t="n">
        <v>46288.65072916666</v>
      </c>
      <c r="E282" s="17" t="n">
        <v>46288</v>
      </c>
      <c r="F282" s="14" t="inlineStr">
        <is>
          <t>Wed</t>
        </is>
      </c>
      <c r="G282" s="14" t="inlineStr">
        <is>
          <t>KV</t>
        </is>
      </c>
      <c r="H282" s="14" t="inlineStr">
        <is>
          <t>PJY</t>
        </is>
      </c>
      <c r="I282" s="14" t="inlineStr">
        <is>
          <t>OPS - PJY</t>
        </is>
      </c>
      <c r="J282" s="14" t="inlineStr">
        <is>
          <t>OPS (generic hub account)</t>
        </is>
      </c>
      <c r="K282" s="14" t="inlineStr">
        <is>
          <t>91868502</t>
        </is>
      </c>
      <c r="L282" s="14" t="n">
        <v>1</v>
      </c>
      <c r="M282" s="14" t="inlineStr">
        <is>
          <t>LM</t>
        </is>
      </c>
      <c r="N282" s="14" t="inlineStr">
        <is>
          <t>Fake Fail</t>
        </is>
      </c>
      <c r="O282" s="14" t="inlineStr">
        <is>
          <t>No call / call log missing</t>
        </is>
      </c>
      <c r="P282" s="14" t="inlineStr">
        <is>
          <t>No</t>
        </is>
      </c>
      <c r="Q282" s="14" t="inlineStr">
        <is>
          <t>No</t>
        </is>
      </c>
      <c r="R282" s="14" t="inlineStr">
        <is>
          <t>No call log/Whatsapp provided</t>
        </is>
      </c>
      <c r="S282" s="14" t="inlineStr">
        <is>
          <t>Izzni</t>
        </is>
      </c>
      <c r="T282" s="14">
        <f>COUNTIF($B$2:$B$499,B282)</f>
        <v/>
      </c>
      <c r="U282" s="14">
        <f>COUNTIF($I$2:$I$499,I282)</f>
        <v/>
      </c>
      <c r="V282" s="14">
        <f>IF(ISNA(MATCH(B282,'Metabase Lookup'!$A:$A,0)),"Not found",IF(INDEX('Metabase Lookup'!$B:$B,MATCH(B282,'Metabase Lookup'!$A:$A,0))="","Pending",INDEX('Metabase Lookup'!$B:$B,MATCH(B282,'Metabase Lookup'!$A:$A,0))))</f>
        <v/>
      </c>
      <c r="W282" s="14">
        <f>IF(ISNA(MATCH(B282,'Metabase Lookup'!$A:$A,0)),"Not found",IF(INDEX('Metabase Lookup'!$C:$C,MATCH(B282,'Metabase Lookup'!$A:$A,0))="","Pending",INDEX('Metabase Lookup'!$C:$C,MATCH(B282,'Metabase Lookup'!$A:$A,0))))</f>
        <v/>
      </c>
      <c r="X282" s="14">
        <f>IF(ISNA(MATCH(B282,'Metabase Lookup'!$A:$A,0)),"",IF(INDEX('Metabase Lookup'!$D:$D,MATCH(B282,'Metabase Lookup'!$A:$A,0))="","",INDEX('Metabase Lookup'!$D:$D,MATCH(B282,'Metabase Lookup'!$A:$A,0))))</f>
        <v/>
      </c>
      <c r="Y282" s="14">
        <f>IF(ISNUMBER(W282),IF(W282&gt;0,"Yes","No"),"Pending")</f>
        <v/>
      </c>
      <c r="Z282" s="14" t="inlineStr">
        <is>
          <t>Driver not identified (OPS account)</t>
        </is>
      </c>
    </row>
    <row r="283">
      <c r="A283" s="14" t="n">
        <v>282</v>
      </c>
      <c r="B283" s="14" t="inlineStr">
        <is>
          <t>ZNV217481945-2866</t>
        </is>
      </c>
      <c r="C283" s="15" t="inlineStr">
        <is>
          <t>262802668596</t>
        </is>
      </c>
      <c r="D283" s="16" t="n">
        <v>46288.68071759259</v>
      </c>
      <c r="E283" s="17" t="n">
        <v>46288</v>
      </c>
      <c r="F283" s="14" t="inlineStr">
        <is>
          <t>Wed</t>
        </is>
      </c>
      <c r="G283" s="14" t="inlineStr">
        <is>
          <t>Southern</t>
        </is>
      </c>
      <c r="H283" s="14" t="inlineStr">
        <is>
          <t>GLG</t>
        </is>
      </c>
      <c r="I283" s="14" t="inlineStr">
        <is>
          <t>GLG - OPS - ENGKU</t>
        </is>
      </c>
      <c r="J283" s="14" t="inlineStr">
        <is>
          <t>OPS (generic hub account)</t>
        </is>
      </c>
      <c r="K283" s="14" t="inlineStr">
        <is>
          <t>91868637</t>
        </is>
      </c>
      <c r="L283" s="14" t="n">
        <v>1</v>
      </c>
      <c r="M283" s="14" t="inlineStr">
        <is>
          <t>LM</t>
        </is>
      </c>
      <c r="N283" s="14" t="inlineStr">
        <is>
          <t>Fake Fail</t>
        </is>
      </c>
      <c r="O283" s="14" t="inlineStr">
        <is>
          <t>Call not connected / no response</t>
        </is>
      </c>
      <c r="P283" s="14" t="inlineStr">
        <is>
          <t>No</t>
        </is>
      </c>
      <c r="Q283" s="14" t="inlineStr">
        <is>
          <t>No</t>
        </is>
      </c>
      <c r="R283" s="14" t="inlineStr">
        <is>
          <t>Call log is not connected and no Whatsapp provided</t>
        </is>
      </c>
      <c r="S283" s="14" t="inlineStr">
        <is>
          <t>Izzni</t>
        </is>
      </c>
      <c r="T283" s="14">
        <f>COUNTIF($B$2:$B$499,B283)</f>
        <v/>
      </c>
      <c r="U283" s="14">
        <f>COUNTIF($I$2:$I$499,I283)</f>
        <v/>
      </c>
      <c r="V283" s="14">
        <f>IF(ISNA(MATCH(B283,'Metabase Lookup'!$A:$A,0)),"Not found",IF(INDEX('Metabase Lookup'!$B:$B,MATCH(B283,'Metabase Lookup'!$A:$A,0))="","Pending",INDEX('Metabase Lookup'!$B:$B,MATCH(B283,'Metabase Lookup'!$A:$A,0))))</f>
        <v/>
      </c>
      <c r="W283" s="14">
        <f>IF(ISNA(MATCH(B283,'Metabase Lookup'!$A:$A,0)),"Not found",IF(INDEX('Metabase Lookup'!$C:$C,MATCH(B283,'Metabase Lookup'!$A:$A,0))="","Pending",INDEX('Metabase Lookup'!$C:$C,MATCH(B283,'Metabase Lookup'!$A:$A,0))))</f>
        <v/>
      </c>
      <c r="X283" s="14">
        <f>IF(ISNA(MATCH(B283,'Metabase Lookup'!$A:$A,0)),"",IF(INDEX('Metabase Lookup'!$D:$D,MATCH(B283,'Metabase Lookup'!$A:$A,0))="","",INDEX('Metabase Lookup'!$D:$D,MATCH(B283,'Metabase Lookup'!$A:$A,0))))</f>
        <v/>
      </c>
      <c r="Y283" s="14">
        <f>IF(ISNUMBER(W283),IF(W283&gt;0,"Yes","No"),"Pending")</f>
        <v/>
      </c>
      <c r="Z283" s="14" t="inlineStr">
        <is>
          <t>Driver not identified (OPS account)</t>
        </is>
      </c>
    </row>
    <row r="284">
      <c r="A284" s="14" t="n">
        <v>283</v>
      </c>
      <c r="B284" s="14" t="inlineStr">
        <is>
          <t>NVMYLAYFO000002120q</t>
        </is>
      </c>
      <c r="C284" s="15" t="inlineStr">
        <is>
          <t>268772664200</t>
        </is>
      </c>
      <c r="D284" s="16" t="n">
        <v>46288.68135416666</v>
      </c>
      <c r="E284" s="17" t="n">
        <v>46288</v>
      </c>
      <c r="F284" s="14" t="inlineStr">
        <is>
          <t>Wed</t>
        </is>
      </c>
      <c r="G284" s="14" t="inlineStr">
        <is>
          <t>Southern</t>
        </is>
      </c>
      <c r="H284" s="14" t="inlineStr">
        <is>
          <t>NSJ</t>
        </is>
      </c>
      <c r="I284" s="14" t="inlineStr">
        <is>
          <t>OPS - NSJ</t>
        </is>
      </c>
      <c r="J284" s="14" t="inlineStr">
        <is>
          <t>OPS (generic hub account)</t>
        </is>
      </c>
      <c r="K284" s="14" t="inlineStr">
        <is>
          <t>91857895</t>
        </is>
      </c>
      <c r="L284" s="14" t="n">
        <v>1</v>
      </c>
      <c r="M284" s="14" t="inlineStr">
        <is>
          <t>LM</t>
        </is>
      </c>
      <c r="N284" s="14" t="inlineStr">
        <is>
          <t>Fake Fail</t>
        </is>
      </c>
      <c r="O284" s="14" t="inlineStr">
        <is>
          <t>No call / call log missing</t>
        </is>
      </c>
      <c r="P284" s="14" t="inlineStr">
        <is>
          <t>No</t>
        </is>
      </c>
      <c r="Q284" s="14" t="inlineStr">
        <is>
          <t>No</t>
        </is>
      </c>
      <c r="R284" s="14" t="inlineStr">
        <is>
          <t>POD invalid (No 3 attempt call with different times, No connected call)</t>
        </is>
      </c>
      <c r="S284" s="14" t="inlineStr">
        <is>
          <t>Huzair</t>
        </is>
      </c>
      <c r="T284" s="14">
        <f>COUNTIF($B$2:$B$499,B284)</f>
        <v/>
      </c>
      <c r="U284" s="14">
        <f>COUNTIF($I$2:$I$499,I284)</f>
        <v/>
      </c>
      <c r="V284" s="14">
        <f>IF(ISNA(MATCH(B284,'Metabase Lookup'!$A:$A,0)),"Not found",IF(INDEX('Metabase Lookup'!$B:$B,MATCH(B284,'Metabase Lookup'!$A:$A,0))="","Pending",INDEX('Metabase Lookup'!$B:$B,MATCH(B284,'Metabase Lookup'!$A:$A,0))))</f>
        <v/>
      </c>
      <c r="W284" s="14">
        <f>IF(ISNA(MATCH(B284,'Metabase Lookup'!$A:$A,0)),"Not found",IF(INDEX('Metabase Lookup'!$C:$C,MATCH(B284,'Metabase Lookup'!$A:$A,0))="","Pending",INDEX('Metabase Lookup'!$C:$C,MATCH(B284,'Metabase Lookup'!$A:$A,0))))</f>
        <v/>
      </c>
      <c r="X284" s="14">
        <f>IF(ISNA(MATCH(B284,'Metabase Lookup'!$A:$A,0)),"",IF(INDEX('Metabase Lookup'!$D:$D,MATCH(B284,'Metabase Lookup'!$A:$A,0))="","",INDEX('Metabase Lookup'!$D:$D,MATCH(B284,'Metabase Lookup'!$A:$A,0))))</f>
        <v/>
      </c>
      <c r="Y284" s="14">
        <f>IF(ISNUMBER(W284),IF(W284&gt;0,"Yes","No"),"Pending")</f>
        <v/>
      </c>
      <c r="Z284" s="14" t="inlineStr">
        <is>
          <t>Driver not identified (OPS account)</t>
        </is>
      </c>
    </row>
    <row r="285">
      <c r="A285" s="14" t="n">
        <v>284</v>
      </c>
      <c r="B285" s="14" t="inlineStr">
        <is>
          <t>NVMYNEUTR0UP143771</t>
        </is>
      </c>
      <c r="C285" s="15" t="inlineStr">
        <is>
          <t>260832664742</t>
        </is>
      </c>
      <c r="D285" s="16" t="n">
        <v>46288.72071759259</v>
      </c>
      <c r="E285" s="17" t="n">
        <v>46288</v>
      </c>
      <c r="F285" s="14" t="inlineStr">
        <is>
          <t>Wed</t>
        </is>
      </c>
      <c r="G285" s="14" t="inlineStr">
        <is>
          <t>KV</t>
        </is>
      </c>
      <c r="H285" s="14" t="inlineStr">
        <is>
          <t>SLG</t>
        </is>
      </c>
      <c r="I285" s="14" t="inlineStr">
        <is>
          <t>OPS - SELAYANG</t>
        </is>
      </c>
      <c r="J285" s="14" t="inlineStr">
        <is>
          <t>OPS (generic hub account)</t>
        </is>
      </c>
      <c r="K285" s="14" t="inlineStr">
        <is>
          <t>91877251</t>
        </is>
      </c>
      <c r="L285" s="14" t="n">
        <v>1</v>
      </c>
      <c r="M285" s="14" t="inlineStr">
        <is>
          <t>LM</t>
        </is>
      </c>
      <c r="N285" s="14" t="inlineStr">
        <is>
          <t>Fake Fail</t>
        </is>
      </c>
      <c r="O285" s="14" t="inlineStr">
        <is>
          <t>Call not connected / no response</t>
        </is>
      </c>
      <c r="P285" s="14" t="inlineStr">
        <is>
          <t>No</t>
        </is>
      </c>
      <c r="Q285" s="14" t="inlineStr">
        <is>
          <t>No</t>
        </is>
      </c>
      <c r="R285" s="14" t="inlineStr">
        <is>
          <t>POD invalid (No connected call or No responded chat)</t>
        </is>
      </c>
      <c r="S285" s="14" t="inlineStr">
        <is>
          <t>Huzair</t>
        </is>
      </c>
      <c r="T285" s="14">
        <f>COUNTIF($B$2:$B$499,B285)</f>
        <v/>
      </c>
      <c r="U285" s="14">
        <f>COUNTIF($I$2:$I$499,I285)</f>
        <v/>
      </c>
      <c r="V285" s="14">
        <f>IF(ISNA(MATCH(B285,'Metabase Lookup'!$A:$A,0)),"Not found",IF(INDEX('Metabase Lookup'!$B:$B,MATCH(B285,'Metabase Lookup'!$A:$A,0))="","Pending",INDEX('Metabase Lookup'!$B:$B,MATCH(B285,'Metabase Lookup'!$A:$A,0))))</f>
        <v/>
      </c>
      <c r="W285" s="14">
        <f>IF(ISNA(MATCH(B285,'Metabase Lookup'!$A:$A,0)),"Not found",IF(INDEX('Metabase Lookup'!$C:$C,MATCH(B285,'Metabase Lookup'!$A:$A,0))="","Pending",INDEX('Metabase Lookup'!$C:$C,MATCH(B285,'Metabase Lookup'!$A:$A,0))))</f>
        <v/>
      </c>
      <c r="X285" s="14">
        <f>IF(ISNA(MATCH(B285,'Metabase Lookup'!$A:$A,0)),"",IF(INDEX('Metabase Lookup'!$D:$D,MATCH(B285,'Metabase Lookup'!$A:$A,0))="","",INDEX('Metabase Lookup'!$D:$D,MATCH(B285,'Metabase Lookup'!$A:$A,0))))</f>
        <v/>
      </c>
      <c r="Y285" s="14">
        <f>IF(ISNUMBER(W285),IF(W285&gt;0,"Yes","No"),"Pending")</f>
        <v/>
      </c>
      <c r="Z285" s="14" t="inlineStr">
        <is>
          <t>Driver not identified (OPS account)</t>
        </is>
      </c>
    </row>
    <row r="286">
      <c r="A286" s="14" t="n">
        <v>285</v>
      </c>
      <c r="B286" s="14" t="inlineStr">
        <is>
          <t>HBMY1551483304300576768</t>
        </is>
      </c>
      <c r="C286" s="15" t="inlineStr">
        <is>
          <t>263362667077</t>
        </is>
      </c>
      <c r="D286" s="16" t="n">
        <v>46288.72447916667</v>
      </c>
      <c r="E286" s="17" t="n">
        <v>46288</v>
      </c>
      <c r="F286" s="14" t="inlineStr">
        <is>
          <t>Wed</t>
        </is>
      </c>
      <c r="G286" s="14" t="inlineStr">
        <is>
          <t>KV</t>
        </is>
      </c>
      <c r="H286" s="14" t="inlineStr">
        <is>
          <t>PJY</t>
        </is>
      </c>
      <c r="I286" s="14" t="inlineStr">
        <is>
          <t>OPS - PJY</t>
        </is>
      </c>
      <c r="J286" s="14" t="inlineStr">
        <is>
          <t>OPS (generic hub account)</t>
        </is>
      </c>
      <c r="K286" s="14" t="inlineStr">
        <is>
          <t>91861025</t>
        </is>
      </c>
      <c r="L286" s="14" t="n">
        <v>1</v>
      </c>
      <c r="M286" s="14" t="inlineStr">
        <is>
          <t>LM</t>
        </is>
      </c>
      <c r="N286" s="14" t="inlineStr">
        <is>
          <t>Fake Fail</t>
        </is>
      </c>
      <c r="O286" s="14" t="inlineStr">
        <is>
          <t>Call not connected / no response</t>
        </is>
      </c>
      <c r="P286" s="14" t="inlineStr">
        <is>
          <t>No</t>
        </is>
      </c>
      <c r="Q286" s="14" t="inlineStr">
        <is>
          <t>No</t>
        </is>
      </c>
      <c r="R286" s="14" t="inlineStr">
        <is>
          <t>POD invalid (No connected call or No responded chat)</t>
        </is>
      </c>
      <c r="S286" s="14" t="inlineStr">
        <is>
          <t>Huzair</t>
        </is>
      </c>
      <c r="T286" s="14">
        <f>COUNTIF($B$2:$B$499,B286)</f>
        <v/>
      </c>
      <c r="U286" s="14">
        <f>COUNTIF($I$2:$I$499,I286)</f>
        <v/>
      </c>
      <c r="V286" s="14">
        <f>IF(ISNA(MATCH(B286,'Metabase Lookup'!$A:$A,0)),"Not found",IF(INDEX('Metabase Lookup'!$B:$B,MATCH(B286,'Metabase Lookup'!$A:$A,0))="","Pending",INDEX('Metabase Lookup'!$B:$B,MATCH(B286,'Metabase Lookup'!$A:$A,0))))</f>
        <v/>
      </c>
      <c r="W286" s="14">
        <f>IF(ISNA(MATCH(B286,'Metabase Lookup'!$A:$A,0)),"Not found",IF(INDEX('Metabase Lookup'!$C:$C,MATCH(B286,'Metabase Lookup'!$A:$A,0))="","Pending",INDEX('Metabase Lookup'!$C:$C,MATCH(B286,'Metabase Lookup'!$A:$A,0))))</f>
        <v/>
      </c>
      <c r="X286" s="14">
        <f>IF(ISNA(MATCH(B286,'Metabase Lookup'!$A:$A,0)),"",IF(INDEX('Metabase Lookup'!$D:$D,MATCH(B286,'Metabase Lookup'!$A:$A,0))="","",INDEX('Metabase Lookup'!$D:$D,MATCH(B286,'Metabase Lookup'!$A:$A,0))))</f>
        <v/>
      </c>
      <c r="Y286" s="14">
        <f>IF(ISNUMBER(W286),IF(W286&gt;0,"Yes","No"),"Pending")</f>
        <v/>
      </c>
      <c r="Z286" s="14" t="inlineStr">
        <is>
          <t>Driver not identified (OPS account)</t>
        </is>
      </c>
    </row>
    <row r="287">
      <c r="A287" s="14" t="n">
        <v>286</v>
      </c>
      <c r="B287" s="14" t="inlineStr">
        <is>
          <t>NVMYNINJA002522007</t>
        </is>
      </c>
      <c r="C287" s="15" t="inlineStr">
        <is>
          <t>262302668906</t>
        </is>
      </c>
      <c r="D287" s="16" t="n">
        <v>46288.73276620371</v>
      </c>
      <c r="E287" s="17" t="n">
        <v>46288</v>
      </c>
      <c r="F287" s="14" t="inlineStr">
        <is>
          <t>Wed</t>
        </is>
      </c>
      <c r="G287" s="14" t="inlineStr">
        <is>
          <t>Southern</t>
        </is>
      </c>
      <c r="H287" s="14" t="inlineStr">
        <is>
          <t>MAS</t>
        </is>
      </c>
      <c r="I287" s="14" t="inlineStr">
        <is>
          <t>MAS - ID - SALMA</t>
        </is>
      </c>
      <c r="J287" s="14" t="inlineStr">
        <is>
          <t>ID (named driver)</t>
        </is>
      </c>
      <c r="K287" s="14" t="inlineStr">
        <is>
          <t>91866381</t>
        </is>
      </c>
      <c r="L287" s="14" t="n">
        <v>1</v>
      </c>
      <c r="M287" s="14" t="inlineStr">
        <is>
          <t>LM</t>
        </is>
      </c>
      <c r="N287" s="14" t="inlineStr">
        <is>
          <t>Fake Fail</t>
        </is>
      </c>
      <c r="O287" s="14" t="inlineStr">
        <is>
          <t>No call / call log missing</t>
        </is>
      </c>
      <c r="P287" s="14" t="inlineStr">
        <is>
          <t>No</t>
        </is>
      </c>
      <c r="Q287" s="14" t="inlineStr">
        <is>
          <t>No</t>
        </is>
      </c>
      <c r="R287" s="14" t="inlineStr">
        <is>
          <t>Driver did not call and invalid POD</t>
        </is>
      </c>
      <c r="S287" s="14" t="inlineStr">
        <is>
          <t>Amir</t>
        </is>
      </c>
      <c r="T287" s="14">
        <f>COUNTIF($B$2:$B$499,B287)</f>
        <v/>
      </c>
      <c r="U287" s="14">
        <f>COUNTIF($I$2:$I$499,I287)</f>
        <v/>
      </c>
      <c r="V287" s="14">
        <f>IF(ISNA(MATCH(B287,'Metabase Lookup'!$A:$A,0)),"Not found",IF(INDEX('Metabase Lookup'!$B:$B,MATCH(B287,'Metabase Lookup'!$A:$A,0))="","Pending",INDEX('Metabase Lookup'!$B:$B,MATCH(B287,'Metabase Lookup'!$A:$A,0))))</f>
        <v/>
      </c>
      <c r="W287" s="14">
        <f>IF(ISNA(MATCH(B287,'Metabase Lookup'!$A:$A,0)),"Not found",IF(INDEX('Metabase Lookup'!$C:$C,MATCH(B287,'Metabase Lookup'!$A:$A,0))="","Pending",INDEX('Metabase Lookup'!$C:$C,MATCH(B287,'Metabase Lookup'!$A:$A,0))))</f>
        <v/>
      </c>
      <c r="X287" s="14">
        <f>IF(ISNA(MATCH(B287,'Metabase Lookup'!$A:$A,0)),"",IF(INDEX('Metabase Lookup'!$D:$D,MATCH(B287,'Metabase Lookup'!$A:$A,0))="","",INDEX('Metabase Lookup'!$D:$D,MATCH(B287,'Metabase Lookup'!$A:$A,0))))</f>
        <v/>
      </c>
      <c r="Y287" s="14">
        <f>IF(ISNUMBER(W287),IF(W287&gt;0,"Yes","No"),"Pending")</f>
        <v/>
      </c>
      <c r="Z287" s="14" t="inlineStr"/>
    </row>
    <row r="288">
      <c r="A288" s="14" t="n">
        <v>287</v>
      </c>
      <c r="B288" s="14" t="inlineStr">
        <is>
          <t>MAILB1547537792528531456</t>
        </is>
      </c>
      <c r="C288" s="15" t="inlineStr">
        <is>
          <t>260892585779</t>
        </is>
      </c>
      <c r="D288" s="16" t="n">
        <v>46288.73841435185</v>
      </c>
      <c r="E288" s="17" t="n">
        <v>46288</v>
      </c>
      <c r="F288" s="14" t="inlineStr">
        <is>
          <t>Wed</t>
        </is>
      </c>
      <c r="G288" s="14" t="inlineStr">
        <is>
          <t>KV</t>
        </is>
      </c>
      <c r="H288" s="14" t="inlineStr">
        <is>
          <t>BRP</t>
        </is>
      </c>
      <c r="I288" s="14" t="inlineStr">
        <is>
          <t>SYED HILMAN</t>
        </is>
      </c>
      <c r="J288" s="14" t="inlineStr">
        <is>
          <t>Name only (no hub/code)</t>
        </is>
      </c>
      <c r="K288" s="14" t="inlineStr">
        <is>
          <t>91783718</t>
        </is>
      </c>
      <c r="L288" s="14" t="n">
        <v>1</v>
      </c>
      <c r="M288" s="14" t="inlineStr">
        <is>
          <t>LM</t>
        </is>
      </c>
      <c r="N288" s="14" t="inlineStr">
        <is>
          <t>Fake Success</t>
        </is>
      </c>
      <c r="O288" s="14" t="inlineStr"/>
      <c r="P288" s="14" t="inlineStr"/>
      <c r="Q288" s="14" t="inlineStr"/>
      <c r="R288" s="14" t="inlineStr">
        <is>
          <t>Completed 2026-09-12 but cust not received and invalid POD. Status reverted and parcel currently OVFD</t>
        </is>
      </c>
      <c r="S288" s="14" t="inlineStr">
        <is>
          <t>Syaza</t>
        </is>
      </c>
      <c r="T288" s="14">
        <f>COUNTIF($B$2:$B$499,B288)</f>
        <v/>
      </c>
      <c r="U288" s="14">
        <f>COUNTIF($I$2:$I$499,I288)</f>
        <v/>
      </c>
      <c r="V288" s="14">
        <f>IF(ISNA(MATCH(B288,'Metabase Lookup'!$A:$A,0)),"Not found",IF(INDEX('Metabase Lookup'!$B:$B,MATCH(B288,'Metabase Lookup'!$A:$A,0))="","Pending",INDEX('Metabase Lookup'!$B:$B,MATCH(B288,'Metabase Lookup'!$A:$A,0))))</f>
        <v/>
      </c>
      <c r="W288" s="14">
        <f>IF(ISNA(MATCH(B288,'Metabase Lookup'!$A:$A,0)),"Not found",IF(INDEX('Metabase Lookup'!$C:$C,MATCH(B288,'Metabase Lookup'!$A:$A,0))="","Pending",INDEX('Metabase Lookup'!$C:$C,MATCH(B288,'Metabase Lookup'!$A:$A,0))))</f>
        <v/>
      </c>
      <c r="X288" s="14">
        <f>IF(ISNA(MATCH(B288,'Metabase Lookup'!$A:$A,0)),"",IF(INDEX('Metabase Lookup'!$D:$D,MATCH(B288,'Metabase Lookup'!$A:$A,0))="","",INDEX('Metabase Lookup'!$D:$D,MATCH(B288,'Metabase Lookup'!$A:$A,0))))</f>
        <v/>
      </c>
      <c r="Y288" s="14">
        <f>IF(ISNUMBER(W288),IF(W288&gt;0,"Yes","No"),"Pending")</f>
        <v/>
      </c>
      <c r="Z288" s="14" t="inlineStr">
        <is>
          <t>TID logged more than once</t>
        </is>
      </c>
    </row>
    <row r="289">
      <c r="A289" s="14" t="n">
        <v>288</v>
      </c>
      <c r="B289" s="14" t="inlineStr">
        <is>
          <t>NVMYPZXMS000047676</t>
        </is>
      </c>
      <c r="C289" s="15" t="inlineStr">
        <is>
          <t>263772663708</t>
        </is>
      </c>
      <c r="D289" s="16" t="n">
        <v>46288.7460300926</v>
      </c>
      <c r="E289" s="17" t="n">
        <v>46288</v>
      </c>
      <c r="F289" s="14" t="inlineStr">
        <is>
          <t>Wed</t>
        </is>
      </c>
      <c r="G289" s="14" t="inlineStr">
        <is>
          <t>Southern</t>
        </is>
      </c>
      <c r="H289" s="14" t="inlineStr">
        <is>
          <t>GMR</t>
        </is>
      </c>
      <c r="I289" s="14" t="inlineStr">
        <is>
          <t>GMR</t>
        </is>
      </c>
      <c r="J289" s="14" t="inlineStr">
        <is>
          <t>Name only (no hub/code)</t>
        </is>
      </c>
      <c r="K289" s="14" t="inlineStr">
        <is>
          <t>91777637</t>
        </is>
      </c>
      <c r="L289" s="14" t="n">
        <v>1</v>
      </c>
      <c r="M289" s="14" t="inlineStr">
        <is>
          <t>LM</t>
        </is>
      </c>
      <c r="N289" s="14" t="inlineStr">
        <is>
          <t>Fake Fail</t>
        </is>
      </c>
      <c r="O289" s="14" t="inlineStr">
        <is>
          <t>No call / call log missing</t>
        </is>
      </c>
      <c r="P289" s="14" t="inlineStr">
        <is>
          <t>No</t>
        </is>
      </c>
      <c r="Q289" s="14" t="inlineStr">
        <is>
          <t>No</t>
        </is>
      </c>
      <c r="R289" s="14" t="inlineStr">
        <is>
          <t>No call log provided</t>
        </is>
      </c>
      <c r="S289" s="14" t="inlineStr">
        <is>
          <t>Izzni</t>
        </is>
      </c>
      <c r="T289" s="14">
        <f>COUNTIF($B$2:$B$499,B289)</f>
        <v/>
      </c>
      <c r="U289" s="14">
        <f>COUNTIF($I$2:$I$499,I289)</f>
        <v/>
      </c>
      <c r="V289" s="14">
        <f>IF(ISNA(MATCH(B289,'Metabase Lookup'!$A:$A,0)),"Not found",IF(INDEX('Metabase Lookup'!$B:$B,MATCH(B289,'Metabase Lookup'!$A:$A,0))="","Pending",INDEX('Metabase Lookup'!$B:$B,MATCH(B289,'Metabase Lookup'!$A:$A,0))))</f>
        <v/>
      </c>
      <c r="W289" s="14">
        <f>IF(ISNA(MATCH(B289,'Metabase Lookup'!$A:$A,0)),"Not found",IF(INDEX('Metabase Lookup'!$C:$C,MATCH(B289,'Metabase Lookup'!$A:$A,0))="","Pending",INDEX('Metabase Lookup'!$C:$C,MATCH(B289,'Metabase Lookup'!$A:$A,0))))</f>
        <v/>
      </c>
      <c r="X289" s="14">
        <f>IF(ISNA(MATCH(B289,'Metabase Lookup'!$A:$A,0)),"",IF(INDEX('Metabase Lookup'!$D:$D,MATCH(B289,'Metabase Lookup'!$A:$A,0))="","",INDEX('Metabase Lookup'!$D:$D,MATCH(B289,'Metabase Lookup'!$A:$A,0))))</f>
        <v/>
      </c>
      <c r="Y289" s="14">
        <f>IF(ISNUMBER(W289),IF(W289&gt;0,"Yes","No"),"Pending")</f>
        <v/>
      </c>
      <c r="Z289" s="14" t="inlineStr"/>
    </row>
    <row r="290">
      <c r="A290" s="14" t="n">
        <v>289</v>
      </c>
      <c r="B290" s="14" t="inlineStr">
        <is>
          <t>JSXPR1550351336619966464</t>
        </is>
      </c>
      <c r="C290" s="15" t="inlineStr">
        <is>
          <t>262392664161</t>
        </is>
      </c>
      <c r="D290" s="16" t="n">
        <v>46288.74690972222</v>
      </c>
      <c r="E290" s="17" t="n">
        <v>46288</v>
      </c>
      <c r="F290" s="14" t="inlineStr">
        <is>
          <t>Wed</t>
        </is>
      </c>
      <c r="G290" s="14" t="inlineStr">
        <is>
          <t>North West</t>
        </is>
      </c>
      <c r="H290" s="14" t="inlineStr">
        <is>
          <t>TIN</t>
        </is>
      </c>
      <c r="I290" s="14" t="inlineStr">
        <is>
          <t>TIN - ID - MUNIRA</t>
        </is>
      </c>
      <c r="J290" s="14" t="inlineStr">
        <is>
          <t>ID (named driver)</t>
        </is>
      </c>
      <c r="K290" s="14" t="inlineStr">
        <is>
          <t>91848956</t>
        </is>
      </c>
      <c r="L290" s="14" t="n">
        <v>1</v>
      </c>
      <c r="M290" s="14" t="inlineStr">
        <is>
          <t>LM</t>
        </is>
      </c>
      <c r="N290" s="14" t="inlineStr">
        <is>
          <t>Deliver to Wrong Address</t>
        </is>
      </c>
      <c r="O290" s="14" t="inlineStr"/>
      <c r="P290" s="14" t="inlineStr"/>
      <c r="Q290" s="14" t="inlineStr"/>
      <c r="R290" s="14" t="inlineStr">
        <is>
          <t>shipper claimed cust already collect the parcel at the wrong address</t>
        </is>
      </c>
      <c r="S290" s="14" t="inlineStr">
        <is>
          <t>Hartini</t>
        </is>
      </c>
      <c r="T290" s="14">
        <f>COUNTIF($B$2:$B$499,B290)</f>
        <v/>
      </c>
      <c r="U290" s="14">
        <f>COUNTIF($I$2:$I$499,I290)</f>
        <v/>
      </c>
      <c r="V290" s="14">
        <f>IF(ISNA(MATCH(B290,'Metabase Lookup'!$A:$A,0)),"Not found",IF(INDEX('Metabase Lookup'!$B:$B,MATCH(B290,'Metabase Lookup'!$A:$A,0))="","Pending",INDEX('Metabase Lookup'!$B:$B,MATCH(B290,'Metabase Lookup'!$A:$A,0))))</f>
        <v/>
      </c>
      <c r="W290" s="14">
        <f>IF(ISNA(MATCH(B290,'Metabase Lookup'!$A:$A,0)),"Not found",IF(INDEX('Metabase Lookup'!$C:$C,MATCH(B290,'Metabase Lookup'!$A:$A,0))="","Pending",INDEX('Metabase Lookup'!$C:$C,MATCH(B290,'Metabase Lookup'!$A:$A,0))))</f>
        <v/>
      </c>
      <c r="X290" s="14">
        <f>IF(ISNA(MATCH(B290,'Metabase Lookup'!$A:$A,0)),"",IF(INDEX('Metabase Lookup'!$D:$D,MATCH(B290,'Metabase Lookup'!$A:$A,0))="","",INDEX('Metabase Lookup'!$D:$D,MATCH(B290,'Metabase Lookup'!$A:$A,0))))</f>
        <v/>
      </c>
      <c r="Y290" s="14">
        <f>IF(ISNUMBER(W290),IF(W290&gt;0,"Yes","No"),"Pending")</f>
        <v/>
      </c>
      <c r="Z290" s="14" t="inlineStr"/>
    </row>
    <row r="291">
      <c r="A291" s="14" t="n">
        <v>290</v>
      </c>
      <c r="B291" s="14" t="inlineStr">
        <is>
          <t>NVMYNRLIL050614937</t>
        </is>
      </c>
      <c r="C291" s="15" t="inlineStr">
        <is>
          <t>267632660770</t>
        </is>
      </c>
      <c r="D291" s="16" t="n">
        <v>46288.75024305555</v>
      </c>
      <c r="E291" s="17" t="n">
        <v>46288</v>
      </c>
      <c r="F291" s="14" t="inlineStr">
        <is>
          <t>Wed</t>
        </is>
      </c>
      <c r="G291" s="14" t="inlineStr">
        <is>
          <t>KV</t>
        </is>
      </c>
      <c r="H291" s="14" t="inlineStr">
        <is>
          <t>BTR</t>
        </is>
      </c>
      <c r="I291" s="14" t="inlineStr">
        <is>
          <t>OPS - BTR</t>
        </is>
      </c>
      <c r="J291" s="14" t="inlineStr">
        <is>
          <t>OPS (generic hub account)</t>
        </is>
      </c>
      <c r="K291" s="14" t="inlineStr">
        <is>
          <t>91863052</t>
        </is>
      </c>
      <c r="L291" s="14" t="n">
        <v>1</v>
      </c>
      <c r="M291" s="14" t="inlineStr">
        <is>
          <t>LM</t>
        </is>
      </c>
      <c r="N291" s="14" t="inlineStr">
        <is>
          <t>Fake Fail</t>
        </is>
      </c>
      <c r="O291" s="14" t="inlineStr">
        <is>
          <t>Call not connected / no response</t>
        </is>
      </c>
      <c r="P291" s="14" t="inlineStr">
        <is>
          <t>No</t>
        </is>
      </c>
      <c r="Q291" s="14" t="inlineStr">
        <is>
          <t>No</t>
        </is>
      </c>
      <c r="R291" s="14" t="inlineStr">
        <is>
          <t>POD invalid (No connected call or No responded chat)</t>
        </is>
      </c>
      <c r="S291" s="14" t="inlineStr">
        <is>
          <t>Huzair</t>
        </is>
      </c>
      <c r="T291" s="14">
        <f>COUNTIF($B$2:$B$499,B291)</f>
        <v/>
      </c>
      <c r="U291" s="14">
        <f>COUNTIF($I$2:$I$499,I291)</f>
        <v/>
      </c>
      <c r="V291" s="14">
        <f>IF(ISNA(MATCH(B291,'Metabase Lookup'!$A:$A,0)),"Not found",IF(INDEX('Metabase Lookup'!$B:$B,MATCH(B291,'Metabase Lookup'!$A:$A,0))="","Pending",INDEX('Metabase Lookup'!$B:$B,MATCH(B291,'Metabase Lookup'!$A:$A,0))))</f>
        <v/>
      </c>
      <c r="W291" s="14">
        <f>IF(ISNA(MATCH(B291,'Metabase Lookup'!$A:$A,0)),"Not found",IF(INDEX('Metabase Lookup'!$C:$C,MATCH(B291,'Metabase Lookup'!$A:$A,0))="","Pending",INDEX('Metabase Lookup'!$C:$C,MATCH(B291,'Metabase Lookup'!$A:$A,0))))</f>
        <v/>
      </c>
      <c r="X291" s="14">
        <f>IF(ISNA(MATCH(B291,'Metabase Lookup'!$A:$A,0)),"",IF(INDEX('Metabase Lookup'!$D:$D,MATCH(B291,'Metabase Lookup'!$A:$A,0))="","",INDEX('Metabase Lookup'!$D:$D,MATCH(B291,'Metabase Lookup'!$A:$A,0))))</f>
        <v/>
      </c>
      <c r="Y291" s="14">
        <f>IF(ISNUMBER(W291),IF(W291&gt;0,"Yes","No"),"Pending")</f>
        <v/>
      </c>
      <c r="Z291" s="14" t="inlineStr">
        <is>
          <t>Driver not identified (OPS account)</t>
        </is>
      </c>
    </row>
    <row r="292">
      <c r="A292" s="14" t="n">
        <v>291</v>
      </c>
      <c r="B292" s="14" t="inlineStr">
        <is>
          <t>NVMYPZXMS000047975</t>
        </is>
      </c>
      <c r="C292" s="15" t="inlineStr">
        <is>
          <t>262172669588</t>
        </is>
      </c>
      <c r="D292" s="16" t="n">
        <v>46288.75320601852</v>
      </c>
      <c r="E292" s="17" t="n">
        <v>46288</v>
      </c>
      <c r="F292" s="14" t="inlineStr">
        <is>
          <t>Wed</t>
        </is>
      </c>
      <c r="G292" s="14" t="inlineStr">
        <is>
          <t>Southern</t>
        </is>
      </c>
      <c r="H292" s="14" t="inlineStr">
        <is>
          <t>MAS</t>
        </is>
      </c>
      <c r="I292" s="14" t="inlineStr">
        <is>
          <t>MAS - ID - EZLYANA | MAS - ID - SALMA</t>
        </is>
      </c>
      <c r="J292" s="14" t="inlineStr">
        <is>
          <t>Multiple drivers</t>
        </is>
      </c>
      <c r="K292" s="14" t="inlineStr">
        <is>
          <t>91826068, 91842527, 91866381</t>
        </is>
      </c>
      <c r="L292" s="14" t="n">
        <v>3</v>
      </c>
      <c r="M292" s="14" t="inlineStr">
        <is>
          <t>LM</t>
        </is>
      </c>
      <c r="N292" s="14" t="inlineStr">
        <is>
          <t>Fake Fail</t>
        </is>
      </c>
      <c r="O292" s="14" t="inlineStr">
        <is>
          <t>Call not connected / no response</t>
        </is>
      </c>
      <c r="P292" s="14" t="inlineStr">
        <is>
          <t>Yes</t>
        </is>
      </c>
      <c r="Q292" s="14" t="inlineStr">
        <is>
          <t>No</t>
        </is>
      </c>
      <c r="R292" s="14" t="inlineStr">
        <is>
          <t>Call log is not connected/no picture of location provided</t>
        </is>
      </c>
      <c r="S292" s="14" t="inlineStr">
        <is>
          <t>Izzni</t>
        </is>
      </c>
      <c r="T292" s="14">
        <f>COUNTIF($B$2:$B$499,B292)</f>
        <v/>
      </c>
      <c r="U292" s="14">
        <f>COUNTIF($I$2:$I$499,I292)</f>
        <v/>
      </c>
      <c r="V292" s="14">
        <f>IF(ISNA(MATCH(B292,'Metabase Lookup'!$A:$A,0)),"Not found",IF(INDEX('Metabase Lookup'!$B:$B,MATCH(B292,'Metabase Lookup'!$A:$A,0))="","Pending",INDEX('Metabase Lookup'!$B:$B,MATCH(B292,'Metabase Lookup'!$A:$A,0))))</f>
        <v/>
      </c>
      <c r="W292" s="14">
        <f>IF(ISNA(MATCH(B292,'Metabase Lookup'!$A:$A,0)),"Not found",IF(INDEX('Metabase Lookup'!$C:$C,MATCH(B292,'Metabase Lookup'!$A:$A,0))="","Pending",INDEX('Metabase Lookup'!$C:$C,MATCH(B292,'Metabase Lookup'!$A:$A,0))))</f>
        <v/>
      </c>
      <c r="X292" s="14">
        <f>IF(ISNA(MATCH(B292,'Metabase Lookup'!$A:$A,0)),"",IF(INDEX('Metabase Lookup'!$D:$D,MATCH(B292,'Metabase Lookup'!$A:$A,0))="","",INDEX('Metabase Lookup'!$D:$D,MATCH(B292,'Metabase Lookup'!$A:$A,0))))</f>
        <v/>
      </c>
      <c r="Y292" s="14">
        <f>IF(ISNUMBER(W292),IF(W292&gt;0,"Yes","No"),"Pending")</f>
        <v/>
      </c>
      <c r="Z292" s="14" t="inlineStr">
        <is>
          <t>TID logged more than once; Multiple drivers in one row; Multiple route IDs</t>
        </is>
      </c>
    </row>
    <row r="293">
      <c r="A293" s="14" t="n">
        <v>292</v>
      </c>
      <c r="B293" s="14" t="inlineStr">
        <is>
          <t>TNGE326040017388104080</t>
        </is>
      </c>
      <c r="C293" s="15" t="inlineStr">
        <is>
          <t>266642664566</t>
        </is>
      </c>
      <c r="D293" s="16" t="n">
        <v>46289.3725462963</v>
      </c>
      <c r="E293" s="17" t="n">
        <v>46289</v>
      </c>
      <c r="F293" s="14" t="inlineStr">
        <is>
          <t>Thu</t>
        </is>
      </c>
      <c r="G293" s="14" t="inlineStr">
        <is>
          <t>KV</t>
        </is>
      </c>
      <c r="H293" s="14" t="inlineStr">
        <is>
          <t>BTR</t>
        </is>
      </c>
      <c r="I293" s="14" t="inlineStr">
        <is>
          <t>OPS - BTR</t>
        </is>
      </c>
      <c r="J293" s="14" t="inlineStr">
        <is>
          <t>OPS (generic hub account)</t>
        </is>
      </c>
      <c r="K293" s="14" t="inlineStr">
        <is>
          <t>91847380</t>
        </is>
      </c>
      <c r="L293" s="14" t="n">
        <v>1</v>
      </c>
      <c r="M293" s="14" t="inlineStr">
        <is>
          <t>LM</t>
        </is>
      </c>
      <c r="N293" s="14" t="inlineStr">
        <is>
          <t>Fake Fail</t>
        </is>
      </c>
      <c r="O293" s="14" t="inlineStr">
        <is>
          <t>Invalid POD (no detail)</t>
        </is>
      </c>
      <c r="P293" s="14" t="inlineStr">
        <is>
          <t>No</t>
        </is>
      </c>
      <c r="Q293" s="14" t="inlineStr">
        <is>
          <t>Yes</t>
        </is>
      </c>
      <c r="R293" s="14" t="inlineStr">
        <is>
          <t>invalid POD,failed under ops</t>
        </is>
      </c>
      <c r="S293" s="14" t="inlineStr">
        <is>
          <t>Yana</t>
        </is>
      </c>
      <c r="T293" s="14">
        <f>COUNTIF($B$2:$B$499,B293)</f>
        <v/>
      </c>
      <c r="U293" s="14">
        <f>COUNTIF($I$2:$I$499,I293)</f>
        <v/>
      </c>
      <c r="V293" s="14">
        <f>IF(ISNA(MATCH(B293,'Metabase Lookup'!$A:$A,0)),"Not found",IF(INDEX('Metabase Lookup'!$B:$B,MATCH(B293,'Metabase Lookup'!$A:$A,0))="","Pending",INDEX('Metabase Lookup'!$B:$B,MATCH(B293,'Metabase Lookup'!$A:$A,0))))</f>
        <v/>
      </c>
      <c r="W293" s="14">
        <f>IF(ISNA(MATCH(B293,'Metabase Lookup'!$A:$A,0)),"Not found",IF(INDEX('Metabase Lookup'!$C:$C,MATCH(B293,'Metabase Lookup'!$A:$A,0))="","Pending",INDEX('Metabase Lookup'!$C:$C,MATCH(B293,'Metabase Lookup'!$A:$A,0))))</f>
        <v/>
      </c>
      <c r="X293" s="14">
        <f>IF(ISNA(MATCH(B293,'Metabase Lookup'!$A:$A,0)),"",IF(INDEX('Metabase Lookup'!$D:$D,MATCH(B293,'Metabase Lookup'!$A:$A,0))="","",INDEX('Metabase Lookup'!$D:$D,MATCH(B293,'Metabase Lookup'!$A:$A,0))))</f>
        <v/>
      </c>
      <c r="Y293" s="14">
        <f>IF(ISNUMBER(W293),IF(W293&gt;0,"Yes","No"),"Pending")</f>
        <v/>
      </c>
      <c r="Z293" s="14" t="inlineStr">
        <is>
          <t>Possible double entry (&lt;60 min); Driver not identified (OPS account)</t>
        </is>
      </c>
    </row>
    <row r="294">
      <c r="A294" s="14" t="n">
        <v>293</v>
      </c>
      <c r="B294" s="14" t="inlineStr">
        <is>
          <t>TNGE326040017388104080</t>
        </is>
      </c>
      <c r="C294" s="15" t="inlineStr">
        <is>
          <t>266642664566</t>
        </is>
      </c>
      <c r="D294" s="16" t="n">
        <v>46289.37362268518</v>
      </c>
      <c r="E294" s="17" t="n">
        <v>46289</v>
      </c>
      <c r="F294" s="14" t="inlineStr">
        <is>
          <t>Thu</t>
        </is>
      </c>
      <c r="G294" s="14" t="inlineStr">
        <is>
          <t>KV</t>
        </is>
      </c>
      <c r="H294" s="14" t="inlineStr">
        <is>
          <t>BTR</t>
        </is>
      </c>
      <c r="I294" s="14" t="inlineStr">
        <is>
          <t>Ameer Jasni</t>
        </is>
      </c>
      <c r="J294" s="14" t="inlineStr">
        <is>
          <t>Name only (no hub/code)</t>
        </is>
      </c>
      <c r="K294" s="14" t="inlineStr">
        <is>
          <t>91863080</t>
        </is>
      </c>
      <c r="L294" s="14" t="n">
        <v>1</v>
      </c>
      <c r="M294" s="14" t="inlineStr">
        <is>
          <t>LM</t>
        </is>
      </c>
      <c r="N294" s="14" t="inlineStr">
        <is>
          <t>Fake Fail</t>
        </is>
      </c>
      <c r="O294" s="14" t="inlineStr">
        <is>
          <t>Type mismatch (detail not Fake Fail)</t>
        </is>
      </c>
      <c r="P294" s="14" t="inlineStr">
        <is>
          <t>No</t>
        </is>
      </c>
      <c r="Q294" s="14" t="inlineStr">
        <is>
          <t>No</t>
        </is>
      </c>
      <c r="R294" s="14" t="inlineStr">
        <is>
          <t>PULL OUT OF ROUTE by Norman Razak on 2026-09-23 00:01:44</t>
        </is>
      </c>
      <c r="S294" s="14" t="inlineStr">
        <is>
          <t>Yana</t>
        </is>
      </c>
      <c r="T294" s="14">
        <f>COUNTIF($B$2:$B$499,B294)</f>
        <v/>
      </c>
      <c r="U294" s="14">
        <f>COUNTIF($I$2:$I$499,I294)</f>
        <v/>
      </c>
      <c r="V294" s="14">
        <f>IF(ISNA(MATCH(B294,'Metabase Lookup'!$A:$A,0)),"Not found",IF(INDEX('Metabase Lookup'!$B:$B,MATCH(B294,'Metabase Lookup'!$A:$A,0))="","Pending",INDEX('Metabase Lookup'!$B:$B,MATCH(B294,'Metabase Lookup'!$A:$A,0))))</f>
        <v/>
      </c>
      <c r="W294" s="14">
        <f>IF(ISNA(MATCH(B294,'Metabase Lookup'!$A:$A,0)),"Not found",IF(INDEX('Metabase Lookup'!$C:$C,MATCH(B294,'Metabase Lookup'!$A:$A,0))="","Pending",INDEX('Metabase Lookup'!$C:$C,MATCH(B294,'Metabase Lookup'!$A:$A,0))))</f>
        <v/>
      </c>
      <c r="X294" s="14">
        <f>IF(ISNA(MATCH(B294,'Metabase Lookup'!$A:$A,0)),"",IF(INDEX('Metabase Lookup'!$D:$D,MATCH(B294,'Metabase Lookup'!$A:$A,0))="","",INDEX('Metabase Lookup'!$D:$D,MATCH(B294,'Metabase Lookup'!$A:$A,0))))</f>
        <v/>
      </c>
      <c r="Y294" s="14">
        <f>IF(ISNUMBER(W294),IF(W294&gt;0,"Yes","No"),"Pending")</f>
        <v/>
      </c>
      <c r="Z294" s="14" t="inlineStr">
        <is>
          <t>Complaint type does not match details; Possible double entry (&lt;60 min)</t>
        </is>
      </c>
    </row>
    <row r="295">
      <c r="A295" s="14" t="n">
        <v>294</v>
      </c>
      <c r="B295" s="14" t="inlineStr">
        <is>
          <t>HAWAS1547446975398883328</t>
        </is>
      </c>
      <c r="C295" s="15" t="inlineStr">
        <is>
          <t>265802677459</t>
        </is>
      </c>
      <c r="D295" s="16" t="n">
        <v>46289.38440972222</v>
      </c>
      <c r="E295" s="17" t="n">
        <v>46289</v>
      </c>
      <c r="F295" s="14" t="inlineStr">
        <is>
          <t>Thu</t>
        </is>
      </c>
      <c r="G295" s="14" t="inlineStr">
        <is>
          <t>Northern</t>
        </is>
      </c>
      <c r="H295" s="14" t="inlineStr">
        <is>
          <t>PSN</t>
        </is>
      </c>
      <c r="I295" s="14" t="inlineStr">
        <is>
          <t>PSN - OPS - PSN HUB</t>
        </is>
      </c>
      <c r="J295" s="14" t="inlineStr">
        <is>
          <t>OPS (generic hub account)</t>
        </is>
      </c>
      <c r="K295" s="14" t="inlineStr">
        <is>
          <t>91794903</t>
        </is>
      </c>
      <c r="L295" s="14" t="n">
        <v>1</v>
      </c>
      <c r="M295" s="14" t="inlineStr">
        <is>
          <t>LM</t>
        </is>
      </c>
      <c r="N295" s="14" t="inlineStr">
        <is>
          <t>Fake Fail</t>
        </is>
      </c>
      <c r="O295" s="14" t="inlineStr">
        <is>
          <t>Invalid call log (unspecified)</t>
        </is>
      </c>
      <c r="P295" s="14" t="inlineStr">
        <is>
          <t>No</t>
        </is>
      </c>
      <c r="Q295" s="14" t="inlineStr">
        <is>
          <t>No</t>
        </is>
      </c>
      <c r="R295" s="14" t="inlineStr">
        <is>
          <t>invalid call log</t>
        </is>
      </c>
      <c r="S295" s="14" t="inlineStr">
        <is>
          <t>Abdul</t>
        </is>
      </c>
      <c r="T295" s="14">
        <f>COUNTIF($B$2:$B$499,B295)</f>
        <v/>
      </c>
      <c r="U295" s="14">
        <f>COUNTIF($I$2:$I$499,I295)</f>
        <v/>
      </c>
      <c r="V295" s="14">
        <f>IF(ISNA(MATCH(B295,'Metabase Lookup'!$A:$A,0)),"Not found",IF(INDEX('Metabase Lookup'!$B:$B,MATCH(B295,'Metabase Lookup'!$A:$A,0))="","Pending",INDEX('Metabase Lookup'!$B:$B,MATCH(B295,'Metabase Lookup'!$A:$A,0))))</f>
        <v/>
      </c>
      <c r="W295" s="14">
        <f>IF(ISNA(MATCH(B295,'Metabase Lookup'!$A:$A,0)),"Not found",IF(INDEX('Metabase Lookup'!$C:$C,MATCH(B295,'Metabase Lookup'!$A:$A,0))="","Pending",INDEX('Metabase Lookup'!$C:$C,MATCH(B295,'Metabase Lookup'!$A:$A,0))))</f>
        <v/>
      </c>
      <c r="X295" s="14">
        <f>IF(ISNA(MATCH(B295,'Metabase Lookup'!$A:$A,0)),"",IF(INDEX('Metabase Lookup'!$D:$D,MATCH(B295,'Metabase Lookup'!$A:$A,0))="","",INDEX('Metabase Lookup'!$D:$D,MATCH(B295,'Metabase Lookup'!$A:$A,0))))</f>
        <v/>
      </c>
      <c r="Y295" s="14">
        <f>IF(ISNUMBER(W295),IF(W295&gt;0,"Yes","No"),"Pending")</f>
        <v/>
      </c>
      <c r="Z295" s="14" t="inlineStr">
        <is>
          <t>Driver not identified (OPS account)</t>
        </is>
      </c>
    </row>
    <row r="296">
      <c r="A296" s="14" t="n">
        <v>295</v>
      </c>
      <c r="B296" s="14" t="inlineStr">
        <is>
          <t>TNGE126067384604826000</t>
        </is>
      </c>
      <c r="C296" s="15" t="inlineStr">
        <is>
          <t>268482669093</t>
        </is>
      </c>
      <c r="D296" s="16" t="n">
        <v>46289.39412037037</v>
      </c>
      <c r="E296" s="17" t="n">
        <v>46289</v>
      </c>
      <c r="F296" s="14" t="inlineStr">
        <is>
          <t>Thu</t>
        </is>
      </c>
      <c r="G296" s="14" t="inlineStr">
        <is>
          <t>Northern</t>
        </is>
      </c>
      <c r="H296" s="14" t="inlineStr">
        <is>
          <t>KGR</t>
        </is>
      </c>
      <c r="I296" s="14" t="inlineStr">
        <is>
          <t>KGR - OPS - ROUTED</t>
        </is>
      </c>
      <c r="J296" s="14" t="inlineStr">
        <is>
          <t>OPS (generic hub account)</t>
        </is>
      </c>
      <c r="K296" s="14" t="inlineStr">
        <is>
          <t>91874344</t>
        </is>
      </c>
      <c r="L296" s="14" t="n">
        <v>1</v>
      </c>
      <c r="M296" s="14" t="inlineStr">
        <is>
          <t>LM</t>
        </is>
      </c>
      <c r="N296" s="14" t="inlineStr">
        <is>
          <t>Fake Fail</t>
        </is>
      </c>
      <c r="O296" s="14" t="inlineStr">
        <is>
          <t>No call / call log missing</t>
        </is>
      </c>
      <c r="P296" s="14" t="inlineStr">
        <is>
          <t>No</t>
        </is>
      </c>
      <c r="Q296" s="14" t="inlineStr">
        <is>
          <t>Yes</t>
        </is>
      </c>
      <c r="R296" s="14" t="inlineStr">
        <is>
          <t>Invalid POD for failed by OPS no call log</t>
        </is>
      </c>
      <c r="S296" s="14" t="inlineStr">
        <is>
          <t>Ninja Hadif</t>
        </is>
      </c>
      <c r="T296" s="14">
        <f>COUNTIF($B$2:$B$499,B296)</f>
        <v/>
      </c>
      <c r="U296" s="14">
        <f>COUNTIF($I$2:$I$499,I296)</f>
        <v/>
      </c>
      <c r="V296" s="14">
        <f>IF(ISNA(MATCH(B296,'Metabase Lookup'!$A:$A,0)),"Not found",IF(INDEX('Metabase Lookup'!$B:$B,MATCH(B296,'Metabase Lookup'!$A:$A,0))="","Pending",INDEX('Metabase Lookup'!$B:$B,MATCH(B296,'Metabase Lookup'!$A:$A,0))))</f>
        <v/>
      </c>
      <c r="W296" s="14">
        <f>IF(ISNA(MATCH(B296,'Metabase Lookup'!$A:$A,0)),"Not found",IF(INDEX('Metabase Lookup'!$C:$C,MATCH(B296,'Metabase Lookup'!$A:$A,0))="","Pending",INDEX('Metabase Lookup'!$C:$C,MATCH(B296,'Metabase Lookup'!$A:$A,0))))</f>
        <v/>
      </c>
      <c r="X296" s="14">
        <f>IF(ISNA(MATCH(B296,'Metabase Lookup'!$A:$A,0)),"",IF(INDEX('Metabase Lookup'!$D:$D,MATCH(B296,'Metabase Lookup'!$A:$A,0))="","",INDEX('Metabase Lookup'!$D:$D,MATCH(B296,'Metabase Lookup'!$A:$A,0))))</f>
        <v/>
      </c>
      <c r="Y296" s="14">
        <f>IF(ISNUMBER(W296),IF(W296&gt;0,"Yes","No"),"Pending")</f>
        <v/>
      </c>
      <c r="Z296" s="14" t="inlineStr">
        <is>
          <t>Driver not identified (OPS account)</t>
        </is>
      </c>
    </row>
    <row r="297">
      <c r="A297" s="14" t="n">
        <v>296</v>
      </c>
      <c r="B297" s="14" t="inlineStr">
        <is>
          <t>SIASG1544997664729550848</t>
        </is>
      </c>
      <c r="C297" s="15" t="inlineStr">
        <is>
          <t>265872661508</t>
        </is>
      </c>
      <c r="D297" s="16" t="n">
        <v>46289.40140046296</v>
      </c>
      <c r="E297" s="17" t="n">
        <v>46289</v>
      </c>
      <c r="F297" s="14" t="inlineStr">
        <is>
          <t>Thu</t>
        </is>
      </c>
      <c r="G297" s="14" t="inlineStr">
        <is>
          <t>Northern</t>
        </is>
      </c>
      <c r="H297" s="14" t="inlineStr">
        <is>
          <t>GEO</t>
        </is>
      </c>
      <c r="I297" s="14" t="inlineStr">
        <is>
          <t>GEO - OPS - PULAU TIKUS</t>
        </is>
      </c>
      <c r="J297" s="14" t="inlineStr">
        <is>
          <t>OPS (generic hub account)</t>
        </is>
      </c>
      <c r="K297" s="14" t="inlineStr">
        <is>
          <t>91763969</t>
        </is>
      </c>
      <c r="L297" s="14" t="n">
        <v>1</v>
      </c>
      <c r="M297" s="14" t="inlineStr">
        <is>
          <t>LM</t>
        </is>
      </c>
      <c r="N297" s="14" t="inlineStr">
        <is>
          <t>Fake Fail</t>
        </is>
      </c>
      <c r="O297" s="14" t="inlineStr">
        <is>
          <t>No call / call log missing</t>
        </is>
      </c>
      <c r="P297" s="14" t="inlineStr">
        <is>
          <t>No</t>
        </is>
      </c>
      <c r="Q297" s="14" t="inlineStr">
        <is>
          <t>No</t>
        </is>
      </c>
      <c r="R297" s="14" t="inlineStr">
        <is>
          <t>Driver did not call and invalid POD</t>
        </is>
      </c>
      <c r="S297" s="14" t="inlineStr">
        <is>
          <t>Amir</t>
        </is>
      </c>
      <c r="T297" s="14">
        <f>COUNTIF($B$2:$B$499,B297)</f>
        <v/>
      </c>
      <c r="U297" s="14">
        <f>COUNTIF($I$2:$I$499,I297)</f>
        <v/>
      </c>
      <c r="V297" s="14">
        <f>IF(ISNA(MATCH(B297,'Metabase Lookup'!$A:$A,0)),"Not found",IF(INDEX('Metabase Lookup'!$B:$B,MATCH(B297,'Metabase Lookup'!$A:$A,0))="","Pending",INDEX('Metabase Lookup'!$B:$B,MATCH(B297,'Metabase Lookup'!$A:$A,0))))</f>
        <v/>
      </c>
      <c r="W297" s="14">
        <f>IF(ISNA(MATCH(B297,'Metabase Lookup'!$A:$A,0)),"Not found",IF(INDEX('Metabase Lookup'!$C:$C,MATCH(B297,'Metabase Lookup'!$A:$A,0))="","Pending",INDEX('Metabase Lookup'!$C:$C,MATCH(B297,'Metabase Lookup'!$A:$A,0))))</f>
        <v/>
      </c>
      <c r="X297" s="14">
        <f>IF(ISNA(MATCH(B297,'Metabase Lookup'!$A:$A,0)),"",IF(INDEX('Metabase Lookup'!$D:$D,MATCH(B297,'Metabase Lookup'!$A:$A,0))="","",INDEX('Metabase Lookup'!$D:$D,MATCH(B297,'Metabase Lookup'!$A:$A,0))))</f>
        <v/>
      </c>
      <c r="Y297" s="14">
        <f>IF(ISNUMBER(W297),IF(W297&gt;0,"Yes","No"),"Pending")</f>
        <v/>
      </c>
      <c r="Z297" s="14" t="inlineStr">
        <is>
          <t>Driver not identified (OPS account)</t>
        </is>
      </c>
    </row>
    <row r="298">
      <c r="A298" s="14" t="n">
        <v>297</v>
      </c>
      <c r="B298" s="14" t="inlineStr">
        <is>
          <t>NVMY45537000029927</t>
        </is>
      </c>
      <c r="C298" s="15" t="inlineStr">
        <is>
          <t>264732669819</t>
        </is>
      </c>
      <c r="D298" s="16" t="n">
        <v>46289.40532407408</v>
      </c>
      <c r="E298" s="17" t="n">
        <v>46289</v>
      </c>
      <c r="F298" s="14" t="inlineStr">
        <is>
          <t>Thu</t>
        </is>
      </c>
      <c r="G298" s="14" t="inlineStr">
        <is>
          <t>South West</t>
        </is>
      </c>
      <c r="H298" s="14" t="inlineStr">
        <is>
          <t>MYK</t>
        </is>
      </c>
      <c r="I298" s="14" t="inlineStr">
        <is>
          <t>MYK - ID - SAARI</t>
        </is>
      </c>
      <c r="J298" s="14" t="inlineStr">
        <is>
          <t>ID (named driver)</t>
        </is>
      </c>
      <c r="K298" s="14" t="inlineStr">
        <is>
          <t>91863956</t>
        </is>
      </c>
      <c r="L298" s="14" t="n">
        <v>1</v>
      </c>
      <c r="M298" s="14" t="inlineStr">
        <is>
          <t>LM</t>
        </is>
      </c>
      <c r="N298" s="14" t="inlineStr">
        <is>
          <t>Deliver to Wrong Address</t>
        </is>
      </c>
      <c r="O298" s="14" t="inlineStr"/>
      <c r="P298" s="14" t="inlineStr"/>
      <c r="Q298" s="14" t="inlineStr"/>
      <c r="R298" s="14" t="inlineStr">
        <is>
          <t>The driver delivered the parcel to wrong address instead of customers address</t>
        </is>
      </c>
      <c r="S298" s="14" t="inlineStr">
        <is>
          <t>Naveen</t>
        </is>
      </c>
      <c r="T298" s="14">
        <f>COUNTIF($B$2:$B$499,B298)</f>
        <v/>
      </c>
      <c r="U298" s="14">
        <f>COUNTIF($I$2:$I$499,I298)</f>
        <v/>
      </c>
      <c r="V298" s="14">
        <f>IF(ISNA(MATCH(B298,'Metabase Lookup'!$A:$A,0)),"Not found",IF(INDEX('Metabase Lookup'!$B:$B,MATCH(B298,'Metabase Lookup'!$A:$A,0))="","Pending",INDEX('Metabase Lookup'!$B:$B,MATCH(B298,'Metabase Lookup'!$A:$A,0))))</f>
        <v/>
      </c>
      <c r="W298" s="14">
        <f>IF(ISNA(MATCH(B298,'Metabase Lookup'!$A:$A,0)),"Not found",IF(INDEX('Metabase Lookup'!$C:$C,MATCH(B298,'Metabase Lookup'!$A:$A,0))="","Pending",INDEX('Metabase Lookup'!$C:$C,MATCH(B298,'Metabase Lookup'!$A:$A,0))))</f>
        <v/>
      </c>
      <c r="X298" s="14">
        <f>IF(ISNA(MATCH(B298,'Metabase Lookup'!$A:$A,0)),"",IF(INDEX('Metabase Lookup'!$D:$D,MATCH(B298,'Metabase Lookup'!$A:$A,0))="","",INDEX('Metabase Lookup'!$D:$D,MATCH(B298,'Metabase Lookup'!$A:$A,0))))</f>
        <v/>
      </c>
      <c r="Y298" s="14">
        <f>IF(ISNUMBER(W298),IF(W298&gt;0,"Yes","No"),"Pending")</f>
        <v/>
      </c>
      <c r="Z298" s="14" t="inlineStr"/>
    </row>
    <row r="299">
      <c r="A299" s="14" t="n">
        <v>298</v>
      </c>
      <c r="B299" s="14" t="inlineStr">
        <is>
          <t>TNGDV2609156907420100</t>
        </is>
      </c>
      <c r="C299" s="15" t="inlineStr">
        <is>
          <t>268642666310</t>
        </is>
      </c>
      <c r="D299" s="16" t="n">
        <v>46289.41143518518</v>
      </c>
      <c r="E299" s="17" t="n">
        <v>46289</v>
      </c>
      <c r="F299" s="14" t="inlineStr">
        <is>
          <t>Thu</t>
        </is>
      </c>
      <c r="G299" s="14" t="inlineStr">
        <is>
          <t>East MY</t>
        </is>
      </c>
      <c r="H299" s="14" t="inlineStr">
        <is>
          <t>BKW</t>
        </is>
      </c>
      <c r="I299" s="14" t="inlineStr">
        <is>
          <t>BKW - ID - KENNETH</t>
        </is>
      </c>
      <c r="J299" s="14" t="inlineStr">
        <is>
          <t>ID (named driver)</t>
        </is>
      </c>
      <c r="K299" s="14" t="inlineStr">
        <is>
          <t>91859984</t>
        </is>
      </c>
      <c r="L299" s="14" t="n">
        <v>1</v>
      </c>
      <c r="M299" s="14" t="inlineStr">
        <is>
          <t>LM</t>
        </is>
      </c>
      <c r="N299" s="14" t="inlineStr">
        <is>
          <t>Fake Fail</t>
        </is>
      </c>
      <c r="O299" s="14" t="inlineStr">
        <is>
          <t>Call not connected / no response</t>
        </is>
      </c>
      <c r="P299" s="14" t="inlineStr">
        <is>
          <t>Yes</t>
        </is>
      </c>
      <c r="Q299" s="14" t="inlineStr">
        <is>
          <t>No</t>
        </is>
      </c>
      <c r="R299" s="14" t="inlineStr">
        <is>
          <t>POD invalid call log same minute, invalid location</t>
        </is>
      </c>
      <c r="S299" s="14" t="inlineStr">
        <is>
          <t>Ninja Hadif</t>
        </is>
      </c>
      <c r="T299" s="14">
        <f>COUNTIF($B$2:$B$499,B299)</f>
        <v/>
      </c>
      <c r="U299" s="14">
        <f>COUNTIF($I$2:$I$499,I299)</f>
        <v/>
      </c>
      <c r="V299" s="14">
        <f>IF(ISNA(MATCH(B299,'Metabase Lookup'!$A:$A,0)),"Not found",IF(INDEX('Metabase Lookup'!$B:$B,MATCH(B299,'Metabase Lookup'!$A:$A,0))="","Pending",INDEX('Metabase Lookup'!$B:$B,MATCH(B299,'Metabase Lookup'!$A:$A,0))))</f>
        <v/>
      </c>
      <c r="W299" s="14">
        <f>IF(ISNA(MATCH(B299,'Metabase Lookup'!$A:$A,0)),"Not found",IF(INDEX('Metabase Lookup'!$C:$C,MATCH(B299,'Metabase Lookup'!$A:$A,0))="","Pending",INDEX('Metabase Lookup'!$C:$C,MATCH(B299,'Metabase Lookup'!$A:$A,0))))</f>
        <v/>
      </c>
      <c r="X299" s="14">
        <f>IF(ISNA(MATCH(B299,'Metabase Lookup'!$A:$A,0)),"",IF(INDEX('Metabase Lookup'!$D:$D,MATCH(B299,'Metabase Lookup'!$A:$A,0))="","",INDEX('Metabase Lookup'!$D:$D,MATCH(B299,'Metabase Lookup'!$A:$A,0))))</f>
        <v/>
      </c>
      <c r="Y299" s="14">
        <f>IF(ISNUMBER(W299),IF(W299&gt;0,"Yes","No"),"Pending")</f>
        <v/>
      </c>
      <c r="Z299" s="14" t="inlineStr"/>
    </row>
    <row r="300">
      <c r="A300" s="14" t="n">
        <v>299</v>
      </c>
      <c r="B300" s="14" t="inlineStr">
        <is>
          <t>RYTDB1ZPYOXLUYJ</t>
        </is>
      </c>
      <c r="C300" s="15" t="inlineStr">
        <is>
          <t>262142662325</t>
        </is>
      </c>
      <c r="D300" s="16" t="n">
        <v>46289.41189814815</v>
      </c>
      <c r="E300" s="17" t="n">
        <v>46289</v>
      </c>
      <c r="F300" s="14" t="inlineStr">
        <is>
          <t>Thu</t>
        </is>
      </c>
      <c r="G300" s="14" t="inlineStr">
        <is>
          <t>KV</t>
        </is>
      </c>
      <c r="H300" s="14" t="inlineStr">
        <is>
          <t>DAM</t>
        </is>
      </c>
      <c r="I300" s="14" t="inlineStr">
        <is>
          <t>DAM - HD - HAZROL EFFENDEE BIN NORSHAM</t>
        </is>
      </c>
      <c r="J300" s="14" t="inlineStr">
        <is>
          <t>HD (named)</t>
        </is>
      </c>
      <c r="K300" s="14" t="inlineStr">
        <is>
          <t>91870653</t>
        </is>
      </c>
      <c r="L300" s="14" t="n">
        <v>1</v>
      </c>
      <c r="M300" s="14" t="inlineStr">
        <is>
          <t>LM</t>
        </is>
      </c>
      <c r="N300" s="14" t="inlineStr">
        <is>
          <t>Deliver to Wrong Address</t>
        </is>
      </c>
      <c r="O300" s="14" t="inlineStr"/>
      <c r="P300" s="14" t="inlineStr"/>
      <c r="Q300" s="14" t="inlineStr"/>
      <c r="R300" s="14" t="inlineStr">
        <is>
          <t>The driver delivered the parcel to wrong address instead of cust address</t>
        </is>
      </c>
      <c r="S300" s="14" t="inlineStr">
        <is>
          <t>Naveen</t>
        </is>
      </c>
      <c r="T300" s="14">
        <f>COUNTIF($B$2:$B$499,B300)</f>
        <v/>
      </c>
      <c r="U300" s="14">
        <f>COUNTIF($I$2:$I$499,I300)</f>
        <v/>
      </c>
      <c r="V300" s="14">
        <f>IF(ISNA(MATCH(B300,'Metabase Lookup'!$A:$A,0)),"Not found",IF(INDEX('Metabase Lookup'!$B:$B,MATCH(B300,'Metabase Lookup'!$A:$A,0))="","Pending",INDEX('Metabase Lookup'!$B:$B,MATCH(B300,'Metabase Lookup'!$A:$A,0))))</f>
        <v/>
      </c>
      <c r="W300" s="14">
        <f>IF(ISNA(MATCH(B300,'Metabase Lookup'!$A:$A,0)),"Not found",IF(INDEX('Metabase Lookup'!$C:$C,MATCH(B300,'Metabase Lookup'!$A:$A,0))="","Pending",INDEX('Metabase Lookup'!$C:$C,MATCH(B300,'Metabase Lookup'!$A:$A,0))))</f>
        <v/>
      </c>
      <c r="X300" s="14">
        <f>IF(ISNA(MATCH(B300,'Metabase Lookup'!$A:$A,0)),"",IF(INDEX('Metabase Lookup'!$D:$D,MATCH(B300,'Metabase Lookup'!$A:$A,0))="","",INDEX('Metabase Lookup'!$D:$D,MATCH(B300,'Metabase Lookup'!$A:$A,0))))</f>
        <v/>
      </c>
      <c r="Y300" s="14">
        <f>IF(ISNUMBER(W300),IF(W300&gt;0,"Yes","No"),"Pending")</f>
        <v/>
      </c>
      <c r="Z300" s="14" t="inlineStr"/>
    </row>
    <row r="301">
      <c r="A301" s="14" t="n">
        <v>300</v>
      </c>
      <c r="B301" s="14" t="inlineStr">
        <is>
          <t>PGMLL0004629322-1-1-51</t>
        </is>
      </c>
      <c r="C301" s="15" t="inlineStr">
        <is>
          <t>269162660733</t>
        </is>
      </c>
      <c r="D301" s="16" t="n">
        <v>46289.41907407407</v>
      </c>
      <c r="E301" s="17" t="n">
        <v>46289</v>
      </c>
      <c r="F301" s="14" t="inlineStr">
        <is>
          <t>Thu</t>
        </is>
      </c>
      <c r="G301" s="14" t="inlineStr">
        <is>
          <t>Southern</t>
        </is>
      </c>
      <c r="H301" s="14" t="inlineStr">
        <is>
          <t>PSG</t>
        </is>
      </c>
      <c r="I301" s="14" t="inlineStr">
        <is>
          <t>PSG - ID - HAFIFI NAWAWI</t>
        </is>
      </c>
      <c r="J301" s="14" t="inlineStr">
        <is>
          <t>ID (named driver)</t>
        </is>
      </c>
      <c r="K301" s="14" t="inlineStr">
        <is>
          <t>91875752</t>
        </is>
      </c>
      <c r="L301" s="14" t="n">
        <v>1</v>
      </c>
      <c r="M301" s="14" t="inlineStr">
        <is>
          <t>LM</t>
        </is>
      </c>
      <c r="N301" s="14" t="inlineStr">
        <is>
          <t>Deliver to Wrong Address</t>
        </is>
      </c>
      <c r="O301" s="14" t="inlineStr"/>
      <c r="P301" s="14" t="inlineStr"/>
      <c r="Q301" s="14" t="inlineStr"/>
      <c r="R301" s="14" t="inlineStr">
        <is>
          <t>The driver delivered the parcel to wrong address instead of cust address</t>
        </is>
      </c>
      <c r="S301" s="14" t="inlineStr">
        <is>
          <t>Naveen</t>
        </is>
      </c>
      <c r="T301" s="14">
        <f>COUNTIF($B$2:$B$499,B301)</f>
        <v/>
      </c>
      <c r="U301" s="14">
        <f>COUNTIF($I$2:$I$499,I301)</f>
        <v/>
      </c>
      <c r="V301" s="14">
        <f>IF(ISNA(MATCH(B301,'Metabase Lookup'!$A:$A,0)),"Not found",IF(INDEX('Metabase Lookup'!$B:$B,MATCH(B301,'Metabase Lookup'!$A:$A,0))="","Pending",INDEX('Metabase Lookup'!$B:$B,MATCH(B301,'Metabase Lookup'!$A:$A,0))))</f>
        <v/>
      </c>
      <c r="W301" s="14">
        <f>IF(ISNA(MATCH(B301,'Metabase Lookup'!$A:$A,0)),"Not found",IF(INDEX('Metabase Lookup'!$C:$C,MATCH(B301,'Metabase Lookup'!$A:$A,0))="","Pending",INDEX('Metabase Lookup'!$C:$C,MATCH(B301,'Metabase Lookup'!$A:$A,0))))</f>
        <v/>
      </c>
      <c r="X301" s="14">
        <f>IF(ISNA(MATCH(B301,'Metabase Lookup'!$A:$A,0)),"",IF(INDEX('Metabase Lookup'!$D:$D,MATCH(B301,'Metabase Lookup'!$A:$A,0))="","",INDEX('Metabase Lookup'!$D:$D,MATCH(B301,'Metabase Lookup'!$A:$A,0))))</f>
        <v/>
      </c>
      <c r="Y301" s="14">
        <f>IF(ISNUMBER(W301),IF(W301&gt;0,"Yes","No"),"Pending")</f>
        <v/>
      </c>
      <c r="Z301" s="14" t="inlineStr">
        <is>
          <t>TID had stray spaces/line breaks (cleaned)</t>
        </is>
      </c>
    </row>
    <row r="302">
      <c r="A302" s="14" t="n">
        <v>301</v>
      </c>
      <c r="B302" s="14" t="inlineStr">
        <is>
          <t>RIDZL1551442465070960640</t>
        </is>
      </c>
      <c r="C302" s="15" t="inlineStr">
        <is>
          <t>260872672118</t>
        </is>
      </c>
      <c r="D302" s="16" t="n">
        <v>46289.42274305555</v>
      </c>
      <c r="E302" s="17" t="n">
        <v>46289</v>
      </c>
      <c r="F302" s="14" t="inlineStr">
        <is>
          <t>Thu</t>
        </is>
      </c>
      <c r="G302" s="14" t="inlineStr">
        <is>
          <t>Southern</t>
        </is>
      </c>
      <c r="H302" s="14" t="inlineStr">
        <is>
          <t>KLI</t>
        </is>
      </c>
      <c r="I302" s="14" t="inlineStr">
        <is>
          <t>OPS - KULAI</t>
        </is>
      </c>
      <c r="J302" s="14" t="inlineStr">
        <is>
          <t>OPS (generic hub account)</t>
        </is>
      </c>
      <c r="K302" s="14" t="inlineStr">
        <is>
          <t>91864958</t>
        </is>
      </c>
      <c r="L302" s="14" t="n">
        <v>1</v>
      </c>
      <c r="M302" s="14" t="inlineStr">
        <is>
          <t>LM</t>
        </is>
      </c>
      <c r="N302" s="14" t="inlineStr">
        <is>
          <t>Fake Fail</t>
        </is>
      </c>
      <c r="O302" s="14" t="inlineStr">
        <is>
          <t>Invalid POD (no detail)</t>
        </is>
      </c>
      <c r="P302" s="14" t="inlineStr">
        <is>
          <t>No</t>
        </is>
      </c>
      <c r="Q302" s="14" t="inlineStr">
        <is>
          <t>Yes</t>
        </is>
      </c>
      <c r="R302" s="14" t="inlineStr">
        <is>
          <t>Blank POD by OPS</t>
        </is>
      </c>
      <c r="S302" s="14" t="inlineStr">
        <is>
          <t>Syak</t>
        </is>
      </c>
      <c r="T302" s="14">
        <f>COUNTIF($B$2:$B$499,B302)</f>
        <v/>
      </c>
      <c r="U302" s="14">
        <f>COUNTIF($I$2:$I$499,I302)</f>
        <v/>
      </c>
      <c r="V302" s="14">
        <f>IF(ISNA(MATCH(B302,'Metabase Lookup'!$A:$A,0)),"Not found",IF(INDEX('Metabase Lookup'!$B:$B,MATCH(B302,'Metabase Lookup'!$A:$A,0))="","Pending",INDEX('Metabase Lookup'!$B:$B,MATCH(B302,'Metabase Lookup'!$A:$A,0))))</f>
        <v/>
      </c>
      <c r="W302" s="14">
        <f>IF(ISNA(MATCH(B302,'Metabase Lookup'!$A:$A,0)),"Not found",IF(INDEX('Metabase Lookup'!$C:$C,MATCH(B302,'Metabase Lookup'!$A:$A,0))="","Pending",INDEX('Metabase Lookup'!$C:$C,MATCH(B302,'Metabase Lookup'!$A:$A,0))))</f>
        <v/>
      </c>
      <c r="X302" s="14">
        <f>IF(ISNA(MATCH(B302,'Metabase Lookup'!$A:$A,0)),"",IF(INDEX('Metabase Lookup'!$D:$D,MATCH(B302,'Metabase Lookup'!$A:$A,0))="","",INDEX('Metabase Lookup'!$D:$D,MATCH(B302,'Metabase Lookup'!$A:$A,0))))</f>
        <v/>
      </c>
      <c r="Y302" s="14">
        <f>IF(ISNUMBER(W302),IF(W302&gt;0,"Yes","No"),"Pending")</f>
        <v/>
      </c>
      <c r="Z302" s="14" t="inlineStr">
        <is>
          <t>TID had stray spaces/line breaks (cleaned); Driver not identified (OPS account)</t>
        </is>
      </c>
    </row>
    <row r="303">
      <c r="A303" s="14" t="n">
        <v>302</v>
      </c>
      <c r="B303" s="14" t="inlineStr">
        <is>
          <t>NVMYPOPLKIF1220375</t>
        </is>
      </c>
      <c r="C303" s="15" t="inlineStr">
        <is>
          <t>266722670921</t>
        </is>
      </c>
      <c r="D303" s="16" t="n">
        <v>46289.42925925926</v>
      </c>
      <c r="E303" s="17" t="n">
        <v>46289</v>
      </c>
      <c r="F303" s="14" t="inlineStr">
        <is>
          <t>Thu</t>
        </is>
      </c>
      <c r="G303" s="14" t="inlineStr">
        <is>
          <t>Southern</t>
        </is>
      </c>
      <c r="H303" s="14" t="inlineStr">
        <is>
          <t>LKN</t>
        </is>
      </c>
      <c r="I303" s="14" t="inlineStr">
        <is>
          <t>LKN - ID - SYED ALI</t>
        </is>
      </c>
      <c r="J303" s="14" t="inlineStr">
        <is>
          <t>ID (named driver)</t>
        </is>
      </c>
      <c r="K303" s="14" t="inlineStr">
        <is>
          <t>91865711</t>
        </is>
      </c>
      <c r="L303" s="14" t="n">
        <v>1</v>
      </c>
      <c r="M303" s="14" t="inlineStr">
        <is>
          <t>LM</t>
        </is>
      </c>
      <c r="N303" s="14" t="inlineStr">
        <is>
          <t>Fake Fail</t>
        </is>
      </c>
      <c r="O303" s="14" t="inlineStr">
        <is>
          <t>Invalid call log (unspecified)</t>
        </is>
      </c>
      <c r="P303" s="14" t="inlineStr">
        <is>
          <t>No</t>
        </is>
      </c>
      <c r="Q303" s="14" t="inlineStr">
        <is>
          <t>No</t>
        </is>
      </c>
      <c r="R303" s="14" t="inlineStr">
        <is>
          <t>Call log invalid &amp; no WhatsApp with response attached</t>
        </is>
      </c>
      <c r="S303" s="14" t="inlineStr">
        <is>
          <t>Wani</t>
        </is>
      </c>
      <c r="T303" s="14">
        <f>COUNTIF($B$2:$B$499,B303)</f>
        <v/>
      </c>
      <c r="U303" s="14">
        <f>COUNTIF($I$2:$I$499,I303)</f>
        <v/>
      </c>
      <c r="V303" s="14">
        <f>IF(ISNA(MATCH(B303,'Metabase Lookup'!$A:$A,0)),"Not found",IF(INDEX('Metabase Lookup'!$B:$B,MATCH(B303,'Metabase Lookup'!$A:$A,0))="","Pending",INDEX('Metabase Lookup'!$B:$B,MATCH(B303,'Metabase Lookup'!$A:$A,0))))</f>
        <v/>
      </c>
      <c r="W303" s="14">
        <f>IF(ISNA(MATCH(B303,'Metabase Lookup'!$A:$A,0)),"Not found",IF(INDEX('Metabase Lookup'!$C:$C,MATCH(B303,'Metabase Lookup'!$A:$A,0))="","Pending",INDEX('Metabase Lookup'!$C:$C,MATCH(B303,'Metabase Lookup'!$A:$A,0))))</f>
        <v/>
      </c>
      <c r="X303" s="14">
        <f>IF(ISNA(MATCH(B303,'Metabase Lookup'!$A:$A,0)),"",IF(INDEX('Metabase Lookup'!$D:$D,MATCH(B303,'Metabase Lookup'!$A:$A,0))="","",INDEX('Metabase Lookup'!$D:$D,MATCH(B303,'Metabase Lookup'!$A:$A,0))))</f>
        <v/>
      </c>
      <c r="Y303" s="14">
        <f>IF(ISNUMBER(W303),IF(W303&gt;0,"Yes","No"),"Pending")</f>
        <v/>
      </c>
      <c r="Z303" s="14" t="inlineStr"/>
    </row>
    <row r="304">
      <c r="A304" s="14" t="n">
        <v>303</v>
      </c>
      <c r="B304" s="14" t="inlineStr">
        <is>
          <t>NFRSH1012526</t>
        </is>
      </c>
      <c r="C304" s="15" t="inlineStr">
        <is>
          <t>260452675473</t>
        </is>
      </c>
      <c r="D304" s="16" t="n">
        <v>46289.43918981482</v>
      </c>
      <c r="E304" s="17" t="n">
        <v>46289</v>
      </c>
      <c r="F304" s="14" t="inlineStr">
        <is>
          <t>Thu</t>
        </is>
      </c>
      <c r="G304" s="14" t="inlineStr">
        <is>
          <t>Southern</t>
        </is>
      </c>
      <c r="H304" s="14" t="inlineStr">
        <is>
          <t>KEM</t>
        </is>
      </c>
      <c r="I304" s="14" t="inlineStr">
        <is>
          <t>OPS - KEM</t>
        </is>
      </c>
      <c r="J304" s="14" t="inlineStr">
        <is>
          <t>OPS (generic hub account)</t>
        </is>
      </c>
      <c r="K304" s="14" t="inlineStr">
        <is>
          <t>91865703</t>
        </is>
      </c>
      <c r="L304" s="14" t="n">
        <v>1</v>
      </c>
      <c r="M304" s="14" t="inlineStr">
        <is>
          <t>LM</t>
        </is>
      </c>
      <c r="N304" s="14" t="inlineStr">
        <is>
          <t>Fake Fail</t>
        </is>
      </c>
      <c r="O304" s="14" t="inlineStr">
        <is>
          <t>No call / call log missing</t>
        </is>
      </c>
      <c r="P304" s="14" t="inlineStr">
        <is>
          <t>No</t>
        </is>
      </c>
      <c r="Q304" s="14" t="inlineStr">
        <is>
          <t>No</t>
        </is>
      </c>
      <c r="R304" s="14" t="inlineStr">
        <is>
          <t>no call log</t>
        </is>
      </c>
      <c r="S304" s="14" t="inlineStr">
        <is>
          <t>Abdul</t>
        </is>
      </c>
      <c r="T304" s="14">
        <f>COUNTIF($B$2:$B$499,B304)</f>
        <v/>
      </c>
      <c r="U304" s="14">
        <f>COUNTIF($I$2:$I$499,I304)</f>
        <v/>
      </c>
      <c r="V304" s="14">
        <f>IF(ISNA(MATCH(B304,'Metabase Lookup'!$A:$A,0)),"Not found",IF(INDEX('Metabase Lookup'!$B:$B,MATCH(B304,'Metabase Lookup'!$A:$A,0))="","Pending",INDEX('Metabase Lookup'!$B:$B,MATCH(B304,'Metabase Lookup'!$A:$A,0))))</f>
        <v/>
      </c>
      <c r="W304" s="14">
        <f>IF(ISNA(MATCH(B304,'Metabase Lookup'!$A:$A,0)),"Not found",IF(INDEX('Metabase Lookup'!$C:$C,MATCH(B304,'Metabase Lookup'!$A:$A,0))="","Pending",INDEX('Metabase Lookup'!$C:$C,MATCH(B304,'Metabase Lookup'!$A:$A,0))))</f>
        <v/>
      </c>
      <c r="X304" s="14">
        <f>IF(ISNA(MATCH(B304,'Metabase Lookup'!$A:$A,0)),"",IF(INDEX('Metabase Lookup'!$D:$D,MATCH(B304,'Metabase Lookup'!$A:$A,0))="","",INDEX('Metabase Lookup'!$D:$D,MATCH(B304,'Metabase Lookup'!$A:$A,0))))</f>
        <v/>
      </c>
      <c r="Y304" s="14">
        <f>IF(ISNUMBER(W304),IF(W304&gt;0,"Yes","No"),"Pending")</f>
        <v/>
      </c>
      <c r="Z304" s="14" t="inlineStr">
        <is>
          <t>Driver not identified (OPS account)</t>
        </is>
      </c>
    </row>
    <row r="305">
      <c r="A305" s="14" t="n">
        <v>304</v>
      </c>
      <c r="B305" s="14" t="inlineStr">
        <is>
          <t>TNGEO202609171001259197</t>
        </is>
      </c>
      <c r="C305" s="15" t="inlineStr">
        <is>
          <t>266502676346</t>
        </is>
      </c>
      <c r="D305" s="16" t="n">
        <v>46289.43934027778</v>
      </c>
      <c r="E305" s="17" t="n">
        <v>46289</v>
      </c>
      <c r="F305" s="14" t="inlineStr">
        <is>
          <t>Thu</t>
        </is>
      </c>
      <c r="G305" s="14" t="inlineStr">
        <is>
          <t>Northern</t>
        </is>
      </c>
      <c r="H305" s="14" t="inlineStr">
        <is>
          <t>BWH</t>
        </is>
      </c>
      <c r="I305" s="14" t="inlineStr">
        <is>
          <t>BWH - OPS - SELF COLLECT</t>
        </is>
      </c>
      <c r="J305" s="14" t="inlineStr">
        <is>
          <t>OPS (generic hub account)</t>
        </is>
      </c>
      <c r="K305" s="14" t="inlineStr">
        <is>
          <t>91873412</t>
        </is>
      </c>
      <c r="L305" s="14" t="n">
        <v>1</v>
      </c>
      <c r="M305" s="14" t="inlineStr">
        <is>
          <t>LM</t>
        </is>
      </c>
      <c r="N305" s="14" t="inlineStr">
        <is>
          <t>Fake Fail</t>
        </is>
      </c>
      <c r="O305" s="14" t="inlineStr">
        <is>
          <t>No call / call log missing</t>
        </is>
      </c>
      <c r="P305" s="14" t="inlineStr">
        <is>
          <t>No</t>
        </is>
      </c>
      <c r="Q305" s="14" t="inlineStr">
        <is>
          <t>No</t>
        </is>
      </c>
      <c r="R305" s="14" t="inlineStr">
        <is>
          <t>There is no call log attached and cust complaint no call</t>
        </is>
      </c>
      <c r="S305" s="14" t="inlineStr">
        <is>
          <t>Syak</t>
        </is>
      </c>
      <c r="T305" s="14">
        <f>COUNTIF($B$2:$B$499,B305)</f>
        <v/>
      </c>
      <c r="U305" s="14">
        <f>COUNTIF($I$2:$I$499,I305)</f>
        <v/>
      </c>
      <c r="V305" s="14">
        <f>IF(ISNA(MATCH(B305,'Metabase Lookup'!$A:$A,0)),"Not found",IF(INDEX('Metabase Lookup'!$B:$B,MATCH(B305,'Metabase Lookup'!$A:$A,0))="","Pending",INDEX('Metabase Lookup'!$B:$B,MATCH(B305,'Metabase Lookup'!$A:$A,0))))</f>
        <v/>
      </c>
      <c r="W305" s="14">
        <f>IF(ISNA(MATCH(B305,'Metabase Lookup'!$A:$A,0)),"Not found",IF(INDEX('Metabase Lookup'!$C:$C,MATCH(B305,'Metabase Lookup'!$A:$A,0))="","Pending",INDEX('Metabase Lookup'!$C:$C,MATCH(B305,'Metabase Lookup'!$A:$A,0))))</f>
        <v/>
      </c>
      <c r="X305" s="14">
        <f>IF(ISNA(MATCH(B305,'Metabase Lookup'!$A:$A,0)),"",IF(INDEX('Metabase Lookup'!$D:$D,MATCH(B305,'Metabase Lookup'!$A:$A,0))="","",INDEX('Metabase Lookup'!$D:$D,MATCH(B305,'Metabase Lookup'!$A:$A,0))))</f>
        <v/>
      </c>
      <c r="Y305" s="14">
        <f>IF(ISNUMBER(W305),IF(W305&gt;0,"Yes","No"),"Pending")</f>
        <v/>
      </c>
      <c r="Z305" s="14" t="inlineStr">
        <is>
          <t>Driver not identified (OPS account)</t>
        </is>
      </c>
    </row>
    <row r="306">
      <c r="A306" s="14" t="n">
        <v>305</v>
      </c>
      <c r="B306" s="14" t="inlineStr">
        <is>
          <t>SYI1551481379977601024</t>
        </is>
      </c>
      <c r="C306" s="15" t="inlineStr">
        <is>
          <t>262212674747</t>
        </is>
      </c>
      <c r="D306" s="16" t="n">
        <v>46289.44320601852</v>
      </c>
      <c r="E306" s="17" t="n">
        <v>46289</v>
      </c>
      <c r="F306" s="14" t="inlineStr">
        <is>
          <t>Thu</t>
        </is>
      </c>
      <c r="G306" s="14" t="inlineStr">
        <is>
          <t>Southern</t>
        </is>
      </c>
      <c r="H306" s="14" t="inlineStr">
        <is>
          <t>NSJ</t>
        </is>
      </c>
      <c r="I306" s="14" t="inlineStr">
        <is>
          <t>OPS - NSJ</t>
        </is>
      </c>
      <c r="J306" s="14" t="inlineStr">
        <is>
          <t>OPS (generic hub account)</t>
        </is>
      </c>
      <c r="K306" s="14" t="inlineStr">
        <is>
          <t>91874449</t>
        </is>
      </c>
      <c r="L306" s="14" t="n">
        <v>1</v>
      </c>
      <c r="M306" s="14" t="inlineStr">
        <is>
          <t>LM</t>
        </is>
      </c>
      <c r="N306" s="14" t="inlineStr">
        <is>
          <t>Fake Fail</t>
        </is>
      </c>
      <c r="O306" s="14" t="inlineStr">
        <is>
          <t>No call / call log missing</t>
        </is>
      </c>
      <c r="P306" s="14" t="inlineStr">
        <is>
          <t>No</t>
        </is>
      </c>
      <c r="Q306" s="14" t="inlineStr">
        <is>
          <t>Yes</t>
        </is>
      </c>
      <c r="R306" s="14" t="inlineStr">
        <is>
          <t>There is no valid text and call log attached by OPS. No call recvd by cust</t>
        </is>
      </c>
      <c r="S306" s="14" t="inlineStr">
        <is>
          <t>Syak</t>
        </is>
      </c>
      <c r="T306" s="14">
        <f>COUNTIF($B$2:$B$499,B306)</f>
        <v/>
      </c>
      <c r="U306" s="14">
        <f>COUNTIF($I$2:$I$499,I306)</f>
        <v/>
      </c>
      <c r="V306" s="14">
        <f>IF(ISNA(MATCH(B306,'Metabase Lookup'!$A:$A,0)),"Not found",IF(INDEX('Metabase Lookup'!$B:$B,MATCH(B306,'Metabase Lookup'!$A:$A,0))="","Pending",INDEX('Metabase Lookup'!$B:$B,MATCH(B306,'Metabase Lookup'!$A:$A,0))))</f>
        <v/>
      </c>
      <c r="W306" s="14">
        <f>IF(ISNA(MATCH(B306,'Metabase Lookup'!$A:$A,0)),"Not found",IF(INDEX('Metabase Lookup'!$C:$C,MATCH(B306,'Metabase Lookup'!$A:$A,0))="","Pending",INDEX('Metabase Lookup'!$C:$C,MATCH(B306,'Metabase Lookup'!$A:$A,0))))</f>
        <v/>
      </c>
      <c r="X306" s="14">
        <f>IF(ISNA(MATCH(B306,'Metabase Lookup'!$A:$A,0)),"",IF(INDEX('Metabase Lookup'!$D:$D,MATCH(B306,'Metabase Lookup'!$A:$A,0))="","",INDEX('Metabase Lookup'!$D:$D,MATCH(B306,'Metabase Lookup'!$A:$A,0))))</f>
        <v/>
      </c>
      <c r="Y306" s="14">
        <f>IF(ISNUMBER(W306),IF(W306&gt;0,"Yes","No"),"Pending")</f>
        <v/>
      </c>
      <c r="Z306" s="14" t="inlineStr">
        <is>
          <t>Driver not identified (OPS account)</t>
        </is>
      </c>
    </row>
    <row r="307">
      <c r="A307" s="14" t="n">
        <v>306</v>
      </c>
      <c r="B307" s="14" t="inlineStr">
        <is>
          <t>NVMYNINJA002523519</t>
        </is>
      </c>
      <c r="C307" s="15" t="inlineStr">
        <is>
          <t>268782671468</t>
        </is>
      </c>
      <c r="D307" s="16" t="n">
        <v>46289.46122685185</v>
      </c>
      <c r="E307" s="17" t="n">
        <v>46289</v>
      </c>
      <c r="F307" s="14" t="inlineStr">
        <is>
          <t>Thu</t>
        </is>
      </c>
      <c r="G307" s="14" t="inlineStr">
        <is>
          <t>Northern</t>
        </is>
      </c>
      <c r="H307" s="14" t="inlineStr">
        <is>
          <t>KLM</t>
        </is>
      </c>
      <c r="I307" s="14" t="inlineStr">
        <is>
          <t>KLM - IR - ZAKWAN ILMAN</t>
        </is>
      </c>
      <c r="J307" s="14" t="inlineStr">
        <is>
          <t>IR (named)</t>
        </is>
      </c>
      <c r="K307" s="14" t="inlineStr">
        <is>
          <t>91874919</t>
        </is>
      </c>
      <c r="L307" s="14" t="n">
        <v>1</v>
      </c>
      <c r="M307" s="14" t="inlineStr">
        <is>
          <t>LM</t>
        </is>
      </c>
      <c r="N307" s="14" t="inlineStr">
        <is>
          <t>Fake Fail</t>
        </is>
      </c>
      <c r="O307" s="14" t="inlineStr">
        <is>
          <t>Invalid location / site photo</t>
        </is>
      </c>
      <c r="P307" s="14" t="inlineStr">
        <is>
          <t>Yes</t>
        </is>
      </c>
      <c r="Q307" s="14" t="inlineStr">
        <is>
          <t>No</t>
        </is>
      </c>
      <c r="R307" s="14" t="inlineStr">
        <is>
          <t>Driver went to the wrong location</t>
        </is>
      </c>
      <c r="S307" s="14" t="inlineStr">
        <is>
          <t>Syak</t>
        </is>
      </c>
      <c r="T307" s="14">
        <f>COUNTIF($B$2:$B$499,B307)</f>
        <v/>
      </c>
      <c r="U307" s="14">
        <f>COUNTIF($I$2:$I$499,I307)</f>
        <v/>
      </c>
      <c r="V307" s="14">
        <f>IF(ISNA(MATCH(B307,'Metabase Lookup'!$A:$A,0)),"Not found",IF(INDEX('Metabase Lookup'!$B:$B,MATCH(B307,'Metabase Lookup'!$A:$A,0))="","Pending",INDEX('Metabase Lookup'!$B:$B,MATCH(B307,'Metabase Lookup'!$A:$A,0))))</f>
        <v/>
      </c>
      <c r="W307" s="14">
        <f>IF(ISNA(MATCH(B307,'Metabase Lookup'!$A:$A,0)),"Not found",IF(INDEX('Metabase Lookup'!$C:$C,MATCH(B307,'Metabase Lookup'!$A:$A,0))="","Pending",INDEX('Metabase Lookup'!$C:$C,MATCH(B307,'Metabase Lookup'!$A:$A,0))))</f>
        <v/>
      </c>
      <c r="X307" s="14">
        <f>IF(ISNA(MATCH(B307,'Metabase Lookup'!$A:$A,0)),"",IF(INDEX('Metabase Lookup'!$D:$D,MATCH(B307,'Metabase Lookup'!$A:$A,0))="","",INDEX('Metabase Lookup'!$D:$D,MATCH(B307,'Metabase Lookup'!$A:$A,0))))</f>
        <v/>
      </c>
      <c r="Y307" s="14">
        <f>IF(ISNUMBER(W307),IF(W307&gt;0,"Yes","No"),"Pending")</f>
        <v/>
      </c>
      <c r="Z307" s="14" t="inlineStr"/>
    </row>
    <row r="308">
      <c r="A308" s="14" t="n">
        <v>307</v>
      </c>
      <c r="B308" s="14" t="inlineStr">
        <is>
          <t>MJCPE1549037237451567104</t>
        </is>
      </c>
      <c r="C308" s="15" t="inlineStr">
        <is>
          <t>262052664204</t>
        </is>
      </c>
      <c r="D308" s="16" t="n">
        <v>46289.46267361111</v>
      </c>
      <c r="E308" s="17" t="n">
        <v>46289</v>
      </c>
      <c r="F308" s="14" t="inlineStr">
        <is>
          <t>Thu</t>
        </is>
      </c>
      <c r="G308" s="14" t="inlineStr">
        <is>
          <t>East MY</t>
        </is>
      </c>
      <c r="H308" s="14" t="inlineStr">
        <is>
          <t>MYY</t>
        </is>
      </c>
      <c r="I308" s="14" t="inlineStr">
        <is>
          <t>MYY - ID - LEE YEW FOOK</t>
        </is>
      </c>
      <c r="J308" s="14" t="inlineStr">
        <is>
          <t>ID (named driver)</t>
        </is>
      </c>
      <c r="K308" s="14" t="inlineStr">
        <is>
          <t>91847852</t>
        </is>
      </c>
      <c r="L308" s="14" t="n">
        <v>1</v>
      </c>
      <c r="M308" s="14" t="inlineStr">
        <is>
          <t>LM</t>
        </is>
      </c>
      <c r="N308" s="14" t="inlineStr">
        <is>
          <t>Deliver to Wrong Address</t>
        </is>
      </c>
      <c r="O308" s="14" t="inlineStr"/>
      <c r="P308" s="14" t="inlineStr"/>
      <c r="Q308" s="14" t="inlineStr"/>
      <c r="R308" s="14" t="inlineStr">
        <is>
          <t>Parcel completed 2026-09-20 but cust not received. Done investigate and customer already received it (parcel delivered to the opposite cust house)</t>
        </is>
      </c>
      <c r="S308" s="14" t="inlineStr">
        <is>
          <t>Syaza</t>
        </is>
      </c>
      <c r="T308" s="14">
        <f>COUNTIF($B$2:$B$499,B308)</f>
        <v/>
      </c>
      <c r="U308" s="14">
        <f>COUNTIF($I$2:$I$499,I308)</f>
        <v/>
      </c>
      <c r="V308" s="14">
        <f>IF(ISNA(MATCH(B308,'Metabase Lookup'!$A:$A,0)),"Not found",IF(INDEX('Metabase Lookup'!$B:$B,MATCH(B308,'Metabase Lookup'!$A:$A,0))="","Pending",INDEX('Metabase Lookup'!$B:$B,MATCH(B308,'Metabase Lookup'!$A:$A,0))))</f>
        <v/>
      </c>
      <c r="W308" s="14">
        <f>IF(ISNA(MATCH(B308,'Metabase Lookup'!$A:$A,0)),"Not found",IF(INDEX('Metabase Lookup'!$C:$C,MATCH(B308,'Metabase Lookup'!$A:$A,0))="","Pending",INDEX('Metabase Lookup'!$C:$C,MATCH(B308,'Metabase Lookup'!$A:$A,0))))</f>
        <v/>
      </c>
      <c r="X308" s="14">
        <f>IF(ISNA(MATCH(B308,'Metabase Lookup'!$A:$A,0)),"",IF(INDEX('Metabase Lookup'!$D:$D,MATCH(B308,'Metabase Lookup'!$A:$A,0))="","",INDEX('Metabase Lookup'!$D:$D,MATCH(B308,'Metabase Lookup'!$A:$A,0))))</f>
        <v/>
      </c>
      <c r="Y308" s="14">
        <f>IF(ISNUMBER(W308),IF(W308&gt;0,"Yes","No"),"Pending")</f>
        <v/>
      </c>
      <c r="Z308" s="14" t="inlineStr"/>
    </row>
    <row r="309">
      <c r="A309" s="14" t="n">
        <v>308</v>
      </c>
      <c r="B309" s="14" t="inlineStr">
        <is>
          <t>NVMYASTCH000011456</t>
        </is>
      </c>
      <c r="C309" s="15" t="inlineStr">
        <is>
          <t>268992642077</t>
        </is>
      </c>
      <c r="D309" s="16" t="n">
        <v>46289.46506944444</v>
      </c>
      <c r="E309" s="17" t="n">
        <v>46289</v>
      </c>
      <c r="F309" s="14" t="inlineStr">
        <is>
          <t>Thu</t>
        </is>
      </c>
      <c r="G309" s="14" t="inlineStr">
        <is>
          <t>Northern</t>
        </is>
      </c>
      <c r="H309" s="14" t="inlineStr">
        <is>
          <t>YPG</t>
        </is>
      </c>
      <c r="I309" s="14" t="inlineStr">
        <is>
          <t>CC - YPG - ID - Hashar Sapuan</t>
        </is>
      </c>
      <c r="J309" s="14" t="inlineStr">
        <is>
          <t>Other coded</t>
        </is>
      </c>
      <c r="K309" s="14" t="inlineStr">
        <is>
          <t>91808952</t>
        </is>
      </c>
      <c r="L309" s="14" t="n">
        <v>1</v>
      </c>
      <c r="M309" s="14" t="inlineStr">
        <is>
          <t>Cold Chain (CC)</t>
        </is>
      </c>
      <c r="N309" s="14" t="inlineStr">
        <is>
          <t>Deliver to Wrong Address</t>
        </is>
      </c>
      <c r="O309" s="14" t="inlineStr"/>
      <c r="P309" s="14" t="inlineStr"/>
      <c r="Q309" s="14" t="inlineStr"/>
      <c r="R309" s="14" t="inlineStr">
        <is>
          <t>The driver delivered the parcel to wrong address instead of cust address</t>
        </is>
      </c>
      <c r="S309" s="14" t="inlineStr">
        <is>
          <t>Naveen</t>
        </is>
      </c>
      <c r="T309" s="14">
        <f>COUNTIF($B$2:$B$499,B309)</f>
        <v/>
      </c>
      <c r="U309" s="14">
        <f>COUNTIF($I$2:$I$499,I309)</f>
        <v/>
      </c>
      <c r="V309" s="14">
        <f>IF(ISNA(MATCH(B309,'Metabase Lookup'!$A:$A,0)),"Not found",IF(INDEX('Metabase Lookup'!$B:$B,MATCH(B309,'Metabase Lookup'!$A:$A,0))="","Pending",INDEX('Metabase Lookup'!$B:$B,MATCH(B309,'Metabase Lookup'!$A:$A,0))))</f>
        <v/>
      </c>
      <c r="W309" s="14">
        <f>IF(ISNA(MATCH(B309,'Metabase Lookup'!$A:$A,0)),"Not found",IF(INDEX('Metabase Lookup'!$C:$C,MATCH(B309,'Metabase Lookup'!$A:$A,0))="","Pending",INDEX('Metabase Lookup'!$C:$C,MATCH(B309,'Metabase Lookup'!$A:$A,0))))</f>
        <v/>
      </c>
      <c r="X309" s="14">
        <f>IF(ISNA(MATCH(B309,'Metabase Lookup'!$A:$A,0)),"",IF(INDEX('Metabase Lookup'!$D:$D,MATCH(B309,'Metabase Lookup'!$A:$A,0))="","",INDEX('Metabase Lookup'!$D:$D,MATCH(B309,'Metabase Lookup'!$A:$A,0))))</f>
        <v/>
      </c>
      <c r="Y309" s="14">
        <f>IF(ISNUMBER(W309),IF(W309&gt;0,"Yes","No"),"Pending")</f>
        <v/>
      </c>
      <c r="Z309" s="14" t="inlineStr"/>
    </row>
    <row r="310">
      <c r="A310" s="14" t="n">
        <v>309</v>
      </c>
      <c r="B310" s="14" t="inlineStr">
        <is>
          <t>AEMYA000630852</t>
        </is>
      </c>
      <c r="C310" s="15" t="inlineStr">
        <is>
          <t>269282665760</t>
        </is>
      </c>
      <c r="D310" s="16" t="n">
        <v>46289.46814814815</v>
      </c>
      <c r="E310" s="17" t="n">
        <v>46289</v>
      </c>
      <c r="F310" s="14" t="inlineStr">
        <is>
          <t>Thu</t>
        </is>
      </c>
      <c r="G310" s="14" t="inlineStr">
        <is>
          <t>Southern</t>
        </is>
      </c>
      <c r="H310" s="14" t="inlineStr">
        <is>
          <t>PSG</t>
        </is>
      </c>
      <c r="I310" s="14" t="inlineStr">
        <is>
          <t>PSG - ID - PUTERI AMLI</t>
        </is>
      </c>
      <c r="J310" s="14" t="inlineStr">
        <is>
          <t>ID (named driver)</t>
        </is>
      </c>
      <c r="K310" s="14" t="inlineStr">
        <is>
          <t>91849137</t>
        </is>
      </c>
      <c r="L310" s="14" t="n">
        <v>1</v>
      </c>
      <c r="M310" s="14" t="inlineStr">
        <is>
          <t>LM</t>
        </is>
      </c>
      <c r="N310" s="14" t="inlineStr">
        <is>
          <t>Deliver to Wrong Address</t>
        </is>
      </c>
      <c r="O310" s="14" t="inlineStr"/>
      <c r="P310" s="14" t="inlineStr"/>
      <c r="Q310" s="14" t="inlineStr"/>
      <c r="R310" s="14" t="inlineStr">
        <is>
          <t>Completed 2026-09-20 but delivered to the wrong address. Done retrieve and customer received it parcel on 23/9</t>
        </is>
      </c>
      <c r="S310" s="14" t="inlineStr">
        <is>
          <t>Syaza</t>
        </is>
      </c>
      <c r="T310" s="14">
        <f>COUNTIF($B$2:$B$499,B310)</f>
        <v/>
      </c>
      <c r="U310" s="14">
        <f>COUNTIF($I$2:$I$499,I310)</f>
        <v/>
      </c>
      <c r="V310" s="14">
        <f>IF(ISNA(MATCH(B310,'Metabase Lookup'!$A:$A,0)),"Not found",IF(INDEX('Metabase Lookup'!$B:$B,MATCH(B310,'Metabase Lookup'!$A:$A,0))="","Pending",INDEX('Metabase Lookup'!$B:$B,MATCH(B310,'Metabase Lookup'!$A:$A,0))))</f>
        <v/>
      </c>
      <c r="W310" s="14">
        <f>IF(ISNA(MATCH(B310,'Metabase Lookup'!$A:$A,0)),"Not found",IF(INDEX('Metabase Lookup'!$C:$C,MATCH(B310,'Metabase Lookup'!$A:$A,0))="","Pending",INDEX('Metabase Lookup'!$C:$C,MATCH(B310,'Metabase Lookup'!$A:$A,0))))</f>
        <v/>
      </c>
      <c r="X310" s="14">
        <f>IF(ISNA(MATCH(B310,'Metabase Lookup'!$A:$A,0)),"",IF(INDEX('Metabase Lookup'!$D:$D,MATCH(B310,'Metabase Lookup'!$A:$A,0))="","",INDEX('Metabase Lookup'!$D:$D,MATCH(B310,'Metabase Lookup'!$A:$A,0))))</f>
        <v/>
      </c>
      <c r="Y310" s="14">
        <f>IF(ISNUMBER(W310),IF(W310&gt;0,"Yes","No"),"Pending")</f>
        <v/>
      </c>
      <c r="Z310" s="14" t="inlineStr"/>
    </row>
    <row r="311">
      <c r="A311" s="14" t="n">
        <v>310</v>
      </c>
      <c r="B311" s="14" t="inlineStr">
        <is>
          <t>SHINE1551872275179208704</t>
        </is>
      </c>
      <c r="C311" s="15" t="inlineStr">
        <is>
          <t>262142678503</t>
        </is>
      </c>
      <c r="D311" s="16" t="n">
        <v>46289.47232638889</v>
      </c>
      <c r="E311" s="17" t="n">
        <v>46289</v>
      </c>
      <c r="F311" s="14" t="inlineStr">
        <is>
          <t>Thu</t>
        </is>
      </c>
      <c r="G311" s="14" t="inlineStr">
        <is>
          <t>Northern</t>
        </is>
      </c>
      <c r="H311" s="14" t="inlineStr">
        <is>
          <t>GEO</t>
        </is>
      </c>
      <c r="I311" s="14" t="inlineStr">
        <is>
          <t>GEO - ID - AFI</t>
        </is>
      </c>
      <c r="J311" s="14" t="inlineStr">
        <is>
          <t>ID (named driver)</t>
        </is>
      </c>
      <c r="K311" s="14" t="inlineStr">
        <is>
          <t>91874835</t>
        </is>
      </c>
      <c r="L311" s="14" t="n">
        <v>1</v>
      </c>
      <c r="M311" s="14" t="inlineStr">
        <is>
          <t>LM</t>
        </is>
      </c>
      <c r="N311" s="14" t="inlineStr">
        <is>
          <t>Fake Fail</t>
        </is>
      </c>
      <c r="O311" s="14" t="inlineStr">
        <is>
          <t>Wrong number called</t>
        </is>
      </c>
      <c r="P311" s="14" t="inlineStr">
        <is>
          <t>No</t>
        </is>
      </c>
      <c r="Q311" s="14" t="inlineStr">
        <is>
          <t>No</t>
        </is>
      </c>
      <c r="R311" s="14" t="inlineStr">
        <is>
          <t>driver attach wrong call log and not belong to customer,</t>
        </is>
      </c>
      <c r="S311" s="14" t="inlineStr">
        <is>
          <t>Zati</t>
        </is>
      </c>
      <c r="T311" s="14">
        <f>COUNTIF($B$2:$B$499,B311)</f>
        <v/>
      </c>
      <c r="U311" s="14">
        <f>COUNTIF($I$2:$I$499,I311)</f>
        <v/>
      </c>
      <c r="V311" s="14">
        <f>IF(ISNA(MATCH(B311,'Metabase Lookup'!$A:$A,0)),"Not found",IF(INDEX('Metabase Lookup'!$B:$B,MATCH(B311,'Metabase Lookup'!$A:$A,0))="","Pending",INDEX('Metabase Lookup'!$B:$B,MATCH(B311,'Metabase Lookup'!$A:$A,0))))</f>
        <v/>
      </c>
      <c r="W311" s="14">
        <f>IF(ISNA(MATCH(B311,'Metabase Lookup'!$A:$A,0)),"Not found",IF(INDEX('Metabase Lookup'!$C:$C,MATCH(B311,'Metabase Lookup'!$A:$A,0))="","Pending",INDEX('Metabase Lookup'!$C:$C,MATCH(B311,'Metabase Lookup'!$A:$A,0))))</f>
        <v/>
      </c>
      <c r="X311" s="14">
        <f>IF(ISNA(MATCH(B311,'Metabase Lookup'!$A:$A,0)),"",IF(INDEX('Metabase Lookup'!$D:$D,MATCH(B311,'Metabase Lookup'!$A:$A,0))="","",INDEX('Metabase Lookup'!$D:$D,MATCH(B311,'Metabase Lookup'!$A:$A,0))))</f>
        <v/>
      </c>
      <c r="Y311" s="14">
        <f>IF(ISNUMBER(W311),IF(W311&gt;0,"Yes","No"),"Pending")</f>
        <v/>
      </c>
      <c r="Z311" s="14" t="inlineStr"/>
    </row>
    <row r="312">
      <c r="A312" s="14" t="n">
        <v>311</v>
      </c>
      <c r="B312" s="14" t="inlineStr">
        <is>
          <t>MUMPL1551622217028452352</t>
        </is>
      </c>
      <c r="C312" s="15" t="inlineStr">
        <is>
          <t>269942665663</t>
        </is>
      </c>
      <c r="D312" s="16" t="n">
        <v>46289.47356481481</v>
      </c>
      <c r="E312" s="17" t="n">
        <v>46289</v>
      </c>
      <c r="F312" s="14" t="inlineStr">
        <is>
          <t>Thu</t>
        </is>
      </c>
      <c r="G312" s="14" t="inlineStr">
        <is>
          <t>Southern</t>
        </is>
      </c>
      <c r="H312" s="14" t="inlineStr">
        <is>
          <t>JHB</t>
        </is>
      </c>
      <c r="I312" s="14" t="inlineStr">
        <is>
          <t>CC - JHB - ID - Mohd Edzam</t>
        </is>
      </c>
      <c r="J312" s="14" t="inlineStr">
        <is>
          <t>Other coded</t>
        </is>
      </c>
      <c r="K312" s="14" t="inlineStr">
        <is>
          <t>91872147</t>
        </is>
      </c>
      <c r="L312" s="14" t="n">
        <v>1</v>
      </c>
      <c r="M312" s="14" t="inlineStr">
        <is>
          <t>Cold Chain (CC)</t>
        </is>
      </c>
      <c r="N312" s="14" t="inlineStr">
        <is>
          <t>Rude Behavior</t>
        </is>
      </c>
      <c r="O312" s="14" t="inlineStr"/>
      <c r="P312" s="14" t="inlineStr"/>
      <c r="Q312" s="14" t="inlineStr"/>
      <c r="R312" s="14" t="inlineStr">
        <is>
          <t>Shipper claimed driver should be reschedule the parcel not inform the customer delivery now and risk the goods thawing, or the customer self‑collect from the warehouse</t>
        </is>
      </c>
      <c r="S312" s="14" t="inlineStr">
        <is>
          <t>Aimenn Aiyad</t>
        </is>
      </c>
      <c r="T312" s="14">
        <f>COUNTIF($B$2:$B$499,B312)</f>
        <v/>
      </c>
      <c r="U312" s="14">
        <f>COUNTIF($I$2:$I$499,I312)</f>
        <v/>
      </c>
      <c r="V312" s="14">
        <f>IF(ISNA(MATCH(B312,'Metabase Lookup'!$A:$A,0)),"Not found",IF(INDEX('Metabase Lookup'!$B:$B,MATCH(B312,'Metabase Lookup'!$A:$A,0))="","Pending",INDEX('Metabase Lookup'!$B:$B,MATCH(B312,'Metabase Lookup'!$A:$A,0))))</f>
        <v/>
      </c>
      <c r="W312" s="14">
        <f>IF(ISNA(MATCH(B312,'Metabase Lookup'!$A:$A,0)),"Not found",IF(INDEX('Metabase Lookup'!$C:$C,MATCH(B312,'Metabase Lookup'!$A:$A,0))="","Pending",INDEX('Metabase Lookup'!$C:$C,MATCH(B312,'Metabase Lookup'!$A:$A,0))))</f>
        <v/>
      </c>
      <c r="X312" s="14">
        <f>IF(ISNA(MATCH(B312,'Metabase Lookup'!$A:$A,0)),"",IF(INDEX('Metabase Lookup'!$D:$D,MATCH(B312,'Metabase Lookup'!$A:$A,0))="","",INDEX('Metabase Lookup'!$D:$D,MATCH(B312,'Metabase Lookup'!$A:$A,0))))</f>
        <v/>
      </c>
      <c r="Y312" s="14">
        <f>IF(ISNUMBER(W312),IF(W312&gt;0,"Yes","No"),"Pending")</f>
        <v/>
      </c>
      <c r="Z312" s="14" t="inlineStr"/>
    </row>
    <row r="313">
      <c r="A313" s="14" t="n">
        <v>312</v>
      </c>
      <c r="B313" s="14" t="inlineStr">
        <is>
          <t>TNGE126017056518403000</t>
        </is>
      </c>
      <c r="C313" s="15" t="inlineStr">
        <is>
          <t>262582619801</t>
        </is>
      </c>
      <c r="D313" s="16" t="n">
        <v>46289.47944444444</v>
      </c>
      <c r="E313" s="17" t="n">
        <v>46289</v>
      </c>
      <c r="F313" s="14" t="inlineStr">
        <is>
          <t>Thu</t>
        </is>
      </c>
      <c r="G313" s="14" t="inlineStr">
        <is>
          <t>KV</t>
        </is>
      </c>
      <c r="H313" s="14" t="inlineStr">
        <is>
          <t>DSA</t>
        </is>
      </c>
      <c r="I313" s="14" t="inlineStr">
        <is>
          <t>DSA - ID - NUR MAIZATUL</t>
        </is>
      </c>
      <c r="J313" s="14" t="inlineStr">
        <is>
          <t>ID (named driver)</t>
        </is>
      </c>
      <c r="K313" s="14" t="inlineStr">
        <is>
          <t>91833593</t>
        </is>
      </c>
      <c r="L313" s="14" t="n">
        <v>1</v>
      </c>
      <c r="M313" s="14" t="inlineStr">
        <is>
          <t>LM</t>
        </is>
      </c>
      <c r="N313" s="14" t="inlineStr">
        <is>
          <t>Fake Success</t>
        </is>
      </c>
      <c r="O313" s="14" t="inlineStr"/>
      <c r="P313" s="14" t="inlineStr"/>
      <c r="Q313" s="14" t="inlineStr"/>
      <c r="R313" s="14" t="inlineStr">
        <is>
          <t>Invalid POD, system show delivered on 18.09.2026 but customer received on 22.09.2026</t>
        </is>
      </c>
      <c r="S313" s="14" t="inlineStr">
        <is>
          <t>Adid</t>
        </is>
      </c>
      <c r="T313" s="14">
        <f>COUNTIF($B$2:$B$499,B313)</f>
        <v/>
      </c>
      <c r="U313" s="14">
        <f>COUNTIF($I$2:$I$499,I313)</f>
        <v/>
      </c>
      <c r="V313" s="14">
        <f>IF(ISNA(MATCH(B313,'Metabase Lookup'!$A:$A,0)),"Not found",IF(INDEX('Metabase Lookup'!$B:$B,MATCH(B313,'Metabase Lookup'!$A:$A,0))="","Pending",INDEX('Metabase Lookup'!$B:$B,MATCH(B313,'Metabase Lookup'!$A:$A,0))))</f>
        <v/>
      </c>
      <c r="W313" s="14">
        <f>IF(ISNA(MATCH(B313,'Metabase Lookup'!$A:$A,0)),"Not found",IF(INDEX('Metabase Lookup'!$C:$C,MATCH(B313,'Metabase Lookup'!$A:$A,0))="","Pending",INDEX('Metabase Lookup'!$C:$C,MATCH(B313,'Metabase Lookup'!$A:$A,0))))</f>
        <v/>
      </c>
      <c r="X313" s="14">
        <f>IF(ISNA(MATCH(B313,'Metabase Lookup'!$A:$A,0)),"",IF(INDEX('Metabase Lookup'!$D:$D,MATCH(B313,'Metabase Lookup'!$A:$A,0))="","",INDEX('Metabase Lookup'!$D:$D,MATCH(B313,'Metabase Lookup'!$A:$A,0))))</f>
        <v/>
      </c>
      <c r="Y313" s="14">
        <f>IF(ISNUMBER(W313),IF(W313&gt;0,"Yes","No"),"Pending")</f>
        <v/>
      </c>
      <c r="Z313" s="14" t="inlineStr"/>
    </row>
    <row r="314">
      <c r="A314" s="14" t="n">
        <v>313</v>
      </c>
      <c r="B314" s="14" t="inlineStr">
        <is>
          <t>NVMYONEGA000042873</t>
        </is>
      </c>
      <c r="C314" s="15" t="inlineStr">
        <is>
          <t>268322661086</t>
        </is>
      </c>
      <c r="D314" s="16" t="n">
        <v>46289.47954861111</v>
      </c>
      <c r="E314" s="17" t="n">
        <v>46289</v>
      </c>
      <c r="F314" s="14" t="inlineStr">
        <is>
          <t>Thu</t>
        </is>
      </c>
      <c r="G314" s="14" t="inlineStr">
        <is>
          <t>Southern</t>
        </is>
      </c>
      <c r="H314" s="14" t="inlineStr">
        <is>
          <t>AUS</t>
        </is>
      </c>
      <c r="I314" s="14" t="inlineStr">
        <is>
          <t>AUS - ID - NAZRULHADY</t>
        </is>
      </c>
      <c r="J314" s="14" t="inlineStr">
        <is>
          <t>ID (named driver)</t>
        </is>
      </c>
      <c r="K314" s="14" t="inlineStr">
        <is>
          <t>91869838</t>
        </is>
      </c>
      <c r="L314" s="14" t="n">
        <v>1</v>
      </c>
      <c r="M314" s="14" t="inlineStr">
        <is>
          <t>LM</t>
        </is>
      </c>
      <c r="N314" s="14" t="inlineStr">
        <is>
          <t>Fake Fail</t>
        </is>
      </c>
      <c r="O314" s="14" t="inlineStr">
        <is>
          <t>Call not connected / no response</t>
        </is>
      </c>
      <c r="P314" s="14" t="inlineStr">
        <is>
          <t>No</t>
        </is>
      </c>
      <c r="Q314" s="14" t="inlineStr">
        <is>
          <t>No</t>
        </is>
      </c>
      <c r="R314" s="14" t="inlineStr">
        <is>
          <t>Call log same time line and not connected. Message also invalid</t>
        </is>
      </c>
      <c r="S314" s="14" t="inlineStr">
        <is>
          <t>Daus</t>
        </is>
      </c>
      <c r="T314" s="14">
        <f>COUNTIF($B$2:$B$499,B314)</f>
        <v/>
      </c>
      <c r="U314" s="14">
        <f>COUNTIF($I$2:$I$499,I314)</f>
        <v/>
      </c>
      <c r="V314" s="14">
        <f>IF(ISNA(MATCH(B314,'Metabase Lookup'!$A:$A,0)),"Not found",IF(INDEX('Metabase Lookup'!$B:$B,MATCH(B314,'Metabase Lookup'!$A:$A,0))="","Pending",INDEX('Metabase Lookup'!$B:$B,MATCH(B314,'Metabase Lookup'!$A:$A,0))))</f>
        <v/>
      </c>
      <c r="W314" s="14">
        <f>IF(ISNA(MATCH(B314,'Metabase Lookup'!$A:$A,0)),"Not found",IF(INDEX('Metabase Lookup'!$C:$C,MATCH(B314,'Metabase Lookup'!$A:$A,0))="","Pending",INDEX('Metabase Lookup'!$C:$C,MATCH(B314,'Metabase Lookup'!$A:$A,0))))</f>
        <v/>
      </c>
      <c r="X314" s="14">
        <f>IF(ISNA(MATCH(B314,'Metabase Lookup'!$A:$A,0)),"",IF(INDEX('Metabase Lookup'!$D:$D,MATCH(B314,'Metabase Lookup'!$A:$A,0))="","",INDEX('Metabase Lookup'!$D:$D,MATCH(B314,'Metabase Lookup'!$A:$A,0))))</f>
        <v/>
      </c>
      <c r="Y314" s="14">
        <f>IF(ISNUMBER(W314),IF(W314&gt;0,"Yes","No"),"Pending")</f>
        <v/>
      </c>
      <c r="Z314" s="14" t="inlineStr">
        <is>
          <t>TID logged more than once</t>
        </is>
      </c>
    </row>
    <row r="315">
      <c r="A315" s="14" t="n">
        <v>314</v>
      </c>
      <c r="B315" s="14" t="inlineStr">
        <is>
          <t>MYNJV70059945668</t>
        </is>
      </c>
      <c r="C315" s="15" t="inlineStr">
        <is>
          <t>263452679594</t>
        </is>
      </c>
      <c r="D315" s="16" t="n">
        <v>46289.48366898148</v>
      </c>
      <c r="E315" s="17" t="n">
        <v>46289</v>
      </c>
      <c r="F315" s="14" t="inlineStr">
        <is>
          <t>Thu</t>
        </is>
      </c>
      <c r="G315" s="14" t="inlineStr">
        <is>
          <t>KV</t>
        </is>
      </c>
      <c r="H315" s="14" t="inlineStr">
        <is>
          <t>KLG</t>
        </is>
      </c>
      <c r="I315" s="14" t="inlineStr">
        <is>
          <t>KLG -OPS -MUZAFFAR</t>
        </is>
      </c>
      <c r="J315" s="14" t="inlineStr">
        <is>
          <t>OPS (generic hub account)</t>
        </is>
      </c>
      <c r="K315" s="14" t="inlineStr">
        <is>
          <t>91876591</t>
        </is>
      </c>
      <c r="L315" s="14" t="n">
        <v>1</v>
      </c>
      <c r="M315" s="14" t="inlineStr">
        <is>
          <t>LM</t>
        </is>
      </c>
      <c r="N315" s="14" t="inlineStr">
        <is>
          <t>Fake Fail</t>
        </is>
      </c>
      <c r="O315" s="14" t="inlineStr">
        <is>
          <t>Wrong number called</t>
        </is>
      </c>
      <c r="P315" s="14" t="inlineStr">
        <is>
          <t>No</t>
        </is>
      </c>
      <c r="Q315" s="14" t="inlineStr">
        <is>
          <t>Yes</t>
        </is>
      </c>
      <c r="R315" s="14" t="inlineStr">
        <is>
          <t>Failure by OPS with invalid POD as call log not valid since got no number showed, Text not show any number and cust also claim not rcvd any call or Wss</t>
        </is>
      </c>
      <c r="S315" s="14" t="inlineStr">
        <is>
          <t>Syak</t>
        </is>
      </c>
      <c r="T315" s="14">
        <f>COUNTIF($B$2:$B$499,B315)</f>
        <v/>
      </c>
      <c r="U315" s="14">
        <f>COUNTIF($I$2:$I$499,I315)</f>
        <v/>
      </c>
      <c r="V315" s="14">
        <f>IF(ISNA(MATCH(B315,'Metabase Lookup'!$A:$A,0)),"Not found",IF(INDEX('Metabase Lookup'!$B:$B,MATCH(B315,'Metabase Lookup'!$A:$A,0))="","Pending",INDEX('Metabase Lookup'!$B:$B,MATCH(B315,'Metabase Lookup'!$A:$A,0))))</f>
        <v/>
      </c>
      <c r="W315" s="14">
        <f>IF(ISNA(MATCH(B315,'Metabase Lookup'!$A:$A,0)),"Not found",IF(INDEX('Metabase Lookup'!$C:$C,MATCH(B315,'Metabase Lookup'!$A:$A,0))="","Pending",INDEX('Metabase Lookup'!$C:$C,MATCH(B315,'Metabase Lookup'!$A:$A,0))))</f>
        <v/>
      </c>
      <c r="X315" s="14">
        <f>IF(ISNA(MATCH(B315,'Metabase Lookup'!$A:$A,0)),"",IF(INDEX('Metabase Lookup'!$D:$D,MATCH(B315,'Metabase Lookup'!$A:$A,0))="","",INDEX('Metabase Lookup'!$D:$D,MATCH(B315,'Metabase Lookup'!$A:$A,0))))</f>
        <v/>
      </c>
      <c r="Y315" s="14">
        <f>IF(ISNUMBER(W315),IF(W315&gt;0,"Yes","No"),"Pending")</f>
        <v/>
      </c>
      <c r="Z315" s="14" t="inlineStr">
        <is>
          <t>Driver not identified (OPS account)</t>
        </is>
      </c>
    </row>
    <row r="316">
      <c r="A316" s="14" t="n">
        <v>315</v>
      </c>
      <c r="B316" s="14" t="inlineStr">
        <is>
          <t>TNGDV2609136913811870</t>
        </is>
      </c>
      <c r="C316" s="15" t="inlineStr">
        <is>
          <t>268222642954</t>
        </is>
      </c>
      <c r="D316" s="16" t="n">
        <v>46289.48434027778</v>
      </c>
      <c r="E316" s="17" t="n">
        <v>46289</v>
      </c>
      <c r="F316" s="14" t="inlineStr">
        <is>
          <t>Thu</t>
        </is>
      </c>
      <c r="G316" s="14" t="inlineStr">
        <is>
          <t>KV</t>
        </is>
      </c>
      <c r="H316" s="14" t="inlineStr">
        <is>
          <t>DSA</t>
        </is>
      </c>
      <c r="I316" s="14" t="inlineStr">
        <is>
          <t>DSA - ID - WONG KAR MING</t>
        </is>
      </c>
      <c r="J316" s="14" t="inlineStr">
        <is>
          <t>ID (named driver)</t>
        </is>
      </c>
      <c r="K316" s="14" t="inlineStr">
        <is>
          <t>91833586</t>
        </is>
      </c>
      <c r="L316" s="14" t="n">
        <v>1</v>
      </c>
      <c r="M316" s="14" t="inlineStr">
        <is>
          <t>LM</t>
        </is>
      </c>
      <c r="N316" s="14" t="inlineStr">
        <is>
          <t>Fake Success</t>
        </is>
      </c>
      <c r="O316" s="14" t="inlineStr"/>
      <c r="P316" s="14" t="inlineStr"/>
      <c r="Q316" s="14" t="inlineStr"/>
      <c r="R316" s="14" t="inlineStr">
        <is>
          <t>Invalid POD, system show deliver on 18.09.2026 but customer received on 22.09.2026</t>
        </is>
      </c>
      <c r="S316" s="14" t="inlineStr">
        <is>
          <t>Adid</t>
        </is>
      </c>
      <c r="T316" s="14">
        <f>COUNTIF($B$2:$B$499,B316)</f>
        <v/>
      </c>
      <c r="U316" s="14">
        <f>COUNTIF($I$2:$I$499,I316)</f>
        <v/>
      </c>
      <c r="V316" s="14">
        <f>IF(ISNA(MATCH(B316,'Metabase Lookup'!$A:$A,0)),"Not found",IF(INDEX('Metabase Lookup'!$B:$B,MATCH(B316,'Metabase Lookup'!$A:$A,0))="","Pending",INDEX('Metabase Lookup'!$B:$B,MATCH(B316,'Metabase Lookup'!$A:$A,0))))</f>
        <v/>
      </c>
      <c r="W316" s="14">
        <f>IF(ISNA(MATCH(B316,'Metabase Lookup'!$A:$A,0)),"Not found",IF(INDEX('Metabase Lookup'!$C:$C,MATCH(B316,'Metabase Lookup'!$A:$A,0))="","Pending",INDEX('Metabase Lookup'!$C:$C,MATCH(B316,'Metabase Lookup'!$A:$A,0))))</f>
        <v/>
      </c>
      <c r="X316" s="14">
        <f>IF(ISNA(MATCH(B316,'Metabase Lookup'!$A:$A,0)),"",IF(INDEX('Metabase Lookup'!$D:$D,MATCH(B316,'Metabase Lookup'!$A:$A,0))="","",INDEX('Metabase Lookup'!$D:$D,MATCH(B316,'Metabase Lookup'!$A:$A,0))))</f>
        <v/>
      </c>
      <c r="Y316" s="14">
        <f>IF(ISNUMBER(W316),IF(W316&gt;0,"Yes","No"),"Pending")</f>
        <v/>
      </c>
      <c r="Z316" s="14" t="inlineStr"/>
    </row>
    <row r="317">
      <c r="A317" s="14" t="n">
        <v>316</v>
      </c>
      <c r="B317" s="14" t="inlineStr">
        <is>
          <t>AEMYA000635657</t>
        </is>
      </c>
      <c r="C317" s="15" t="inlineStr">
        <is>
          <t>267742670107</t>
        </is>
      </c>
      <c r="D317" s="16" t="n">
        <v>46289.48626157407</v>
      </c>
      <c r="E317" s="17" t="n">
        <v>46289</v>
      </c>
      <c r="F317" s="14" t="inlineStr">
        <is>
          <t>Thu</t>
        </is>
      </c>
      <c r="G317" s="14" t="inlineStr">
        <is>
          <t>Northern</t>
        </is>
      </c>
      <c r="H317" s="14" t="inlineStr">
        <is>
          <t>JIT</t>
        </is>
      </c>
      <c r="I317" s="14" t="inlineStr">
        <is>
          <t>JIT - OPS - HUBJITRA</t>
        </is>
      </c>
      <c r="J317" s="14" t="inlineStr">
        <is>
          <t>OPS (generic hub account)</t>
        </is>
      </c>
      <c r="K317" s="14" t="inlineStr">
        <is>
          <t>91877402</t>
        </is>
      </c>
      <c r="L317" s="14" t="n">
        <v>1</v>
      </c>
      <c r="M317" s="14" t="inlineStr">
        <is>
          <t>LM</t>
        </is>
      </c>
      <c r="N317" s="14" t="inlineStr">
        <is>
          <t>Fake Fail</t>
        </is>
      </c>
      <c r="O317" s="14" t="inlineStr">
        <is>
          <t>Call not connected / no response</t>
        </is>
      </c>
      <c r="P317" s="14" t="inlineStr">
        <is>
          <t>No</t>
        </is>
      </c>
      <c r="Q317" s="14" t="inlineStr">
        <is>
          <t>No</t>
        </is>
      </c>
      <c r="R317" s="14" t="inlineStr">
        <is>
          <t>Call log is not connected and Whatsapp is blocked</t>
        </is>
      </c>
      <c r="S317" s="14" t="inlineStr">
        <is>
          <t>Izzni</t>
        </is>
      </c>
      <c r="T317" s="14">
        <f>COUNTIF($B$2:$B$499,B317)</f>
        <v/>
      </c>
      <c r="U317" s="14">
        <f>COUNTIF($I$2:$I$499,I317)</f>
        <v/>
      </c>
      <c r="V317" s="14">
        <f>IF(ISNA(MATCH(B317,'Metabase Lookup'!$A:$A,0)),"Not found",IF(INDEX('Metabase Lookup'!$B:$B,MATCH(B317,'Metabase Lookup'!$A:$A,0))="","Pending",INDEX('Metabase Lookup'!$B:$B,MATCH(B317,'Metabase Lookup'!$A:$A,0))))</f>
        <v/>
      </c>
      <c r="W317" s="14">
        <f>IF(ISNA(MATCH(B317,'Metabase Lookup'!$A:$A,0)),"Not found",IF(INDEX('Metabase Lookup'!$C:$C,MATCH(B317,'Metabase Lookup'!$A:$A,0))="","Pending",INDEX('Metabase Lookup'!$C:$C,MATCH(B317,'Metabase Lookup'!$A:$A,0))))</f>
        <v/>
      </c>
      <c r="X317" s="14">
        <f>IF(ISNA(MATCH(B317,'Metabase Lookup'!$A:$A,0)),"",IF(INDEX('Metabase Lookup'!$D:$D,MATCH(B317,'Metabase Lookup'!$A:$A,0))="","",INDEX('Metabase Lookup'!$D:$D,MATCH(B317,'Metabase Lookup'!$A:$A,0))))</f>
        <v/>
      </c>
      <c r="Y317" s="14">
        <f>IF(ISNUMBER(W317),IF(W317&gt;0,"Yes","No"),"Pending")</f>
        <v/>
      </c>
      <c r="Z317" s="14" t="inlineStr">
        <is>
          <t>Driver not identified (OPS account)</t>
        </is>
      </c>
    </row>
    <row r="318">
      <c r="A318" s="14" t="n">
        <v>317</v>
      </c>
      <c r="B318" s="14" t="inlineStr">
        <is>
          <t>MAILB1550738280369963008</t>
        </is>
      </c>
      <c r="C318" s="15" t="inlineStr">
        <is>
          <t>267022655026</t>
        </is>
      </c>
      <c r="D318" s="16" t="n">
        <v>46289.48726851852</v>
      </c>
      <c r="E318" s="17" t="n">
        <v>46289</v>
      </c>
      <c r="F318" s="14" t="inlineStr">
        <is>
          <t>Thu</t>
        </is>
      </c>
      <c r="G318" s="14" t="inlineStr">
        <is>
          <t>Southern</t>
        </is>
      </c>
      <c r="H318" s="14" t="inlineStr">
        <is>
          <t>HTM</t>
        </is>
      </c>
      <c r="I318" s="14" t="inlineStr">
        <is>
          <t>HTM - ID - SYAIFULBAHRI</t>
        </is>
      </c>
      <c r="J318" s="14" t="inlineStr">
        <is>
          <t>ID (named driver)</t>
        </is>
      </c>
      <c r="K318" s="14" t="inlineStr">
        <is>
          <t>91849057</t>
        </is>
      </c>
      <c r="L318" s="14" t="n">
        <v>1</v>
      </c>
      <c r="M318" s="14" t="inlineStr">
        <is>
          <t>LM</t>
        </is>
      </c>
      <c r="N318" s="14" t="inlineStr">
        <is>
          <t>Deliver to Wrong Address</t>
        </is>
      </c>
      <c r="O318" s="14" t="inlineStr"/>
      <c r="P318" s="14" t="inlineStr"/>
      <c r="Q318" s="14" t="inlineStr"/>
      <c r="R318" s="14" t="inlineStr">
        <is>
          <t>Completed 2026-09-20 but delivered to the wrong address. Sender retrieved and send back to the customer on 23/9</t>
        </is>
      </c>
      <c r="S318" s="14" t="inlineStr">
        <is>
          <t>Syaza</t>
        </is>
      </c>
      <c r="T318" s="14">
        <f>COUNTIF($B$2:$B$499,B318)</f>
        <v/>
      </c>
      <c r="U318" s="14">
        <f>COUNTIF($I$2:$I$499,I318)</f>
        <v/>
      </c>
      <c r="V318" s="14">
        <f>IF(ISNA(MATCH(B318,'Metabase Lookup'!$A:$A,0)),"Not found",IF(INDEX('Metabase Lookup'!$B:$B,MATCH(B318,'Metabase Lookup'!$A:$A,0))="","Pending",INDEX('Metabase Lookup'!$B:$B,MATCH(B318,'Metabase Lookup'!$A:$A,0))))</f>
        <v/>
      </c>
      <c r="W318" s="14">
        <f>IF(ISNA(MATCH(B318,'Metabase Lookup'!$A:$A,0)),"Not found",IF(INDEX('Metabase Lookup'!$C:$C,MATCH(B318,'Metabase Lookup'!$A:$A,0))="","Pending",INDEX('Metabase Lookup'!$C:$C,MATCH(B318,'Metabase Lookup'!$A:$A,0))))</f>
        <v/>
      </c>
      <c r="X318" s="14">
        <f>IF(ISNA(MATCH(B318,'Metabase Lookup'!$A:$A,0)),"",IF(INDEX('Metabase Lookup'!$D:$D,MATCH(B318,'Metabase Lookup'!$A:$A,0))="","",INDEX('Metabase Lookup'!$D:$D,MATCH(B318,'Metabase Lookup'!$A:$A,0))))</f>
        <v/>
      </c>
      <c r="Y318" s="14">
        <f>IF(ISNUMBER(W318),IF(W318&gt;0,"Yes","No"),"Pending")</f>
        <v/>
      </c>
      <c r="Z318" s="14" t="inlineStr"/>
    </row>
    <row r="319">
      <c r="A319" s="14" t="n">
        <v>318</v>
      </c>
      <c r="B319" s="14" t="inlineStr">
        <is>
          <t>NVMYTHROA000000598</t>
        </is>
      </c>
      <c r="C319" s="15" t="inlineStr">
        <is>
          <t>266992678588</t>
        </is>
      </c>
      <c r="D319" s="16" t="n">
        <v>46289.49170138889</v>
      </c>
      <c r="E319" s="17" t="n">
        <v>46289</v>
      </c>
      <c r="F319" s="14" t="inlineStr">
        <is>
          <t>Thu</t>
        </is>
      </c>
      <c r="G319" s="14" t="inlineStr">
        <is>
          <t>KV</t>
        </is>
      </c>
      <c r="H319" s="14" t="inlineStr">
        <is>
          <t>BTR</t>
        </is>
      </c>
      <c r="I319" s="14" t="inlineStr">
        <is>
          <t>OPS - BTR</t>
        </is>
      </c>
      <c r="J319" s="14" t="inlineStr">
        <is>
          <t>OPS (generic hub account)</t>
        </is>
      </c>
      <c r="K319" s="14" t="inlineStr">
        <is>
          <t>91863051</t>
        </is>
      </c>
      <c r="L319" s="14" t="n">
        <v>1</v>
      </c>
      <c r="M319" s="14" t="inlineStr">
        <is>
          <t>LM</t>
        </is>
      </c>
      <c r="N319" s="14" t="inlineStr">
        <is>
          <t>Fake Fail</t>
        </is>
      </c>
      <c r="O319" s="14" t="inlineStr">
        <is>
          <t>Wrong number called</t>
        </is>
      </c>
      <c r="P319" s="14" t="inlineStr">
        <is>
          <t>No</t>
        </is>
      </c>
      <c r="Q319" s="14" t="inlineStr">
        <is>
          <t>Yes</t>
        </is>
      </c>
      <c r="R319" s="14" t="inlineStr">
        <is>
          <t>failed by OPS. Invalid POD no call log. Wrong number on whatsapp</t>
        </is>
      </c>
      <c r="S319" s="14" t="inlineStr">
        <is>
          <t>Aimenn Aiyad</t>
        </is>
      </c>
      <c r="T319" s="14">
        <f>COUNTIF($B$2:$B$499,B319)</f>
        <v/>
      </c>
      <c r="U319" s="14">
        <f>COUNTIF($I$2:$I$499,I319)</f>
        <v/>
      </c>
      <c r="V319" s="14">
        <f>IF(ISNA(MATCH(B319,'Metabase Lookup'!$A:$A,0)),"Not found",IF(INDEX('Metabase Lookup'!$B:$B,MATCH(B319,'Metabase Lookup'!$A:$A,0))="","Pending",INDEX('Metabase Lookup'!$B:$B,MATCH(B319,'Metabase Lookup'!$A:$A,0))))</f>
        <v/>
      </c>
      <c r="W319" s="14">
        <f>IF(ISNA(MATCH(B319,'Metabase Lookup'!$A:$A,0)),"Not found",IF(INDEX('Metabase Lookup'!$C:$C,MATCH(B319,'Metabase Lookup'!$A:$A,0))="","Pending",INDEX('Metabase Lookup'!$C:$C,MATCH(B319,'Metabase Lookup'!$A:$A,0))))</f>
        <v/>
      </c>
      <c r="X319" s="14">
        <f>IF(ISNA(MATCH(B319,'Metabase Lookup'!$A:$A,0)),"",IF(INDEX('Metabase Lookup'!$D:$D,MATCH(B319,'Metabase Lookup'!$A:$A,0))="","",INDEX('Metabase Lookup'!$D:$D,MATCH(B319,'Metabase Lookup'!$A:$A,0))))</f>
        <v/>
      </c>
      <c r="Y319" s="14">
        <f>IF(ISNUMBER(W319),IF(W319&gt;0,"Yes","No"),"Pending")</f>
        <v/>
      </c>
      <c r="Z319" s="14" t="inlineStr">
        <is>
          <t>Driver not identified (OPS account)</t>
        </is>
      </c>
    </row>
    <row r="320">
      <c r="A320" s="14" t="n">
        <v>319</v>
      </c>
      <c r="B320" s="14" t="inlineStr">
        <is>
          <t>LNID2609BN6UAD4K</t>
        </is>
      </c>
      <c r="C320" s="15" t="inlineStr">
        <is>
          <t>268882677175</t>
        </is>
      </c>
      <c r="D320" s="16" t="n">
        <v>46289.50054398148</v>
      </c>
      <c r="E320" s="17" t="n">
        <v>46289</v>
      </c>
      <c r="F320" s="14" t="inlineStr">
        <is>
          <t>Thu</t>
        </is>
      </c>
      <c r="G320" s="14" t="inlineStr">
        <is>
          <t>Southern</t>
        </is>
      </c>
      <c r="H320" s="14" t="inlineStr">
        <is>
          <t>PTN</t>
        </is>
      </c>
      <c r="I320" s="14" t="inlineStr">
        <is>
          <t>PTN - OPS - IZZ</t>
        </is>
      </c>
      <c r="J320" s="14" t="inlineStr">
        <is>
          <t>OPS (generic hub account)</t>
        </is>
      </c>
      <c r="K320" s="14" t="inlineStr">
        <is>
          <t>91877501</t>
        </is>
      </c>
      <c r="L320" s="14" t="n">
        <v>1</v>
      </c>
      <c r="M320" s="14" t="inlineStr">
        <is>
          <t>LM</t>
        </is>
      </c>
      <c r="N320" s="14" t="inlineStr">
        <is>
          <t>Fake Fail</t>
        </is>
      </c>
      <c r="O320" s="14" t="inlineStr">
        <is>
          <t>Invalid POD (no detail)</t>
        </is>
      </c>
      <c r="P320" s="14" t="inlineStr">
        <is>
          <t>No</t>
        </is>
      </c>
      <c r="Q320" s="14" t="inlineStr">
        <is>
          <t>Yes</t>
        </is>
      </c>
      <c r="R320" s="14" t="inlineStr">
        <is>
          <t>invalid POD, fail under ops</t>
        </is>
      </c>
      <c r="S320" s="14" t="inlineStr">
        <is>
          <t>Yana</t>
        </is>
      </c>
      <c r="T320" s="14">
        <f>COUNTIF($B$2:$B$499,B320)</f>
        <v/>
      </c>
      <c r="U320" s="14">
        <f>COUNTIF($I$2:$I$499,I320)</f>
        <v/>
      </c>
      <c r="V320" s="14">
        <f>IF(ISNA(MATCH(B320,'Metabase Lookup'!$A:$A,0)),"Not found",IF(INDEX('Metabase Lookup'!$B:$B,MATCH(B320,'Metabase Lookup'!$A:$A,0))="","Pending",INDEX('Metabase Lookup'!$B:$B,MATCH(B320,'Metabase Lookup'!$A:$A,0))))</f>
        <v/>
      </c>
      <c r="W320" s="14">
        <f>IF(ISNA(MATCH(B320,'Metabase Lookup'!$A:$A,0)),"Not found",IF(INDEX('Metabase Lookup'!$C:$C,MATCH(B320,'Metabase Lookup'!$A:$A,0))="","Pending",INDEX('Metabase Lookup'!$C:$C,MATCH(B320,'Metabase Lookup'!$A:$A,0))))</f>
        <v/>
      </c>
      <c r="X320" s="14">
        <f>IF(ISNA(MATCH(B320,'Metabase Lookup'!$A:$A,0)),"",IF(INDEX('Metabase Lookup'!$D:$D,MATCH(B320,'Metabase Lookup'!$A:$A,0))="","",INDEX('Metabase Lookup'!$D:$D,MATCH(B320,'Metabase Lookup'!$A:$A,0))))</f>
        <v/>
      </c>
      <c r="Y320" s="14">
        <f>IF(ISNUMBER(W320),IF(W320&gt;0,"Yes","No"),"Pending")</f>
        <v/>
      </c>
      <c r="Z320" s="14" t="inlineStr">
        <is>
          <t>Driver not identified (OPS account)</t>
        </is>
      </c>
    </row>
    <row r="321">
      <c r="A321" s="14" t="n">
        <v>320</v>
      </c>
      <c r="B321" s="14" t="inlineStr">
        <is>
          <t>NVMYAIMIM000004143</t>
        </is>
      </c>
      <c r="C321" s="15" t="inlineStr">
        <is>
          <t>265322674572</t>
        </is>
      </c>
      <c r="D321" s="16" t="n">
        <v>46289.50171296296</v>
      </c>
      <c r="E321" s="17" t="n">
        <v>46289</v>
      </c>
      <c r="F321" s="14" t="inlineStr">
        <is>
          <t>Thu</t>
        </is>
      </c>
      <c r="G321" s="14" t="inlineStr">
        <is>
          <t>KV</t>
        </is>
      </c>
      <c r="H321" s="14" t="inlineStr">
        <is>
          <t>PJY</t>
        </is>
      </c>
      <c r="I321" s="14" t="inlineStr">
        <is>
          <t>OPS - PJY</t>
        </is>
      </c>
      <c r="J321" s="14" t="inlineStr">
        <is>
          <t>OPS (generic hub account)</t>
        </is>
      </c>
      <c r="K321" s="14" t="inlineStr">
        <is>
          <t>91876791</t>
        </is>
      </c>
      <c r="L321" s="14" t="n">
        <v>1</v>
      </c>
      <c r="M321" s="14" t="inlineStr">
        <is>
          <t>LM</t>
        </is>
      </c>
      <c r="N321" s="14" t="inlineStr">
        <is>
          <t>Fake Fail</t>
        </is>
      </c>
      <c r="O321" s="14" t="inlineStr">
        <is>
          <t>No call / call log missing</t>
        </is>
      </c>
      <c r="P321" s="14" t="inlineStr">
        <is>
          <t>No</t>
        </is>
      </c>
      <c r="Q321" s="14" t="inlineStr">
        <is>
          <t>No</t>
        </is>
      </c>
      <c r="R321" s="14" t="inlineStr">
        <is>
          <t>No call log attached</t>
        </is>
      </c>
      <c r="S321" s="14" t="inlineStr">
        <is>
          <t>Wani</t>
        </is>
      </c>
      <c r="T321" s="14">
        <f>COUNTIF($B$2:$B$499,B321)</f>
        <v/>
      </c>
      <c r="U321" s="14">
        <f>COUNTIF($I$2:$I$499,I321)</f>
        <v/>
      </c>
      <c r="V321" s="14">
        <f>IF(ISNA(MATCH(B321,'Metabase Lookup'!$A:$A,0)),"Not found",IF(INDEX('Metabase Lookup'!$B:$B,MATCH(B321,'Metabase Lookup'!$A:$A,0))="","Pending",INDEX('Metabase Lookup'!$B:$B,MATCH(B321,'Metabase Lookup'!$A:$A,0))))</f>
        <v/>
      </c>
      <c r="W321" s="14">
        <f>IF(ISNA(MATCH(B321,'Metabase Lookup'!$A:$A,0)),"Not found",IF(INDEX('Metabase Lookup'!$C:$C,MATCH(B321,'Metabase Lookup'!$A:$A,0))="","Pending",INDEX('Metabase Lookup'!$C:$C,MATCH(B321,'Metabase Lookup'!$A:$A,0))))</f>
        <v/>
      </c>
      <c r="X321" s="14">
        <f>IF(ISNA(MATCH(B321,'Metabase Lookup'!$A:$A,0)),"",IF(INDEX('Metabase Lookup'!$D:$D,MATCH(B321,'Metabase Lookup'!$A:$A,0))="","",INDEX('Metabase Lookup'!$D:$D,MATCH(B321,'Metabase Lookup'!$A:$A,0))))</f>
        <v/>
      </c>
      <c r="Y321" s="14">
        <f>IF(ISNUMBER(W321),IF(W321&gt;0,"Yes","No"),"Pending")</f>
        <v/>
      </c>
      <c r="Z321" s="14" t="inlineStr">
        <is>
          <t>Driver not identified (OPS account)</t>
        </is>
      </c>
    </row>
    <row r="322">
      <c r="A322" s="14" t="n">
        <v>321</v>
      </c>
      <c r="B322" s="14" t="inlineStr">
        <is>
          <t>NVMYBEVLA921354189</t>
        </is>
      </c>
      <c r="C322" s="15" t="inlineStr">
        <is>
          <t>264232672651</t>
        </is>
      </c>
      <c r="D322" s="16" t="n">
        <v>46289.5124074074</v>
      </c>
      <c r="E322" s="17" t="n">
        <v>46289</v>
      </c>
      <c r="F322" s="14" t="inlineStr">
        <is>
          <t>Thu</t>
        </is>
      </c>
      <c r="G322" s="14" t="inlineStr">
        <is>
          <t>KV</t>
        </is>
      </c>
      <c r="H322" s="14" t="inlineStr">
        <is>
          <t>BTR</t>
        </is>
      </c>
      <c r="I322" s="14" t="inlineStr">
        <is>
          <t>BTR - ID - KHAIRAN</t>
        </is>
      </c>
      <c r="J322" s="14" t="inlineStr">
        <is>
          <t>ID (named driver)</t>
        </is>
      </c>
      <c r="K322" s="14" t="inlineStr">
        <is>
          <t>91872289</t>
        </is>
      </c>
      <c r="L322" s="14" t="n">
        <v>1</v>
      </c>
      <c r="M322" s="14" t="inlineStr">
        <is>
          <t>LM</t>
        </is>
      </c>
      <c r="N322" s="14" t="inlineStr">
        <is>
          <t>Fake Fail</t>
        </is>
      </c>
      <c r="O322" s="14" t="inlineStr">
        <is>
          <t>No call / call log missing</t>
        </is>
      </c>
      <c r="P322" s="14" t="inlineStr">
        <is>
          <t>No</t>
        </is>
      </c>
      <c r="Q322" s="14" t="inlineStr">
        <is>
          <t>No</t>
        </is>
      </c>
      <c r="R322" s="14" t="inlineStr">
        <is>
          <t>There is no call and valid picture attached.</t>
        </is>
      </c>
      <c r="S322" s="14" t="inlineStr">
        <is>
          <t>Syak</t>
        </is>
      </c>
      <c r="T322" s="14">
        <f>COUNTIF($B$2:$B$499,B322)</f>
        <v/>
      </c>
      <c r="U322" s="14">
        <f>COUNTIF($I$2:$I$499,I322)</f>
        <v/>
      </c>
      <c r="V322" s="14">
        <f>IF(ISNA(MATCH(B322,'Metabase Lookup'!$A:$A,0)),"Not found",IF(INDEX('Metabase Lookup'!$B:$B,MATCH(B322,'Metabase Lookup'!$A:$A,0))="","Pending",INDEX('Metabase Lookup'!$B:$B,MATCH(B322,'Metabase Lookup'!$A:$A,0))))</f>
        <v/>
      </c>
      <c r="W322" s="14">
        <f>IF(ISNA(MATCH(B322,'Metabase Lookup'!$A:$A,0)),"Not found",IF(INDEX('Metabase Lookup'!$C:$C,MATCH(B322,'Metabase Lookup'!$A:$A,0))="","Pending",INDEX('Metabase Lookup'!$C:$C,MATCH(B322,'Metabase Lookup'!$A:$A,0))))</f>
        <v/>
      </c>
      <c r="X322" s="14">
        <f>IF(ISNA(MATCH(B322,'Metabase Lookup'!$A:$A,0)),"",IF(INDEX('Metabase Lookup'!$D:$D,MATCH(B322,'Metabase Lookup'!$A:$A,0))="","",INDEX('Metabase Lookup'!$D:$D,MATCH(B322,'Metabase Lookup'!$A:$A,0))))</f>
        <v/>
      </c>
      <c r="Y322" s="14">
        <f>IF(ISNUMBER(W322),IF(W322&gt;0,"Yes","No"),"Pending")</f>
        <v/>
      </c>
      <c r="Z322" s="14" t="inlineStr"/>
    </row>
    <row r="323">
      <c r="A323" s="14" t="n">
        <v>322</v>
      </c>
      <c r="B323" s="14" t="inlineStr">
        <is>
          <t>NVMYHOOHI000012204</t>
        </is>
      </c>
      <c r="C323" s="15" t="inlineStr">
        <is>
          <t>266362677368</t>
        </is>
      </c>
      <c r="D323" s="16" t="n">
        <v>46289.51859953703</v>
      </c>
      <c r="E323" s="17" t="n">
        <v>46289</v>
      </c>
      <c r="F323" s="14" t="inlineStr">
        <is>
          <t>Thu</t>
        </is>
      </c>
      <c r="G323" s="14" t="inlineStr">
        <is>
          <t>KV</t>
        </is>
      </c>
      <c r="H323" s="14" t="inlineStr">
        <is>
          <t>SYH</t>
        </is>
      </c>
      <c r="I323" s="14" t="inlineStr">
        <is>
          <t>SYH - OPS - NAJMUDDIN KHALIB</t>
        </is>
      </c>
      <c r="J323" s="14" t="inlineStr">
        <is>
          <t>OPS (generic hub account)</t>
        </is>
      </c>
      <c r="K323" s="14" t="inlineStr">
        <is>
          <t>91861034</t>
        </is>
      </c>
      <c r="L323" s="14" t="n">
        <v>1</v>
      </c>
      <c r="M323" s="14" t="inlineStr">
        <is>
          <t>LM</t>
        </is>
      </c>
      <c r="N323" s="14" t="inlineStr">
        <is>
          <t>Fake Fail</t>
        </is>
      </c>
      <c r="O323" s="14" t="inlineStr">
        <is>
          <t>Invalid POD (no detail)</t>
        </is>
      </c>
      <c r="P323" s="14" t="inlineStr">
        <is>
          <t>No</t>
        </is>
      </c>
      <c r="Q323" s="14" t="inlineStr">
        <is>
          <t>Yes</t>
        </is>
      </c>
      <c r="R323" s="14" t="inlineStr">
        <is>
          <t>invalid POD, failed under ops</t>
        </is>
      </c>
      <c r="S323" s="14" t="inlineStr">
        <is>
          <t>Yana</t>
        </is>
      </c>
      <c r="T323" s="14">
        <f>COUNTIF($B$2:$B$499,B323)</f>
        <v/>
      </c>
      <c r="U323" s="14">
        <f>COUNTIF($I$2:$I$499,I323)</f>
        <v/>
      </c>
      <c r="V323" s="14">
        <f>IF(ISNA(MATCH(B323,'Metabase Lookup'!$A:$A,0)),"Not found",IF(INDEX('Metabase Lookup'!$B:$B,MATCH(B323,'Metabase Lookup'!$A:$A,0))="","Pending",INDEX('Metabase Lookup'!$B:$B,MATCH(B323,'Metabase Lookup'!$A:$A,0))))</f>
        <v/>
      </c>
      <c r="W323" s="14">
        <f>IF(ISNA(MATCH(B323,'Metabase Lookup'!$A:$A,0)),"Not found",IF(INDEX('Metabase Lookup'!$C:$C,MATCH(B323,'Metabase Lookup'!$A:$A,0))="","Pending",INDEX('Metabase Lookup'!$C:$C,MATCH(B323,'Metabase Lookup'!$A:$A,0))))</f>
        <v/>
      </c>
      <c r="X323" s="14">
        <f>IF(ISNA(MATCH(B323,'Metabase Lookup'!$A:$A,0)),"",IF(INDEX('Metabase Lookup'!$D:$D,MATCH(B323,'Metabase Lookup'!$A:$A,0))="","",INDEX('Metabase Lookup'!$D:$D,MATCH(B323,'Metabase Lookup'!$A:$A,0))))</f>
        <v/>
      </c>
      <c r="Y323" s="14">
        <f>IF(ISNUMBER(W323),IF(W323&gt;0,"Yes","No"),"Pending")</f>
        <v/>
      </c>
      <c r="Z323" s="14" t="inlineStr">
        <is>
          <t>Driver not identified (OPS account)</t>
        </is>
      </c>
    </row>
    <row r="324">
      <c r="A324" s="14" t="n">
        <v>323</v>
      </c>
      <c r="B324" s="14" t="inlineStr">
        <is>
          <t>NVMYSECOM000093833</t>
        </is>
      </c>
      <c r="C324" s="15" t="inlineStr">
        <is>
          <t>269882675904</t>
        </is>
      </c>
      <c r="D324" s="16" t="n">
        <v>46289.5195949074</v>
      </c>
      <c r="E324" s="17" t="n">
        <v>46289</v>
      </c>
      <c r="F324" s="14" t="inlineStr">
        <is>
          <t>Thu</t>
        </is>
      </c>
      <c r="G324" s="14" t="inlineStr">
        <is>
          <t>Southern</t>
        </is>
      </c>
      <c r="H324" s="14" t="inlineStr">
        <is>
          <t>HTM</t>
        </is>
      </c>
      <c r="I324" s="14" t="inlineStr">
        <is>
          <t>HTM - ID - OPS</t>
        </is>
      </c>
      <c r="J324" s="14" t="inlineStr">
        <is>
          <t>OPS (generic hub account)</t>
        </is>
      </c>
      <c r="K324" s="14" t="inlineStr">
        <is>
          <t>91873288</t>
        </is>
      </c>
      <c r="L324" s="14" t="n">
        <v>1</v>
      </c>
      <c r="M324" s="14" t="inlineStr">
        <is>
          <t>LM</t>
        </is>
      </c>
      <c r="N324" s="14" t="inlineStr">
        <is>
          <t>Fake Fail</t>
        </is>
      </c>
      <c r="O324" s="14" t="inlineStr">
        <is>
          <t>Wrong number called</t>
        </is>
      </c>
      <c r="P324" s="14" t="inlineStr">
        <is>
          <t>No</t>
        </is>
      </c>
      <c r="Q324" s="14" t="inlineStr">
        <is>
          <t>No</t>
        </is>
      </c>
      <c r="R324" s="14" t="inlineStr">
        <is>
          <t>Call log to different number</t>
        </is>
      </c>
      <c r="S324" s="14" t="inlineStr">
        <is>
          <t>Syak</t>
        </is>
      </c>
      <c r="T324" s="14">
        <f>COUNTIF($B$2:$B$499,B324)</f>
        <v/>
      </c>
      <c r="U324" s="14">
        <f>COUNTIF($I$2:$I$499,I324)</f>
        <v/>
      </c>
      <c r="V324" s="14">
        <f>IF(ISNA(MATCH(B324,'Metabase Lookup'!$A:$A,0)),"Not found",IF(INDEX('Metabase Lookup'!$B:$B,MATCH(B324,'Metabase Lookup'!$A:$A,0))="","Pending",INDEX('Metabase Lookup'!$B:$B,MATCH(B324,'Metabase Lookup'!$A:$A,0))))</f>
        <v/>
      </c>
      <c r="W324" s="14">
        <f>IF(ISNA(MATCH(B324,'Metabase Lookup'!$A:$A,0)),"Not found",IF(INDEX('Metabase Lookup'!$C:$C,MATCH(B324,'Metabase Lookup'!$A:$A,0))="","Pending",INDEX('Metabase Lookup'!$C:$C,MATCH(B324,'Metabase Lookup'!$A:$A,0))))</f>
        <v/>
      </c>
      <c r="X324" s="14">
        <f>IF(ISNA(MATCH(B324,'Metabase Lookup'!$A:$A,0)),"",IF(INDEX('Metabase Lookup'!$D:$D,MATCH(B324,'Metabase Lookup'!$A:$A,0))="","",INDEX('Metabase Lookup'!$D:$D,MATCH(B324,'Metabase Lookup'!$A:$A,0))))</f>
        <v/>
      </c>
      <c r="Y324" s="14">
        <f>IF(ISNUMBER(W324),IF(W324&gt;0,"Yes","No"),"Pending")</f>
        <v/>
      </c>
      <c r="Z324" s="14" t="inlineStr">
        <is>
          <t>Driver not identified (OPS account)</t>
        </is>
      </c>
    </row>
    <row r="325">
      <c r="A325" s="14" t="n">
        <v>324</v>
      </c>
      <c r="B325" s="14" t="inlineStr">
        <is>
          <t>MYNJV70096675528</t>
        </is>
      </c>
      <c r="C325" s="15" t="inlineStr">
        <is>
          <t>260992670349</t>
        </is>
      </c>
      <c r="D325" s="16" t="n">
        <v>46289.52050925926</v>
      </c>
      <c r="E325" s="17" t="n">
        <v>46289</v>
      </c>
      <c r="F325" s="14" t="inlineStr">
        <is>
          <t>Thu</t>
        </is>
      </c>
      <c r="G325" s="14" t="inlineStr">
        <is>
          <t>KV</t>
        </is>
      </c>
      <c r="H325" s="14" t="inlineStr">
        <is>
          <t>SEG</t>
        </is>
      </c>
      <c r="I325" s="14" t="inlineStr">
        <is>
          <t>SEG - OPS - STATION HEAD</t>
        </is>
      </c>
      <c r="J325" s="14" t="inlineStr">
        <is>
          <t>OPS (generic hub account)</t>
        </is>
      </c>
      <c r="K325" s="14" t="inlineStr">
        <is>
          <t>91877471</t>
        </is>
      </c>
      <c r="L325" s="14" t="n">
        <v>1</v>
      </c>
      <c r="M325" s="14" t="inlineStr">
        <is>
          <t>LM</t>
        </is>
      </c>
      <c r="N325" s="14" t="inlineStr">
        <is>
          <t>Fake Fail</t>
        </is>
      </c>
      <c r="O325" s="14" t="inlineStr">
        <is>
          <t>Invalid POD (no detail)</t>
        </is>
      </c>
      <c r="P325" s="14" t="inlineStr">
        <is>
          <t>No</t>
        </is>
      </c>
      <c r="Q325" s="14" t="inlineStr">
        <is>
          <t>No</t>
        </is>
      </c>
      <c r="R325" s="14" t="inlineStr">
        <is>
          <t>Invalid POD</t>
        </is>
      </c>
      <c r="S325" s="14" t="inlineStr">
        <is>
          <t>Naveen</t>
        </is>
      </c>
      <c r="T325" s="14">
        <f>COUNTIF($B$2:$B$499,B325)</f>
        <v/>
      </c>
      <c r="U325" s="14">
        <f>COUNTIF($I$2:$I$499,I325)</f>
        <v/>
      </c>
      <c r="V325" s="14">
        <f>IF(ISNA(MATCH(B325,'Metabase Lookup'!$A:$A,0)),"Not found",IF(INDEX('Metabase Lookup'!$B:$B,MATCH(B325,'Metabase Lookup'!$A:$A,0))="","Pending",INDEX('Metabase Lookup'!$B:$B,MATCH(B325,'Metabase Lookup'!$A:$A,0))))</f>
        <v/>
      </c>
      <c r="W325" s="14">
        <f>IF(ISNA(MATCH(B325,'Metabase Lookup'!$A:$A,0)),"Not found",IF(INDEX('Metabase Lookup'!$C:$C,MATCH(B325,'Metabase Lookup'!$A:$A,0))="","Pending",INDEX('Metabase Lookup'!$C:$C,MATCH(B325,'Metabase Lookup'!$A:$A,0))))</f>
        <v/>
      </c>
      <c r="X325" s="14">
        <f>IF(ISNA(MATCH(B325,'Metabase Lookup'!$A:$A,0)),"",IF(INDEX('Metabase Lookup'!$D:$D,MATCH(B325,'Metabase Lookup'!$A:$A,0))="","",INDEX('Metabase Lookup'!$D:$D,MATCH(B325,'Metabase Lookup'!$A:$A,0))))</f>
        <v/>
      </c>
      <c r="Y325" s="14">
        <f>IF(ISNUMBER(W325),IF(W325&gt;0,"Yes","No"),"Pending")</f>
        <v/>
      </c>
      <c r="Z325" s="14" t="inlineStr">
        <is>
          <t>Driver not identified (OPS account)</t>
        </is>
      </c>
    </row>
    <row r="326">
      <c r="A326" s="14" t="n">
        <v>325</v>
      </c>
      <c r="B326" s="14" t="inlineStr">
        <is>
          <t>MYNJV70073295398</t>
        </is>
      </c>
      <c r="C326" s="15" t="inlineStr">
        <is>
          <t>265982670837</t>
        </is>
      </c>
      <c r="D326" s="16" t="n">
        <v>46289.52318287037</v>
      </c>
      <c r="E326" s="17" t="n">
        <v>46289</v>
      </c>
      <c r="F326" s="14" t="inlineStr">
        <is>
          <t>Thu</t>
        </is>
      </c>
      <c r="G326" s="14" t="inlineStr">
        <is>
          <t>Northern</t>
        </is>
      </c>
      <c r="H326" s="14" t="inlineStr">
        <is>
          <t>AOR</t>
        </is>
      </c>
      <c r="I326" s="14" t="inlineStr">
        <is>
          <t>AOR - FM - Ihsan Rashid</t>
        </is>
      </c>
      <c r="J326" s="14" t="inlineStr">
        <is>
          <t>FM (first-mile)</t>
        </is>
      </c>
      <c r="K326" s="14" t="inlineStr">
        <is>
          <t>91844628</t>
        </is>
      </c>
      <c r="L326" s="14" t="n">
        <v>1</v>
      </c>
      <c r="M326" s="14" t="inlineStr">
        <is>
          <t>LM</t>
        </is>
      </c>
      <c r="N326" s="14" t="inlineStr">
        <is>
          <t>Fake Fail</t>
        </is>
      </c>
      <c r="O326" s="14" t="inlineStr">
        <is>
          <t>Wrong number called</t>
        </is>
      </c>
      <c r="P326" s="14" t="inlineStr">
        <is>
          <t>No</t>
        </is>
      </c>
      <c r="Q326" s="14" t="inlineStr">
        <is>
          <t>No</t>
        </is>
      </c>
      <c r="R326" s="14" t="inlineStr">
        <is>
          <t>Driver sent text to wrong number about CMI but, choose diff del failure</t>
        </is>
      </c>
      <c r="S326" s="14" t="inlineStr">
        <is>
          <t>Syak</t>
        </is>
      </c>
      <c r="T326" s="14">
        <f>COUNTIF($B$2:$B$499,B326)</f>
        <v/>
      </c>
      <c r="U326" s="14">
        <f>COUNTIF($I$2:$I$499,I326)</f>
        <v/>
      </c>
      <c r="V326" s="14">
        <f>IF(ISNA(MATCH(B326,'Metabase Lookup'!$A:$A,0)),"Not found",IF(INDEX('Metabase Lookup'!$B:$B,MATCH(B326,'Metabase Lookup'!$A:$A,0))="","Pending",INDEX('Metabase Lookup'!$B:$B,MATCH(B326,'Metabase Lookup'!$A:$A,0))))</f>
        <v/>
      </c>
      <c r="W326" s="14">
        <f>IF(ISNA(MATCH(B326,'Metabase Lookup'!$A:$A,0)),"Not found",IF(INDEX('Metabase Lookup'!$C:$C,MATCH(B326,'Metabase Lookup'!$A:$A,0))="","Pending",INDEX('Metabase Lookup'!$C:$C,MATCH(B326,'Metabase Lookup'!$A:$A,0))))</f>
        <v/>
      </c>
      <c r="X326" s="14">
        <f>IF(ISNA(MATCH(B326,'Metabase Lookup'!$A:$A,0)),"",IF(INDEX('Metabase Lookup'!$D:$D,MATCH(B326,'Metabase Lookup'!$A:$A,0))="","",INDEX('Metabase Lookup'!$D:$D,MATCH(B326,'Metabase Lookup'!$A:$A,0))))</f>
        <v/>
      </c>
      <c r="Y326" s="14">
        <f>IF(ISNUMBER(W326),IF(W326&gt;0,"Yes","No"),"Pending")</f>
        <v/>
      </c>
      <c r="Z326" s="14" t="inlineStr"/>
    </row>
    <row r="327">
      <c r="A327" s="14" t="n">
        <v>326</v>
      </c>
      <c r="B327" s="14" t="inlineStr">
        <is>
          <t>LYCHN1550143940582481920</t>
        </is>
      </c>
      <c r="C327" s="15" t="inlineStr">
        <is>
          <t>261012673958</t>
        </is>
      </c>
      <c r="D327" s="16" t="n">
        <v>46289.5275462963</v>
      </c>
      <c r="E327" s="17" t="n">
        <v>46289</v>
      </c>
      <c r="F327" s="14" t="inlineStr">
        <is>
          <t>Thu</t>
        </is>
      </c>
      <c r="G327" s="14" t="inlineStr">
        <is>
          <t>Southern</t>
        </is>
      </c>
      <c r="H327" s="14" t="inlineStr">
        <is>
          <t>LKN</t>
        </is>
      </c>
      <c r="I327" s="14" t="inlineStr">
        <is>
          <t>LKN - ID - MUZLIA | MTG - FM - Shazwan Saupi</t>
        </is>
      </c>
      <c r="J327" s="14" t="inlineStr">
        <is>
          <t>Multiple drivers</t>
        </is>
      </c>
      <c r="K327" s="14" t="inlineStr">
        <is>
          <t>91844801, 91859637</t>
        </is>
      </c>
      <c r="L327" s="14" t="n">
        <v>2</v>
      </c>
      <c r="M327" s="14" t="inlineStr">
        <is>
          <t>LM</t>
        </is>
      </c>
      <c r="N327" s="14" t="inlineStr">
        <is>
          <t>Fake Fail</t>
        </is>
      </c>
      <c r="O327" s="14" t="inlineStr">
        <is>
          <t>Invalid call log (unspecified)</t>
        </is>
      </c>
      <c r="P327" s="14" t="inlineStr">
        <is>
          <t>No</t>
        </is>
      </c>
      <c r="Q327" s="14" t="inlineStr">
        <is>
          <t>No</t>
        </is>
      </c>
      <c r="R327" s="14" t="inlineStr">
        <is>
          <t>No valid call log provided</t>
        </is>
      </c>
      <c r="S327" s="14" t="inlineStr">
        <is>
          <t>Naveen</t>
        </is>
      </c>
      <c r="T327" s="14">
        <f>COUNTIF($B$2:$B$499,B327)</f>
        <v/>
      </c>
      <c r="U327" s="14">
        <f>COUNTIF($I$2:$I$499,I327)</f>
        <v/>
      </c>
      <c r="V327" s="14">
        <f>IF(ISNA(MATCH(B327,'Metabase Lookup'!$A:$A,0)),"Not found",IF(INDEX('Metabase Lookup'!$B:$B,MATCH(B327,'Metabase Lookup'!$A:$A,0))="","Pending",INDEX('Metabase Lookup'!$B:$B,MATCH(B327,'Metabase Lookup'!$A:$A,0))))</f>
        <v/>
      </c>
      <c r="W327" s="14">
        <f>IF(ISNA(MATCH(B327,'Metabase Lookup'!$A:$A,0)),"Not found",IF(INDEX('Metabase Lookup'!$C:$C,MATCH(B327,'Metabase Lookup'!$A:$A,0))="","Pending",INDEX('Metabase Lookup'!$C:$C,MATCH(B327,'Metabase Lookup'!$A:$A,0))))</f>
        <v/>
      </c>
      <c r="X327" s="14">
        <f>IF(ISNA(MATCH(B327,'Metabase Lookup'!$A:$A,0)),"",IF(INDEX('Metabase Lookup'!$D:$D,MATCH(B327,'Metabase Lookup'!$A:$A,0))="","",INDEX('Metabase Lookup'!$D:$D,MATCH(B327,'Metabase Lookup'!$A:$A,0))))</f>
        <v/>
      </c>
      <c r="Y327" s="14">
        <f>IF(ISNUMBER(W327),IF(W327&gt;0,"Yes","No"),"Pending")</f>
        <v/>
      </c>
      <c r="Z327" s="14" t="inlineStr">
        <is>
          <t>Multiple drivers in one row; Multiple route IDs</t>
        </is>
      </c>
    </row>
    <row r="328">
      <c r="A328" s="14" t="n">
        <v>327</v>
      </c>
      <c r="B328" s="14" t="inlineStr">
        <is>
          <t>NVMYADI00000422746</t>
        </is>
      </c>
      <c r="C328" s="15" t="inlineStr">
        <is>
          <t>266862679260</t>
        </is>
      </c>
      <c r="D328" s="16" t="n">
        <v>46289.53827546296</v>
      </c>
      <c r="E328" s="17" t="n">
        <v>46289</v>
      </c>
      <c r="F328" s="14" t="inlineStr">
        <is>
          <t>Thu</t>
        </is>
      </c>
      <c r="G328" s="14" t="inlineStr">
        <is>
          <t>KV</t>
        </is>
      </c>
      <c r="H328" s="14" t="inlineStr">
        <is>
          <t>BTR</t>
        </is>
      </c>
      <c r="I328" s="14" t="inlineStr">
        <is>
          <t>OPS - BTR</t>
        </is>
      </c>
      <c r="J328" s="14" t="inlineStr">
        <is>
          <t>OPS (generic hub account)</t>
        </is>
      </c>
      <c r="K328" s="14" t="inlineStr">
        <is>
          <t>91872286</t>
        </is>
      </c>
      <c r="L328" s="14" t="n">
        <v>1</v>
      </c>
      <c r="M328" s="14" t="inlineStr">
        <is>
          <t>LM</t>
        </is>
      </c>
      <c r="N328" s="14" t="inlineStr">
        <is>
          <t>Fake Fail</t>
        </is>
      </c>
      <c r="O328" s="14" t="inlineStr">
        <is>
          <t>No call / call log missing</t>
        </is>
      </c>
      <c r="P328" s="14" t="inlineStr">
        <is>
          <t>No</t>
        </is>
      </c>
      <c r="Q328" s="14" t="inlineStr">
        <is>
          <t>Yes</t>
        </is>
      </c>
      <c r="R328" s="14" t="inlineStr">
        <is>
          <t>There is no call log attched by OPS</t>
        </is>
      </c>
      <c r="S328" s="14" t="inlineStr">
        <is>
          <t>Syak</t>
        </is>
      </c>
      <c r="T328" s="14">
        <f>COUNTIF($B$2:$B$499,B328)</f>
        <v/>
      </c>
      <c r="U328" s="14">
        <f>COUNTIF($I$2:$I$499,I328)</f>
        <v/>
      </c>
      <c r="V328" s="14">
        <f>IF(ISNA(MATCH(B328,'Metabase Lookup'!$A:$A,0)),"Not found",IF(INDEX('Metabase Lookup'!$B:$B,MATCH(B328,'Metabase Lookup'!$A:$A,0))="","Pending",INDEX('Metabase Lookup'!$B:$B,MATCH(B328,'Metabase Lookup'!$A:$A,0))))</f>
        <v/>
      </c>
      <c r="W328" s="14">
        <f>IF(ISNA(MATCH(B328,'Metabase Lookup'!$A:$A,0)),"Not found",IF(INDEX('Metabase Lookup'!$C:$C,MATCH(B328,'Metabase Lookup'!$A:$A,0))="","Pending",INDEX('Metabase Lookup'!$C:$C,MATCH(B328,'Metabase Lookup'!$A:$A,0))))</f>
        <v/>
      </c>
      <c r="X328" s="14">
        <f>IF(ISNA(MATCH(B328,'Metabase Lookup'!$A:$A,0)),"",IF(INDEX('Metabase Lookup'!$D:$D,MATCH(B328,'Metabase Lookup'!$A:$A,0))="","",INDEX('Metabase Lookup'!$D:$D,MATCH(B328,'Metabase Lookup'!$A:$A,0))))</f>
        <v/>
      </c>
      <c r="Y328" s="14">
        <f>IF(ISNUMBER(W328),IF(W328&gt;0,"Yes","No"),"Pending")</f>
        <v/>
      </c>
      <c r="Z328" s="14" t="inlineStr">
        <is>
          <t>Driver not identified (OPS account)</t>
        </is>
      </c>
    </row>
    <row r="329">
      <c r="A329" s="14" t="n">
        <v>328</v>
      </c>
      <c r="B329" s="14" t="inlineStr">
        <is>
          <t>NVMYAXVEL000112120</t>
        </is>
      </c>
      <c r="C329" s="15" t="inlineStr">
        <is>
          <t>266402679994</t>
        </is>
      </c>
      <c r="D329" s="16" t="n">
        <v>46289.54217592593</v>
      </c>
      <c r="E329" s="17" t="n">
        <v>46289</v>
      </c>
      <c r="F329" s="14" t="inlineStr">
        <is>
          <t>Thu</t>
        </is>
      </c>
      <c r="G329" s="14" t="inlineStr">
        <is>
          <t>Southern</t>
        </is>
      </c>
      <c r="H329" s="14" t="inlineStr">
        <is>
          <t>AUS</t>
        </is>
      </c>
      <c r="I329" s="14" t="inlineStr">
        <is>
          <t>IZRAFIL KADIR</t>
        </is>
      </c>
      <c r="J329" s="14" t="inlineStr">
        <is>
          <t>Name only (no hub/code)</t>
        </is>
      </c>
      <c r="K329" s="14" t="inlineStr">
        <is>
          <t>91869504</t>
        </is>
      </c>
      <c r="L329" s="14" t="n">
        <v>1</v>
      </c>
      <c r="M329" s="14" t="inlineStr">
        <is>
          <t>LM</t>
        </is>
      </c>
      <c r="N329" s="14" t="inlineStr">
        <is>
          <t>CMI (Can't Make It)</t>
        </is>
      </c>
      <c r="O329" s="14" t="inlineStr"/>
      <c r="P329" s="14" t="inlineStr"/>
      <c r="Q329" s="14" t="inlineStr"/>
      <c r="R329" s="14" t="inlineStr">
        <is>
          <t>Forced Failure by FA</t>
        </is>
      </c>
      <c r="S329" s="14" t="inlineStr">
        <is>
          <t>Syak</t>
        </is>
      </c>
      <c r="T329" s="14">
        <f>COUNTIF($B$2:$B$499,B329)</f>
        <v/>
      </c>
      <c r="U329" s="14">
        <f>COUNTIF($I$2:$I$499,I329)</f>
        <v/>
      </c>
      <c r="V329" s="14">
        <f>IF(ISNA(MATCH(B329,'Metabase Lookup'!$A:$A,0)),"Not found",IF(INDEX('Metabase Lookup'!$B:$B,MATCH(B329,'Metabase Lookup'!$A:$A,0))="","Pending",INDEX('Metabase Lookup'!$B:$B,MATCH(B329,'Metabase Lookup'!$A:$A,0))))</f>
        <v/>
      </c>
      <c r="W329" s="14">
        <f>IF(ISNA(MATCH(B329,'Metabase Lookup'!$A:$A,0)),"Not found",IF(INDEX('Metabase Lookup'!$C:$C,MATCH(B329,'Metabase Lookup'!$A:$A,0))="","Pending",INDEX('Metabase Lookup'!$C:$C,MATCH(B329,'Metabase Lookup'!$A:$A,0))))</f>
        <v/>
      </c>
      <c r="X329" s="14">
        <f>IF(ISNA(MATCH(B329,'Metabase Lookup'!$A:$A,0)),"",IF(INDEX('Metabase Lookup'!$D:$D,MATCH(B329,'Metabase Lookup'!$A:$A,0))="","",INDEX('Metabase Lookup'!$D:$D,MATCH(B329,'Metabase Lookup'!$A:$A,0))))</f>
        <v/>
      </c>
      <c r="Y329" s="14">
        <f>IF(ISNUMBER(W329),IF(W329&gt;0,"Yes","No"),"Pending")</f>
        <v/>
      </c>
      <c r="Z329" s="14" t="inlineStr"/>
    </row>
    <row r="330">
      <c r="A330" s="14" t="n">
        <v>329</v>
      </c>
      <c r="B330" s="14" t="inlineStr">
        <is>
          <t>MYNJV70008945938</t>
        </is>
      </c>
      <c r="C330" s="15" t="inlineStr">
        <is>
          <t>269512670465</t>
        </is>
      </c>
      <c r="D330" s="16" t="n">
        <v>46289.56375</v>
      </c>
      <c r="E330" s="17" t="n">
        <v>46289</v>
      </c>
      <c r="F330" s="14" t="inlineStr">
        <is>
          <t>Thu</t>
        </is>
      </c>
      <c r="G330" s="14" t="inlineStr">
        <is>
          <t>KV</t>
        </is>
      </c>
      <c r="H330" s="14" t="inlineStr">
        <is>
          <t>BTR</t>
        </is>
      </c>
      <c r="I330" s="14" t="inlineStr">
        <is>
          <t>BTR - ID - KHAIRAN</t>
        </is>
      </c>
      <c r="J330" s="14" t="inlineStr">
        <is>
          <t>ID (named driver)</t>
        </is>
      </c>
      <c r="K330" s="14" t="inlineStr">
        <is>
          <t>91872288</t>
        </is>
      </c>
      <c r="L330" s="14" t="n">
        <v>1</v>
      </c>
      <c r="M330" s="14" t="inlineStr">
        <is>
          <t>LM</t>
        </is>
      </c>
      <c r="N330" s="14" t="inlineStr">
        <is>
          <t>Fake Fail</t>
        </is>
      </c>
      <c r="O330" s="14" t="inlineStr">
        <is>
          <t>Wrong number called</t>
        </is>
      </c>
      <c r="P330" s="14" t="inlineStr">
        <is>
          <t>No</t>
        </is>
      </c>
      <c r="Q330" s="14" t="inlineStr">
        <is>
          <t>Yes</t>
        </is>
      </c>
      <c r="R330" s="14" t="inlineStr">
        <is>
          <t>Text to wrong number and there is no valid call log attached by OPS</t>
        </is>
      </c>
      <c r="S330" s="14" t="inlineStr">
        <is>
          <t>Syak</t>
        </is>
      </c>
      <c r="T330" s="14">
        <f>COUNTIF($B$2:$B$499,B330)</f>
        <v/>
      </c>
      <c r="U330" s="14">
        <f>COUNTIF($I$2:$I$499,I330)</f>
        <v/>
      </c>
      <c r="V330" s="14">
        <f>IF(ISNA(MATCH(B330,'Metabase Lookup'!$A:$A,0)),"Not found",IF(INDEX('Metabase Lookup'!$B:$B,MATCH(B330,'Metabase Lookup'!$A:$A,0))="","Pending",INDEX('Metabase Lookup'!$B:$B,MATCH(B330,'Metabase Lookup'!$A:$A,0))))</f>
        <v/>
      </c>
      <c r="W330" s="14">
        <f>IF(ISNA(MATCH(B330,'Metabase Lookup'!$A:$A,0)),"Not found",IF(INDEX('Metabase Lookup'!$C:$C,MATCH(B330,'Metabase Lookup'!$A:$A,0))="","Pending",INDEX('Metabase Lookup'!$C:$C,MATCH(B330,'Metabase Lookup'!$A:$A,0))))</f>
        <v/>
      </c>
      <c r="X330" s="14">
        <f>IF(ISNA(MATCH(B330,'Metabase Lookup'!$A:$A,0)),"",IF(INDEX('Metabase Lookup'!$D:$D,MATCH(B330,'Metabase Lookup'!$A:$A,0))="","",INDEX('Metabase Lookup'!$D:$D,MATCH(B330,'Metabase Lookup'!$A:$A,0))))</f>
        <v/>
      </c>
      <c r="Y330" s="14">
        <f>IF(ISNUMBER(W330),IF(W330&gt;0,"Yes","No"),"Pending")</f>
        <v/>
      </c>
      <c r="Z330" s="14" t="inlineStr"/>
    </row>
    <row r="331">
      <c r="A331" s="14" t="n">
        <v>330</v>
      </c>
      <c r="B331" s="14" t="inlineStr">
        <is>
          <t>NLMYWA04658968</t>
        </is>
      </c>
      <c r="C331" s="15" t="inlineStr">
        <is>
          <t>267702679999</t>
        </is>
      </c>
      <c r="D331" s="16" t="n">
        <v>46289.56435185186</v>
      </c>
      <c r="E331" s="17" t="n">
        <v>46289</v>
      </c>
      <c r="F331" s="14" t="inlineStr">
        <is>
          <t>Thu</t>
        </is>
      </c>
      <c r="G331" s="14" t="inlineStr">
        <is>
          <t>North West</t>
        </is>
      </c>
      <c r="H331" s="14" t="inlineStr">
        <is>
          <t>BAG</t>
        </is>
      </c>
      <c r="I331" s="14" t="inlineStr">
        <is>
          <t>BAG - OPS - ADAM</t>
        </is>
      </c>
      <c r="J331" s="14" t="inlineStr">
        <is>
          <t>OPS (generic hub account)</t>
        </is>
      </c>
      <c r="K331" s="14" t="inlineStr">
        <is>
          <t>91825698</t>
        </is>
      </c>
      <c r="L331" s="14" t="n">
        <v>1</v>
      </c>
      <c r="M331" s="14" t="inlineStr">
        <is>
          <t>LM</t>
        </is>
      </c>
      <c r="N331" s="14" t="inlineStr">
        <is>
          <t>Fake Fail</t>
        </is>
      </c>
      <c r="O331" s="14" t="inlineStr">
        <is>
          <t>Wrong number called</t>
        </is>
      </c>
      <c r="P331" s="14" t="inlineStr">
        <is>
          <t>No</t>
        </is>
      </c>
      <c r="Q331" s="14" t="inlineStr">
        <is>
          <t>No</t>
        </is>
      </c>
      <c r="R331" s="14" t="inlineStr">
        <is>
          <t>The driver contacted wrong number</t>
        </is>
      </c>
      <c r="S331" s="14" t="inlineStr">
        <is>
          <t>Izzni</t>
        </is>
      </c>
      <c r="T331" s="14">
        <f>COUNTIF($B$2:$B$499,B331)</f>
        <v/>
      </c>
      <c r="U331" s="14">
        <f>COUNTIF($I$2:$I$499,I331)</f>
        <v/>
      </c>
      <c r="V331" s="14">
        <f>IF(ISNA(MATCH(B331,'Metabase Lookup'!$A:$A,0)),"Not found",IF(INDEX('Metabase Lookup'!$B:$B,MATCH(B331,'Metabase Lookup'!$A:$A,0))="","Pending",INDEX('Metabase Lookup'!$B:$B,MATCH(B331,'Metabase Lookup'!$A:$A,0))))</f>
        <v/>
      </c>
      <c r="W331" s="14">
        <f>IF(ISNA(MATCH(B331,'Metabase Lookup'!$A:$A,0)),"Not found",IF(INDEX('Metabase Lookup'!$C:$C,MATCH(B331,'Metabase Lookup'!$A:$A,0))="","Pending",INDEX('Metabase Lookup'!$C:$C,MATCH(B331,'Metabase Lookup'!$A:$A,0))))</f>
        <v/>
      </c>
      <c r="X331" s="14">
        <f>IF(ISNA(MATCH(B331,'Metabase Lookup'!$A:$A,0)),"",IF(INDEX('Metabase Lookup'!$D:$D,MATCH(B331,'Metabase Lookup'!$A:$A,0))="","",INDEX('Metabase Lookup'!$D:$D,MATCH(B331,'Metabase Lookup'!$A:$A,0))))</f>
        <v/>
      </c>
      <c r="Y331" s="14">
        <f>IF(ISNUMBER(W331),IF(W331&gt;0,"Yes","No"),"Pending")</f>
        <v/>
      </c>
      <c r="Z331" s="14" t="inlineStr">
        <is>
          <t>Driver not identified (OPS account)</t>
        </is>
      </c>
    </row>
    <row r="332">
      <c r="A332" s="14" t="n">
        <v>331</v>
      </c>
      <c r="B332" s="14" t="inlineStr">
        <is>
          <t>NVMYNINJA002518185</t>
        </is>
      </c>
      <c r="C332" s="15" t="inlineStr">
        <is>
          <t>263462671029</t>
        </is>
      </c>
      <c r="D332" s="16" t="n">
        <v>46289.56884259259</v>
      </c>
      <c r="E332" s="17" t="n">
        <v>46289</v>
      </c>
      <c r="F332" s="14" t="inlineStr">
        <is>
          <t>Thu</t>
        </is>
      </c>
      <c r="G332" s="14" t="inlineStr">
        <is>
          <t>KV</t>
        </is>
      </c>
      <c r="H332" s="14" t="inlineStr">
        <is>
          <t>PJY</t>
        </is>
      </c>
      <c r="I332" s="14" t="inlineStr">
        <is>
          <t>PJY - HD - RAZIQIN</t>
        </is>
      </c>
      <c r="J332" s="14" t="inlineStr">
        <is>
          <t>HD (named)</t>
        </is>
      </c>
      <c r="K332" s="14" t="inlineStr">
        <is>
          <t>91871598</t>
        </is>
      </c>
      <c r="L332" s="14" t="n">
        <v>1</v>
      </c>
      <c r="M332" s="14" t="inlineStr">
        <is>
          <t>LM</t>
        </is>
      </c>
      <c r="N332" s="14" t="inlineStr">
        <is>
          <t>Fake Fail</t>
        </is>
      </c>
      <c r="O332" s="14" t="inlineStr">
        <is>
          <t>Wrong number called</t>
        </is>
      </c>
      <c r="P332" s="14" t="inlineStr">
        <is>
          <t>No</t>
        </is>
      </c>
      <c r="Q332" s="14" t="inlineStr">
        <is>
          <t>No</t>
        </is>
      </c>
      <c r="R332" s="14" t="inlineStr">
        <is>
          <t>2nd attempt was invalid since call to wrong number</t>
        </is>
      </c>
      <c r="S332" s="14" t="inlineStr">
        <is>
          <t>Syak</t>
        </is>
      </c>
      <c r="T332" s="14">
        <f>COUNTIF($B$2:$B$499,B332)</f>
        <v/>
      </c>
      <c r="U332" s="14">
        <f>COUNTIF($I$2:$I$499,I332)</f>
        <v/>
      </c>
      <c r="V332" s="14">
        <f>IF(ISNA(MATCH(B332,'Metabase Lookup'!$A:$A,0)),"Not found",IF(INDEX('Metabase Lookup'!$B:$B,MATCH(B332,'Metabase Lookup'!$A:$A,0))="","Pending",INDEX('Metabase Lookup'!$B:$B,MATCH(B332,'Metabase Lookup'!$A:$A,0))))</f>
        <v/>
      </c>
      <c r="W332" s="14">
        <f>IF(ISNA(MATCH(B332,'Metabase Lookup'!$A:$A,0)),"Not found",IF(INDEX('Metabase Lookup'!$C:$C,MATCH(B332,'Metabase Lookup'!$A:$A,0))="","Pending",INDEX('Metabase Lookup'!$C:$C,MATCH(B332,'Metabase Lookup'!$A:$A,0))))</f>
        <v/>
      </c>
      <c r="X332" s="14">
        <f>IF(ISNA(MATCH(B332,'Metabase Lookup'!$A:$A,0)),"",IF(INDEX('Metabase Lookup'!$D:$D,MATCH(B332,'Metabase Lookup'!$A:$A,0))="","",INDEX('Metabase Lookup'!$D:$D,MATCH(B332,'Metabase Lookup'!$A:$A,0))))</f>
        <v/>
      </c>
      <c r="Y332" s="14">
        <f>IF(ISNUMBER(W332),IF(W332&gt;0,"Yes","No"),"Pending")</f>
        <v/>
      </c>
      <c r="Z332" s="14" t="inlineStr">
        <is>
          <t>TID logged more than once</t>
        </is>
      </c>
    </row>
    <row r="333">
      <c r="A333" s="14" t="n">
        <v>332</v>
      </c>
      <c r="B333" s="14" t="inlineStr">
        <is>
          <t>PGMLL0004629950-1-1-27</t>
        </is>
      </c>
      <c r="C333" s="15" t="inlineStr">
        <is>
          <t>268812674433</t>
        </is>
      </c>
      <c r="D333" s="16" t="n">
        <v>46289.58040509259</v>
      </c>
      <c r="E333" s="17" t="n">
        <v>46289</v>
      </c>
      <c r="F333" s="14" t="inlineStr">
        <is>
          <t>Thu</t>
        </is>
      </c>
      <c r="G333" s="14" t="inlineStr">
        <is>
          <t>Southern</t>
        </is>
      </c>
      <c r="H333" s="14" t="inlineStr">
        <is>
          <t>KEM</t>
        </is>
      </c>
      <c r="I333" s="14" t="inlineStr">
        <is>
          <t>OPS - KEM</t>
        </is>
      </c>
      <c r="J333" s="14" t="inlineStr">
        <is>
          <t>OPS (generic hub account)</t>
        </is>
      </c>
      <c r="K333" s="14" t="inlineStr">
        <is>
          <t>91873959</t>
        </is>
      </c>
      <c r="L333" s="14" t="n">
        <v>1</v>
      </c>
      <c r="M333" s="14" t="inlineStr">
        <is>
          <t>LM</t>
        </is>
      </c>
      <c r="N333" s="14" t="inlineStr">
        <is>
          <t>Fake Fail</t>
        </is>
      </c>
      <c r="O333" s="14" t="inlineStr">
        <is>
          <t>No call / call log missing</t>
        </is>
      </c>
      <c r="P333" s="14" t="inlineStr">
        <is>
          <t>No</t>
        </is>
      </c>
      <c r="Q333" s="14" t="inlineStr">
        <is>
          <t>No</t>
        </is>
      </c>
      <c r="R333" s="14" t="inlineStr">
        <is>
          <t>There is no call to the customer and call log not attached</t>
        </is>
      </c>
      <c r="S333" s="14" t="inlineStr">
        <is>
          <t>Syak</t>
        </is>
      </c>
      <c r="T333" s="14">
        <f>COUNTIF($B$2:$B$499,B333)</f>
        <v/>
      </c>
      <c r="U333" s="14">
        <f>COUNTIF($I$2:$I$499,I333)</f>
        <v/>
      </c>
      <c r="V333" s="14">
        <f>IF(ISNA(MATCH(B333,'Metabase Lookup'!$A:$A,0)),"Not found",IF(INDEX('Metabase Lookup'!$B:$B,MATCH(B333,'Metabase Lookup'!$A:$A,0))="","Pending",INDEX('Metabase Lookup'!$B:$B,MATCH(B333,'Metabase Lookup'!$A:$A,0))))</f>
        <v/>
      </c>
      <c r="W333" s="14">
        <f>IF(ISNA(MATCH(B333,'Metabase Lookup'!$A:$A,0)),"Not found",IF(INDEX('Metabase Lookup'!$C:$C,MATCH(B333,'Metabase Lookup'!$A:$A,0))="","Pending",INDEX('Metabase Lookup'!$C:$C,MATCH(B333,'Metabase Lookup'!$A:$A,0))))</f>
        <v/>
      </c>
      <c r="X333" s="14">
        <f>IF(ISNA(MATCH(B333,'Metabase Lookup'!$A:$A,0)),"",IF(INDEX('Metabase Lookup'!$D:$D,MATCH(B333,'Metabase Lookup'!$A:$A,0))="","",INDEX('Metabase Lookup'!$D:$D,MATCH(B333,'Metabase Lookup'!$A:$A,0))))</f>
        <v/>
      </c>
      <c r="Y333" s="14">
        <f>IF(ISNUMBER(W333),IF(W333&gt;0,"Yes","No"),"Pending")</f>
        <v/>
      </c>
      <c r="Z333" s="14" t="inlineStr">
        <is>
          <t>TID had stray spaces/line breaks (cleaned); Driver not identified (OPS account)</t>
        </is>
      </c>
    </row>
    <row r="334">
      <c r="A334" s="14" t="n">
        <v>333</v>
      </c>
      <c r="B334" s="14" t="inlineStr">
        <is>
          <t>TNGE126007000501702000</t>
        </is>
      </c>
      <c r="C334" s="15" t="inlineStr">
        <is>
          <t>264012648046</t>
        </is>
      </c>
      <c r="D334" s="16" t="n">
        <v>46289.59336805555</v>
      </c>
      <c r="E334" s="17" t="n">
        <v>46289</v>
      </c>
      <c r="F334" s="14" t="inlineStr">
        <is>
          <t>Thu</t>
        </is>
      </c>
      <c r="G334" s="14" t="inlineStr">
        <is>
          <t>North East</t>
        </is>
      </c>
      <c r="H334" s="14" t="inlineStr">
        <is>
          <t>MAC</t>
        </is>
      </c>
      <c r="I334" s="14" t="inlineStr">
        <is>
          <t>MAC - ID - RIZALMAN</t>
        </is>
      </c>
      <c r="J334" s="14" t="inlineStr">
        <is>
          <t>ID (named driver)</t>
        </is>
      </c>
      <c r="K334" s="14" t="inlineStr">
        <is>
          <t>91824551</t>
        </is>
      </c>
      <c r="L334" s="14" t="n">
        <v>1</v>
      </c>
      <c r="M334" s="14" t="inlineStr">
        <is>
          <t>LM</t>
        </is>
      </c>
      <c r="N334" s="14" t="inlineStr">
        <is>
          <t>Deliver to Wrong Address</t>
        </is>
      </c>
      <c r="O334" s="14" t="inlineStr"/>
      <c r="P334" s="14" t="inlineStr"/>
      <c r="Q334" s="14" t="inlineStr"/>
      <c r="R334" s="14" t="inlineStr">
        <is>
          <t>Driver delivered the parcel to the wrong address. After the complaint was raised, the driver retrieved it and redelivered it to the correct address.</t>
        </is>
      </c>
      <c r="S334" s="14" t="inlineStr">
        <is>
          <t>Huzair</t>
        </is>
      </c>
      <c r="T334" s="14">
        <f>COUNTIF($B$2:$B$499,B334)</f>
        <v/>
      </c>
      <c r="U334" s="14">
        <f>COUNTIF($I$2:$I$499,I334)</f>
        <v/>
      </c>
      <c r="V334" s="14">
        <f>IF(ISNA(MATCH(B334,'Metabase Lookup'!$A:$A,0)),"Not found",IF(INDEX('Metabase Lookup'!$B:$B,MATCH(B334,'Metabase Lookup'!$A:$A,0))="","Pending",INDEX('Metabase Lookup'!$B:$B,MATCH(B334,'Metabase Lookup'!$A:$A,0))))</f>
        <v/>
      </c>
      <c r="W334" s="14">
        <f>IF(ISNA(MATCH(B334,'Metabase Lookup'!$A:$A,0)),"Not found",IF(INDEX('Metabase Lookup'!$C:$C,MATCH(B334,'Metabase Lookup'!$A:$A,0))="","Pending",INDEX('Metabase Lookup'!$C:$C,MATCH(B334,'Metabase Lookup'!$A:$A,0))))</f>
        <v/>
      </c>
      <c r="X334" s="14">
        <f>IF(ISNA(MATCH(B334,'Metabase Lookup'!$A:$A,0)),"",IF(INDEX('Metabase Lookup'!$D:$D,MATCH(B334,'Metabase Lookup'!$A:$A,0))="","",INDEX('Metabase Lookup'!$D:$D,MATCH(B334,'Metabase Lookup'!$A:$A,0))))</f>
        <v/>
      </c>
      <c r="Y334" s="14">
        <f>IF(ISNUMBER(W334),IF(W334&gt;0,"Yes","No"),"Pending")</f>
        <v/>
      </c>
      <c r="Z334" s="14" t="inlineStr"/>
    </row>
    <row r="335">
      <c r="A335" s="14" t="n">
        <v>334</v>
      </c>
      <c r="B335" s="14" t="inlineStr">
        <is>
          <t>ESHP003314995</t>
        </is>
      </c>
      <c r="C335" s="15" t="inlineStr">
        <is>
          <t>269202670965</t>
        </is>
      </c>
      <c r="D335" s="16" t="n">
        <v>46289.599375</v>
      </c>
      <c r="E335" s="17" t="n">
        <v>46289</v>
      </c>
      <c r="F335" s="14" t="inlineStr">
        <is>
          <t>Thu</t>
        </is>
      </c>
      <c r="G335" s="14" t="inlineStr">
        <is>
          <t>KV</t>
        </is>
      </c>
      <c r="H335" s="14" t="inlineStr">
        <is>
          <t>RBY</t>
        </is>
      </c>
      <c r="I335" s="14" t="inlineStr">
        <is>
          <t>OPS - NAIM FIKRI</t>
        </is>
      </c>
      <c r="J335" s="14" t="inlineStr">
        <is>
          <t>OPS (generic hub account)</t>
        </is>
      </c>
      <c r="K335" s="14" t="inlineStr">
        <is>
          <t>91871590</t>
        </is>
      </c>
      <c r="L335" s="14" t="n">
        <v>1</v>
      </c>
      <c r="M335" s="14" t="inlineStr">
        <is>
          <t>LM</t>
        </is>
      </c>
      <c r="N335" s="14" t="inlineStr">
        <is>
          <t>Fake Fail</t>
        </is>
      </c>
      <c r="O335" s="14" t="inlineStr">
        <is>
          <t>Invalid POD (no detail)</t>
        </is>
      </c>
      <c r="P335" s="14" t="inlineStr">
        <is>
          <t>No</t>
        </is>
      </c>
      <c r="Q335" s="14" t="inlineStr">
        <is>
          <t>No</t>
        </is>
      </c>
      <c r="R335" s="14" t="inlineStr">
        <is>
          <t>invalid POD</t>
        </is>
      </c>
      <c r="S335" s="14" t="inlineStr">
        <is>
          <t>Naveen</t>
        </is>
      </c>
      <c r="T335" s="14">
        <f>COUNTIF($B$2:$B$499,B335)</f>
        <v/>
      </c>
      <c r="U335" s="14">
        <f>COUNTIF($I$2:$I$499,I335)</f>
        <v/>
      </c>
      <c r="V335" s="14">
        <f>IF(ISNA(MATCH(B335,'Metabase Lookup'!$A:$A,0)),"Not found",IF(INDEX('Metabase Lookup'!$B:$B,MATCH(B335,'Metabase Lookup'!$A:$A,0))="","Pending",INDEX('Metabase Lookup'!$B:$B,MATCH(B335,'Metabase Lookup'!$A:$A,0))))</f>
        <v/>
      </c>
      <c r="W335" s="14">
        <f>IF(ISNA(MATCH(B335,'Metabase Lookup'!$A:$A,0)),"Not found",IF(INDEX('Metabase Lookup'!$C:$C,MATCH(B335,'Metabase Lookup'!$A:$A,0))="","Pending",INDEX('Metabase Lookup'!$C:$C,MATCH(B335,'Metabase Lookup'!$A:$A,0))))</f>
        <v/>
      </c>
      <c r="X335" s="14">
        <f>IF(ISNA(MATCH(B335,'Metabase Lookup'!$A:$A,0)),"",IF(INDEX('Metabase Lookup'!$D:$D,MATCH(B335,'Metabase Lookup'!$A:$A,0))="","",INDEX('Metabase Lookup'!$D:$D,MATCH(B335,'Metabase Lookup'!$A:$A,0))))</f>
        <v/>
      </c>
      <c r="Y335" s="14">
        <f>IF(ISNUMBER(W335),IF(W335&gt;0,"Yes","No"),"Pending")</f>
        <v/>
      </c>
      <c r="Z335" s="14" t="inlineStr">
        <is>
          <t>Driver not identified (OPS account)</t>
        </is>
      </c>
    </row>
    <row r="336">
      <c r="A336" s="14" t="n">
        <v>335</v>
      </c>
      <c r="B336" s="14" t="inlineStr">
        <is>
          <t>MYNJV70093465568</t>
        </is>
      </c>
      <c r="C336" s="15" t="inlineStr">
        <is>
          <t>267442671694</t>
        </is>
      </c>
      <c r="D336" s="16" t="n">
        <v>46289.61494212963</v>
      </c>
      <c r="E336" s="17" t="n">
        <v>46289</v>
      </c>
      <c r="F336" s="14" t="inlineStr">
        <is>
          <t>Thu</t>
        </is>
      </c>
      <c r="G336" s="14" t="inlineStr">
        <is>
          <t>KV</t>
        </is>
      </c>
      <c r="H336" s="14" t="inlineStr">
        <is>
          <t>BTR</t>
        </is>
      </c>
      <c r="I336" s="14" t="inlineStr">
        <is>
          <t>OPS - BTR</t>
        </is>
      </c>
      <c r="J336" s="14" t="inlineStr">
        <is>
          <t>OPS (generic hub account)</t>
        </is>
      </c>
      <c r="K336" s="14" t="inlineStr">
        <is>
          <t>91863050</t>
        </is>
      </c>
      <c r="L336" s="14" t="n">
        <v>1</v>
      </c>
      <c r="M336" s="14" t="inlineStr">
        <is>
          <t>LM</t>
        </is>
      </c>
      <c r="N336" s="14" t="inlineStr">
        <is>
          <t>Fake Fail</t>
        </is>
      </c>
      <c r="O336" s="14" t="inlineStr">
        <is>
          <t>Invalid POD (no detail)</t>
        </is>
      </c>
      <c r="P336" s="14" t="inlineStr">
        <is>
          <t>No</t>
        </is>
      </c>
      <c r="Q336" s="14" t="inlineStr">
        <is>
          <t>No</t>
        </is>
      </c>
      <c r="R336" s="14" t="inlineStr">
        <is>
          <t>invalid POD</t>
        </is>
      </c>
      <c r="S336" s="14" t="inlineStr">
        <is>
          <t>Naveen</t>
        </is>
      </c>
      <c r="T336" s="14">
        <f>COUNTIF($B$2:$B$499,B336)</f>
        <v/>
      </c>
      <c r="U336" s="14">
        <f>COUNTIF($I$2:$I$499,I336)</f>
        <v/>
      </c>
      <c r="V336" s="14">
        <f>IF(ISNA(MATCH(B336,'Metabase Lookup'!$A:$A,0)),"Not found",IF(INDEX('Metabase Lookup'!$B:$B,MATCH(B336,'Metabase Lookup'!$A:$A,0))="","Pending",INDEX('Metabase Lookup'!$B:$B,MATCH(B336,'Metabase Lookup'!$A:$A,0))))</f>
        <v/>
      </c>
      <c r="W336" s="14">
        <f>IF(ISNA(MATCH(B336,'Metabase Lookup'!$A:$A,0)),"Not found",IF(INDEX('Metabase Lookup'!$C:$C,MATCH(B336,'Metabase Lookup'!$A:$A,0))="","Pending",INDEX('Metabase Lookup'!$C:$C,MATCH(B336,'Metabase Lookup'!$A:$A,0))))</f>
        <v/>
      </c>
      <c r="X336" s="14">
        <f>IF(ISNA(MATCH(B336,'Metabase Lookup'!$A:$A,0)),"",IF(INDEX('Metabase Lookup'!$D:$D,MATCH(B336,'Metabase Lookup'!$A:$A,0))="","",INDEX('Metabase Lookup'!$D:$D,MATCH(B336,'Metabase Lookup'!$A:$A,0))))</f>
        <v/>
      </c>
      <c r="Y336" s="14">
        <f>IF(ISNUMBER(W336),IF(W336&gt;0,"Yes","No"),"Pending")</f>
        <v/>
      </c>
      <c r="Z336" s="14" t="inlineStr">
        <is>
          <t>Driver not identified (OPS account)</t>
        </is>
      </c>
    </row>
    <row r="337">
      <c r="A337" s="14" t="n">
        <v>336</v>
      </c>
      <c r="B337" s="14" t="inlineStr">
        <is>
          <t>ZNV256384945-4282</t>
        </is>
      </c>
      <c r="C337" s="15" t="inlineStr">
        <is>
          <t>269642658331</t>
        </is>
      </c>
      <c r="D337" s="16" t="n">
        <v>46289.63328703704</v>
      </c>
      <c r="E337" s="17" t="n">
        <v>46289</v>
      </c>
      <c r="F337" s="14" t="inlineStr">
        <is>
          <t>Thu</t>
        </is>
      </c>
      <c r="G337" s="14" t="inlineStr">
        <is>
          <t>East MY</t>
        </is>
      </c>
      <c r="H337" s="14" t="inlineStr">
        <is>
          <t>PTJ</t>
        </is>
      </c>
      <c r="I337" s="14" t="inlineStr">
        <is>
          <t>KAMARUL ABDULLAH</t>
        </is>
      </c>
      <c r="J337" s="14" t="inlineStr">
        <is>
          <t>Name only (no hub/code)</t>
        </is>
      </c>
      <c r="K337" s="14" t="inlineStr">
        <is>
          <t>91813783</t>
        </is>
      </c>
      <c r="L337" s="14" t="n">
        <v>1</v>
      </c>
      <c r="M337" s="14" t="inlineStr">
        <is>
          <t>LM</t>
        </is>
      </c>
      <c r="N337" s="14" t="inlineStr">
        <is>
          <t>Deliver to Wrong Address</t>
        </is>
      </c>
      <c r="O337" s="14" t="inlineStr"/>
      <c r="P337" s="14" t="inlineStr"/>
      <c r="Q337" s="14" t="inlineStr"/>
      <c r="R337" s="14" t="inlineStr">
        <is>
          <t>Parcel del to wrong address, now , retrieved</t>
        </is>
      </c>
      <c r="S337" s="14" t="inlineStr">
        <is>
          <t>Syak</t>
        </is>
      </c>
      <c r="T337" s="14">
        <f>COUNTIF($B$2:$B$499,B337)</f>
        <v/>
      </c>
      <c r="U337" s="14">
        <f>COUNTIF($I$2:$I$499,I337)</f>
        <v/>
      </c>
      <c r="V337" s="14">
        <f>IF(ISNA(MATCH(B337,'Metabase Lookup'!$A:$A,0)),"Not found",IF(INDEX('Metabase Lookup'!$B:$B,MATCH(B337,'Metabase Lookup'!$A:$A,0))="","Pending",INDEX('Metabase Lookup'!$B:$B,MATCH(B337,'Metabase Lookup'!$A:$A,0))))</f>
        <v/>
      </c>
      <c r="W337" s="14">
        <f>IF(ISNA(MATCH(B337,'Metabase Lookup'!$A:$A,0)),"Not found",IF(INDEX('Metabase Lookup'!$C:$C,MATCH(B337,'Metabase Lookup'!$A:$A,0))="","Pending",INDEX('Metabase Lookup'!$C:$C,MATCH(B337,'Metabase Lookup'!$A:$A,0))))</f>
        <v/>
      </c>
      <c r="X337" s="14">
        <f>IF(ISNA(MATCH(B337,'Metabase Lookup'!$A:$A,0)),"",IF(INDEX('Metabase Lookup'!$D:$D,MATCH(B337,'Metabase Lookup'!$A:$A,0))="","",INDEX('Metabase Lookup'!$D:$D,MATCH(B337,'Metabase Lookup'!$A:$A,0))))</f>
        <v/>
      </c>
      <c r="Y337" s="14">
        <f>IF(ISNUMBER(W337),IF(W337&gt;0,"Yes","No"),"Pending")</f>
        <v/>
      </c>
      <c r="Z337" s="14" t="inlineStr">
        <is>
          <t>TID had stray spaces/line breaks (cleaned)</t>
        </is>
      </c>
    </row>
    <row r="338">
      <c r="A338" s="14" t="n">
        <v>337</v>
      </c>
      <c r="B338" s="14" t="inlineStr">
        <is>
          <t>HFGMY12609161310007</t>
        </is>
      </c>
      <c r="C338" s="15" t="inlineStr">
        <is>
          <t>262302672866</t>
        </is>
      </c>
      <c r="D338" s="16" t="n">
        <v>46289.65550925926</v>
      </c>
      <c r="E338" s="17" t="n">
        <v>46289</v>
      </c>
      <c r="F338" s="14" t="inlineStr">
        <is>
          <t>Thu</t>
        </is>
      </c>
      <c r="G338" s="14" t="inlineStr">
        <is>
          <t>KV</t>
        </is>
      </c>
      <c r="H338" s="14" t="inlineStr">
        <is>
          <t>SEG</t>
        </is>
      </c>
      <c r="I338" s="14" t="inlineStr">
        <is>
          <t>SEG - OPS - STATION HEAD</t>
        </is>
      </c>
      <c r="J338" s="14" t="inlineStr">
        <is>
          <t>OPS (generic hub account)</t>
        </is>
      </c>
      <c r="K338" s="14" t="inlineStr">
        <is>
          <t>91867802</t>
        </is>
      </c>
      <c r="L338" s="14" t="n">
        <v>1</v>
      </c>
      <c r="M338" s="14" t="inlineStr">
        <is>
          <t>LM</t>
        </is>
      </c>
      <c r="N338" s="14" t="inlineStr">
        <is>
          <t>Fake Fail</t>
        </is>
      </c>
      <c r="O338" s="14" t="inlineStr">
        <is>
          <t>Wrong number called</t>
        </is>
      </c>
      <c r="P338" s="14" t="inlineStr">
        <is>
          <t>No</t>
        </is>
      </c>
      <c r="Q338" s="14" t="inlineStr">
        <is>
          <t>Yes</t>
        </is>
      </c>
      <c r="R338" s="14" t="inlineStr">
        <is>
          <t>There is no valid call log attached by the OPS as no number shows</t>
        </is>
      </c>
      <c r="S338" s="14" t="inlineStr">
        <is>
          <t>Syak</t>
        </is>
      </c>
      <c r="T338" s="14">
        <f>COUNTIF($B$2:$B$499,B338)</f>
        <v/>
      </c>
      <c r="U338" s="14">
        <f>COUNTIF($I$2:$I$499,I338)</f>
        <v/>
      </c>
      <c r="V338" s="14">
        <f>IF(ISNA(MATCH(B338,'Metabase Lookup'!$A:$A,0)),"Not found",IF(INDEX('Metabase Lookup'!$B:$B,MATCH(B338,'Metabase Lookup'!$A:$A,0))="","Pending",INDEX('Metabase Lookup'!$B:$B,MATCH(B338,'Metabase Lookup'!$A:$A,0))))</f>
        <v/>
      </c>
      <c r="W338" s="14">
        <f>IF(ISNA(MATCH(B338,'Metabase Lookup'!$A:$A,0)),"Not found",IF(INDEX('Metabase Lookup'!$C:$C,MATCH(B338,'Metabase Lookup'!$A:$A,0))="","Pending",INDEX('Metabase Lookup'!$C:$C,MATCH(B338,'Metabase Lookup'!$A:$A,0))))</f>
        <v/>
      </c>
      <c r="X338" s="14">
        <f>IF(ISNA(MATCH(B338,'Metabase Lookup'!$A:$A,0)),"",IF(INDEX('Metabase Lookup'!$D:$D,MATCH(B338,'Metabase Lookup'!$A:$A,0))="","",INDEX('Metabase Lookup'!$D:$D,MATCH(B338,'Metabase Lookup'!$A:$A,0))))</f>
        <v/>
      </c>
      <c r="Y338" s="14">
        <f>IF(ISNUMBER(W338),IF(W338&gt;0,"Yes","No"),"Pending")</f>
        <v/>
      </c>
      <c r="Z338" s="14" t="inlineStr">
        <is>
          <t>Driver not identified (OPS account)</t>
        </is>
      </c>
    </row>
    <row r="339">
      <c r="A339" s="14" t="n">
        <v>338</v>
      </c>
      <c r="B339" s="14" t="inlineStr">
        <is>
          <t>NVMYNINJA002502259</t>
        </is>
      </c>
      <c r="C339" s="15" t="inlineStr">
        <is>
          <t>263052672312</t>
        </is>
      </c>
      <c r="D339" s="16" t="n">
        <v>46289.6575</v>
      </c>
      <c r="E339" s="17" t="n">
        <v>46289</v>
      </c>
      <c r="F339" s="14" t="inlineStr">
        <is>
          <t>Thu</t>
        </is>
      </c>
      <c r="G339" s="14" t="inlineStr">
        <is>
          <t>KV</t>
        </is>
      </c>
      <c r="H339" s="14" t="inlineStr">
        <is>
          <t>BGI</t>
        </is>
      </c>
      <c r="I339" s="14" t="inlineStr">
        <is>
          <t>BGI - ID - NAZIM AHMAD</t>
        </is>
      </c>
      <c r="J339" s="14" t="inlineStr">
        <is>
          <t>ID (named driver)</t>
        </is>
      </c>
      <c r="K339" s="14" t="inlineStr">
        <is>
          <t>91820585</t>
        </is>
      </c>
      <c r="L339" s="14" t="n">
        <v>1</v>
      </c>
      <c r="M339" s="14" t="inlineStr">
        <is>
          <t>LM</t>
        </is>
      </c>
      <c r="N339" s="14" t="inlineStr">
        <is>
          <t>Deliver to Wrong Address</t>
        </is>
      </c>
      <c r="O339" s="14" t="inlineStr"/>
      <c r="P339" s="14" t="inlineStr"/>
      <c r="Q339" s="14" t="inlineStr"/>
      <c r="R339" s="14" t="inlineStr">
        <is>
          <t>driver deliver to wrong address and never contatct the customer</t>
        </is>
      </c>
      <c r="S339" s="14" t="inlineStr">
        <is>
          <t>Yana</t>
        </is>
      </c>
      <c r="T339" s="14">
        <f>COUNTIF($B$2:$B$499,B339)</f>
        <v/>
      </c>
      <c r="U339" s="14">
        <f>COUNTIF($I$2:$I$499,I339)</f>
        <v/>
      </c>
      <c r="V339" s="14">
        <f>IF(ISNA(MATCH(B339,'Metabase Lookup'!$A:$A,0)),"Not found",IF(INDEX('Metabase Lookup'!$B:$B,MATCH(B339,'Metabase Lookup'!$A:$A,0))="","Pending",INDEX('Metabase Lookup'!$B:$B,MATCH(B339,'Metabase Lookup'!$A:$A,0))))</f>
        <v/>
      </c>
      <c r="W339" s="14">
        <f>IF(ISNA(MATCH(B339,'Metabase Lookup'!$A:$A,0)),"Not found",IF(INDEX('Metabase Lookup'!$C:$C,MATCH(B339,'Metabase Lookup'!$A:$A,0))="","Pending",INDEX('Metabase Lookup'!$C:$C,MATCH(B339,'Metabase Lookup'!$A:$A,0))))</f>
        <v/>
      </c>
      <c r="X339" s="14">
        <f>IF(ISNA(MATCH(B339,'Metabase Lookup'!$A:$A,0)),"",IF(INDEX('Metabase Lookup'!$D:$D,MATCH(B339,'Metabase Lookup'!$A:$A,0))="","",INDEX('Metabase Lookup'!$D:$D,MATCH(B339,'Metabase Lookup'!$A:$A,0))))</f>
        <v/>
      </c>
      <c r="Y339" s="14">
        <f>IF(ISNUMBER(W339),IF(W339&gt;0,"Yes","No"),"Pending")</f>
        <v/>
      </c>
      <c r="Z339" s="14" t="inlineStr"/>
    </row>
    <row r="340">
      <c r="A340" s="14" t="n">
        <v>339</v>
      </c>
      <c r="B340" s="14" t="inlineStr">
        <is>
          <t>BEINT1546361398446215168</t>
        </is>
      </c>
      <c r="C340" s="15" t="inlineStr">
        <is>
          <t>264062653888</t>
        </is>
      </c>
      <c r="D340" s="16" t="n">
        <v>46289.65847222223</v>
      </c>
      <c r="E340" s="17" t="n">
        <v>46289</v>
      </c>
      <c r="F340" s="14" t="inlineStr">
        <is>
          <t>Thu</t>
        </is>
      </c>
      <c r="G340" s="14" t="inlineStr">
        <is>
          <t>Northern</t>
        </is>
      </c>
      <c r="H340" s="14" t="inlineStr">
        <is>
          <t>JIT</t>
        </is>
      </c>
      <c r="I340" s="14" t="inlineStr">
        <is>
          <t>JIT - ID - FIRDAUS AZIZAN</t>
        </is>
      </c>
      <c r="J340" s="14" t="inlineStr">
        <is>
          <t>ID (named driver)</t>
        </is>
      </c>
      <c r="K340" s="14" t="inlineStr">
        <is>
          <t>91752118</t>
        </is>
      </c>
      <c r="L340" s="14" t="n">
        <v>1</v>
      </c>
      <c r="M340" s="14" t="inlineStr">
        <is>
          <t>LM</t>
        </is>
      </c>
      <c r="N340" s="14" t="inlineStr">
        <is>
          <t>Fake Success</t>
        </is>
      </c>
      <c r="O340" s="14" t="inlineStr"/>
      <c r="P340" s="14" t="inlineStr"/>
      <c r="Q340" s="14" t="inlineStr"/>
      <c r="R340" s="14" t="inlineStr">
        <is>
          <t>Customer claim didnt received any notification from driver</t>
        </is>
      </c>
      <c r="S340" s="14" t="inlineStr">
        <is>
          <t>Adid</t>
        </is>
      </c>
      <c r="T340" s="14">
        <f>COUNTIF($B$2:$B$499,B340)</f>
        <v/>
      </c>
      <c r="U340" s="14">
        <f>COUNTIF($I$2:$I$499,I340)</f>
        <v/>
      </c>
      <c r="V340" s="14">
        <f>IF(ISNA(MATCH(B340,'Metabase Lookup'!$A:$A,0)),"Not found",IF(INDEX('Metabase Lookup'!$B:$B,MATCH(B340,'Metabase Lookup'!$A:$A,0))="","Pending",INDEX('Metabase Lookup'!$B:$B,MATCH(B340,'Metabase Lookup'!$A:$A,0))))</f>
        <v/>
      </c>
      <c r="W340" s="14">
        <f>IF(ISNA(MATCH(B340,'Metabase Lookup'!$A:$A,0)),"Not found",IF(INDEX('Metabase Lookup'!$C:$C,MATCH(B340,'Metabase Lookup'!$A:$A,0))="","Pending",INDEX('Metabase Lookup'!$C:$C,MATCH(B340,'Metabase Lookup'!$A:$A,0))))</f>
        <v/>
      </c>
      <c r="X340" s="14">
        <f>IF(ISNA(MATCH(B340,'Metabase Lookup'!$A:$A,0)),"",IF(INDEX('Metabase Lookup'!$D:$D,MATCH(B340,'Metabase Lookup'!$A:$A,0))="","",INDEX('Metabase Lookup'!$D:$D,MATCH(B340,'Metabase Lookup'!$A:$A,0))))</f>
        <v/>
      </c>
      <c r="Y340" s="14">
        <f>IF(ISNUMBER(W340),IF(W340&gt;0,"Yes","No"),"Pending")</f>
        <v/>
      </c>
      <c r="Z340" s="14" t="inlineStr"/>
    </row>
    <row r="341">
      <c r="A341" s="14" t="n">
        <v>340</v>
      </c>
      <c r="B341" s="14" t="inlineStr">
        <is>
          <t>MGBOO1549219794276077568</t>
        </is>
      </c>
      <c r="C341" s="15" t="inlineStr">
        <is>
          <t>264442644342</t>
        </is>
      </c>
      <c r="D341" s="16" t="n">
        <v>46289.67328703704</v>
      </c>
      <c r="E341" s="17" t="n">
        <v>46289</v>
      </c>
      <c r="F341" s="14" t="inlineStr">
        <is>
          <t>Thu</t>
        </is>
      </c>
      <c r="G341" s="14" t="inlineStr">
        <is>
          <t>KV</t>
        </is>
      </c>
      <c r="H341" s="14" t="inlineStr">
        <is>
          <t>CKT</t>
        </is>
      </c>
      <c r="I341" s="14" t="inlineStr">
        <is>
          <t>ZAMAN MUHAMMAD</t>
        </is>
      </c>
      <c r="J341" s="14" t="inlineStr">
        <is>
          <t>Name only (no hub/code)</t>
        </is>
      </c>
      <c r="K341" s="14" t="inlineStr">
        <is>
          <t>91820364</t>
        </is>
      </c>
      <c r="L341" s="14" t="n">
        <v>1</v>
      </c>
      <c r="M341" s="14" t="inlineStr">
        <is>
          <t>LM</t>
        </is>
      </c>
      <c r="N341" s="14" t="inlineStr">
        <is>
          <t>Parcel Dumping</t>
        </is>
      </c>
      <c r="O341" s="14" t="inlineStr"/>
      <c r="P341" s="14" t="inlineStr"/>
      <c r="Q341" s="14" t="inlineStr"/>
      <c r="R341" s="14" t="inlineStr">
        <is>
          <t>Driver left the parcel unattended and customer did not receive it upon completed on 17/9/2026. After complaint was made, REC already revert the status</t>
        </is>
      </c>
      <c r="S341" s="14" t="inlineStr">
        <is>
          <t>Daus</t>
        </is>
      </c>
      <c r="T341" s="14">
        <f>COUNTIF($B$2:$B$499,B341)</f>
        <v/>
      </c>
      <c r="U341" s="14">
        <f>COUNTIF($I$2:$I$499,I341)</f>
        <v/>
      </c>
      <c r="V341" s="14">
        <f>IF(ISNA(MATCH(B341,'Metabase Lookup'!$A:$A,0)),"Not found",IF(INDEX('Metabase Lookup'!$B:$B,MATCH(B341,'Metabase Lookup'!$A:$A,0))="","Pending",INDEX('Metabase Lookup'!$B:$B,MATCH(B341,'Metabase Lookup'!$A:$A,0))))</f>
        <v/>
      </c>
      <c r="W341" s="14">
        <f>IF(ISNA(MATCH(B341,'Metabase Lookup'!$A:$A,0)),"Not found",IF(INDEX('Metabase Lookup'!$C:$C,MATCH(B341,'Metabase Lookup'!$A:$A,0))="","Pending",INDEX('Metabase Lookup'!$C:$C,MATCH(B341,'Metabase Lookup'!$A:$A,0))))</f>
        <v/>
      </c>
      <c r="X341" s="14">
        <f>IF(ISNA(MATCH(B341,'Metabase Lookup'!$A:$A,0)),"",IF(INDEX('Metabase Lookup'!$D:$D,MATCH(B341,'Metabase Lookup'!$A:$A,0))="","",INDEX('Metabase Lookup'!$D:$D,MATCH(B341,'Metabase Lookup'!$A:$A,0))))</f>
        <v/>
      </c>
      <c r="Y341" s="14">
        <f>IF(ISNUMBER(W341),IF(W341&gt;0,"Yes","No"),"Pending")</f>
        <v/>
      </c>
      <c r="Z341" s="14" t="inlineStr"/>
    </row>
    <row r="342">
      <c r="A342" s="14" t="n">
        <v>341</v>
      </c>
      <c r="B342" s="14" t="inlineStr">
        <is>
          <t>SUMORNJ3698-001</t>
        </is>
      </c>
      <c r="C342" s="15" t="inlineStr">
        <is>
          <t>263732678689</t>
        </is>
      </c>
      <c r="D342" s="16" t="n">
        <v>46289.67408564815</v>
      </c>
      <c r="E342" s="17" t="n">
        <v>46289</v>
      </c>
      <c r="F342" s="14" t="inlineStr">
        <is>
          <t>Thu</t>
        </is>
      </c>
      <c r="G342" s="14" t="inlineStr">
        <is>
          <t>KV</t>
        </is>
      </c>
      <c r="H342" s="14" t="inlineStr">
        <is>
          <t>BRP</t>
        </is>
      </c>
      <c r="I342" s="14" t="inlineStr">
        <is>
          <t>OPS - BRP</t>
        </is>
      </c>
      <c r="J342" s="14" t="inlineStr">
        <is>
          <t>OPS (generic hub account)</t>
        </is>
      </c>
      <c r="K342" s="14" t="inlineStr">
        <is>
          <t>91870765</t>
        </is>
      </c>
      <c r="L342" s="14" t="n">
        <v>1</v>
      </c>
      <c r="M342" s="14" t="inlineStr">
        <is>
          <t>LM</t>
        </is>
      </c>
      <c r="N342" s="14" t="inlineStr">
        <is>
          <t>Fake Fail</t>
        </is>
      </c>
      <c r="O342" s="14" t="inlineStr">
        <is>
          <t>Invalid POD (no detail)</t>
        </is>
      </c>
      <c r="P342" s="14" t="inlineStr">
        <is>
          <t>No</t>
        </is>
      </c>
      <c r="Q342" s="14" t="inlineStr">
        <is>
          <t>No</t>
        </is>
      </c>
      <c r="R342" s="14" t="inlineStr">
        <is>
          <t>Invalid POD</t>
        </is>
      </c>
      <c r="S342" s="14" t="inlineStr">
        <is>
          <t>Naveen</t>
        </is>
      </c>
      <c r="T342" s="14">
        <f>COUNTIF($B$2:$B$499,B342)</f>
        <v/>
      </c>
      <c r="U342" s="14">
        <f>COUNTIF($I$2:$I$499,I342)</f>
        <v/>
      </c>
      <c r="V342" s="14">
        <f>IF(ISNA(MATCH(B342,'Metabase Lookup'!$A:$A,0)),"Not found",IF(INDEX('Metabase Lookup'!$B:$B,MATCH(B342,'Metabase Lookup'!$A:$A,0))="","Pending",INDEX('Metabase Lookup'!$B:$B,MATCH(B342,'Metabase Lookup'!$A:$A,0))))</f>
        <v/>
      </c>
      <c r="W342" s="14">
        <f>IF(ISNA(MATCH(B342,'Metabase Lookup'!$A:$A,0)),"Not found",IF(INDEX('Metabase Lookup'!$C:$C,MATCH(B342,'Metabase Lookup'!$A:$A,0))="","Pending",INDEX('Metabase Lookup'!$C:$C,MATCH(B342,'Metabase Lookup'!$A:$A,0))))</f>
        <v/>
      </c>
      <c r="X342" s="14">
        <f>IF(ISNA(MATCH(B342,'Metabase Lookup'!$A:$A,0)),"",IF(INDEX('Metabase Lookup'!$D:$D,MATCH(B342,'Metabase Lookup'!$A:$A,0))="","",INDEX('Metabase Lookup'!$D:$D,MATCH(B342,'Metabase Lookup'!$A:$A,0))))</f>
        <v/>
      </c>
      <c r="Y342" s="14">
        <f>IF(ISNUMBER(W342),IF(W342&gt;0,"Yes","No"),"Pending")</f>
        <v/>
      </c>
      <c r="Z342" s="14" t="inlineStr">
        <is>
          <t>Driver not identified (OPS account)</t>
        </is>
      </c>
    </row>
    <row r="343">
      <c r="A343" s="14" t="n">
        <v>342</v>
      </c>
      <c r="B343" s="14" t="inlineStr">
        <is>
          <t>TNGE126057319316659000</t>
        </is>
      </c>
      <c r="C343" s="15" t="inlineStr">
        <is>
          <t>260642679302</t>
        </is>
      </c>
      <c r="D343" s="16" t="n">
        <v>46289.67635416667</v>
      </c>
      <c r="E343" s="17" t="n">
        <v>46289</v>
      </c>
      <c r="F343" s="14" t="inlineStr">
        <is>
          <t>Thu</t>
        </is>
      </c>
      <c r="G343" s="14" t="inlineStr">
        <is>
          <t>Southern</t>
        </is>
      </c>
      <c r="H343" s="14" t="inlineStr">
        <is>
          <t>KEM</t>
        </is>
      </c>
      <c r="I343" s="14" t="inlineStr">
        <is>
          <t>OPS - KEM</t>
        </is>
      </c>
      <c r="J343" s="14" t="inlineStr">
        <is>
          <t>OPS (generic hub account)</t>
        </is>
      </c>
      <c r="K343" s="14" t="inlineStr">
        <is>
          <t>91865703</t>
        </is>
      </c>
      <c r="L343" s="14" t="n">
        <v>1</v>
      </c>
      <c r="M343" s="14" t="inlineStr">
        <is>
          <t>LM</t>
        </is>
      </c>
      <c r="N343" s="14" t="inlineStr">
        <is>
          <t>Fake Fail</t>
        </is>
      </c>
      <c r="O343" s="14" t="inlineStr">
        <is>
          <t>Invalid POD (no detail)</t>
        </is>
      </c>
      <c r="P343" s="14" t="inlineStr">
        <is>
          <t>No</t>
        </is>
      </c>
      <c r="Q343" s="14" t="inlineStr">
        <is>
          <t>No</t>
        </is>
      </c>
      <c r="R343" s="14" t="inlineStr">
        <is>
          <t>invalid POD</t>
        </is>
      </c>
      <c r="S343" s="14" t="inlineStr">
        <is>
          <t>Naveen</t>
        </is>
      </c>
      <c r="T343" s="14">
        <f>COUNTIF($B$2:$B$499,B343)</f>
        <v/>
      </c>
      <c r="U343" s="14">
        <f>COUNTIF($I$2:$I$499,I343)</f>
        <v/>
      </c>
      <c r="V343" s="14">
        <f>IF(ISNA(MATCH(B343,'Metabase Lookup'!$A:$A,0)),"Not found",IF(INDEX('Metabase Lookup'!$B:$B,MATCH(B343,'Metabase Lookup'!$A:$A,0))="","Pending",INDEX('Metabase Lookup'!$B:$B,MATCH(B343,'Metabase Lookup'!$A:$A,0))))</f>
        <v/>
      </c>
      <c r="W343" s="14">
        <f>IF(ISNA(MATCH(B343,'Metabase Lookup'!$A:$A,0)),"Not found",IF(INDEX('Metabase Lookup'!$C:$C,MATCH(B343,'Metabase Lookup'!$A:$A,0))="","Pending",INDEX('Metabase Lookup'!$C:$C,MATCH(B343,'Metabase Lookup'!$A:$A,0))))</f>
        <v/>
      </c>
      <c r="X343" s="14">
        <f>IF(ISNA(MATCH(B343,'Metabase Lookup'!$A:$A,0)),"",IF(INDEX('Metabase Lookup'!$D:$D,MATCH(B343,'Metabase Lookup'!$A:$A,0))="","",INDEX('Metabase Lookup'!$D:$D,MATCH(B343,'Metabase Lookup'!$A:$A,0))))</f>
        <v/>
      </c>
      <c r="Y343" s="14">
        <f>IF(ISNUMBER(W343),IF(W343&gt;0,"Yes","No"),"Pending")</f>
        <v/>
      </c>
      <c r="Z343" s="14" t="inlineStr">
        <is>
          <t>TID logged more than once; Driver not identified (OPS account)</t>
        </is>
      </c>
    </row>
    <row r="344">
      <c r="A344" s="14" t="n">
        <v>343</v>
      </c>
      <c r="B344" s="14" t="inlineStr">
        <is>
          <t>NVMYPZXMS000048199</t>
        </is>
      </c>
      <c r="C344" s="15" t="inlineStr">
        <is>
          <t>268682676542</t>
        </is>
      </c>
      <c r="D344" s="16" t="n">
        <v>46289.68319444444</v>
      </c>
      <c r="E344" s="17" t="n">
        <v>46289</v>
      </c>
      <c r="F344" s="14" t="inlineStr">
        <is>
          <t>Thu</t>
        </is>
      </c>
      <c r="G344" s="14" t="inlineStr">
        <is>
          <t>KV</t>
        </is>
      </c>
      <c r="H344" s="14" t="inlineStr">
        <is>
          <t>BTK</t>
        </is>
      </c>
      <c r="I344" s="14" t="inlineStr">
        <is>
          <t>BTK - ID - KALA</t>
        </is>
      </c>
      <c r="J344" s="14" t="inlineStr">
        <is>
          <t>ID (named driver)</t>
        </is>
      </c>
      <c r="K344" s="14" t="inlineStr">
        <is>
          <t>91864428</t>
        </is>
      </c>
      <c r="L344" s="14" t="n">
        <v>1</v>
      </c>
      <c r="M344" s="14" t="inlineStr">
        <is>
          <t>LM</t>
        </is>
      </c>
      <c r="N344" s="14" t="inlineStr">
        <is>
          <t>Fake Fail</t>
        </is>
      </c>
      <c r="O344" s="14" t="inlineStr">
        <is>
          <t>Invalid POD (no detail)</t>
        </is>
      </c>
      <c r="P344" s="14" t="inlineStr">
        <is>
          <t>No</t>
        </is>
      </c>
      <c r="Q344" s="14" t="inlineStr">
        <is>
          <t>No</t>
        </is>
      </c>
      <c r="R344" s="14" t="inlineStr">
        <is>
          <t>invalid POD</t>
        </is>
      </c>
      <c r="S344" s="14" t="inlineStr">
        <is>
          <t>Naveen</t>
        </is>
      </c>
      <c r="T344" s="14">
        <f>COUNTIF($B$2:$B$499,B344)</f>
        <v/>
      </c>
      <c r="U344" s="14">
        <f>COUNTIF($I$2:$I$499,I344)</f>
        <v/>
      </c>
      <c r="V344" s="14">
        <f>IF(ISNA(MATCH(B344,'Metabase Lookup'!$A:$A,0)),"Not found",IF(INDEX('Metabase Lookup'!$B:$B,MATCH(B344,'Metabase Lookup'!$A:$A,0))="","Pending",INDEX('Metabase Lookup'!$B:$B,MATCH(B344,'Metabase Lookup'!$A:$A,0))))</f>
        <v/>
      </c>
      <c r="W344" s="14">
        <f>IF(ISNA(MATCH(B344,'Metabase Lookup'!$A:$A,0)),"Not found",IF(INDEX('Metabase Lookup'!$C:$C,MATCH(B344,'Metabase Lookup'!$A:$A,0))="","Pending",INDEX('Metabase Lookup'!$C:$C,MATCH(B344,'Metabase Lookup'!$A:$A,0))))</f>
        <v/>
      </c>
      <c r="X344" s="14">
        <f>IF(ISNA(MATCH(B344,'Metabase Lookup'!$A:$A,0)),"",IF(INDEX('Metabase Lookup'!$D:$D,MATCH(B344,'Metabase Lookup'!$A:$A,0))="","",INDEX('Metabase Lookup'!$D:$D,MATCH(B344,'Metabase Lookup'!$A:$A,0))))</f>
        <v/>
      </c>
      <c r="Y344" s="14">
        <f>IF(ISNUMBER(W344),IF(W344&gt;0,"Yes","No"),"Pending")</f>
        <v/>
      </c>
      <c r="Z344" s="14" t="inlineStr"/>
    </row>
    <row r="345">
      <c r="A345" s="14" t="n">
        <v>344</v>
      </c>
      <c r="B345" s="14" t="inlineStr">
        <is>
          <t>NVMYNINJA002523907</t>
        </is>
      </c>
      <c r="C345" s="15" t="inlineStr">
        <is>
          <t>269812674597</t>
        </is>
      </c>
      <c r="D345" s="16" t="n">
        <v>46289.69569444445</v>
      </c>
      <c r="E345" s="17" t="n">
        <v>46289</v>
      </c>
      <c r="F345" s="14" t="inlineStr">
        <is>
          <t>Thu</t>
        </is>
      </c>
      <c r="G345" s="14" t="inlineStr">
        <is>
          <t>Southern</t>
        </is>
      </c>
      <c r="H345" s="14" t="inlineStr">
        <is>
          <t>GLG</t>
        </is>
      </c>
      <c r="I345" s="14" t="inlineStr">
        <is>
          <t>GLG - OPS - ENGKU</t>
        </is>
      </c>
      <c r="J345" s="14" t="inlineStr">
        <is>
          <t>OPS (generic hub account)</t>
        </is>
      </c>
      <c r="K345" s="14" t="inlineStr">
        <is>
          <t>91886198</t>
        </is>
      </c>
      <c r="L345" s="14" t="n">
        <v>1</v>
      </c>
      <c r="M345" s="14" t="inlineStr">
        <is>
          <t>LM</t>
        </is>
      </c>
      <c r="N345" s="14" t="inlineStr">
        <is>
          <t>Fake Fail</t>
        </is>
      </c>
      <c r="O345" s="14" t="inlineStr">
        <is>
          <t>No call / call log missing</t>
        </is>
      </c>
      <c r="P345" s="14" t="inlineStr">
        <is>
          <t>No</t>
        </is>
      </c>
      <c r="Q345" s="14" t="inlineStr">
        <is>
          <t>No</t>
        </is>
      </c>
      <c r="R345" s="14" t="inlineStr">
        <is>
          <t>driver not call customer and no call log attach</t>
        </is>
      </c>
      <c r="S345" s="14" t="inlineStr">
        <is>
          <t>Zati</t>
        </is>
      </c>
      <c r="T345" s="14">
        <f>COUNTIF($B$2:$B$499,B345)</f>
        <v/>
      </c>
      <c r="U345" s="14">
        <f>COUNTIF($I$2:$I$499,I345)</f>
        <v/>
      </c>
      <c r="V345" s="14">
        <f>IF(ISNA(MATCH(B345,'Metabase Lookup'!$A:$A,0)),"Not found",IF(INDEX('Metabase Lookup'!$B:$B,MATCH(B345,'Metabase Lookup'!$A:$A,0))="","Pending",INDEX('Metabase Lookup'!$B:$B,MATCH(B345,'Metabase Lookup'!$A:$A,0))))</f>
        <v/>
      </c>
      <c r="W345" s="14">
        <f>IF(ISNA(MATCH(B345,'Metabase Lookup'!$A:$A,0)),"Not found",IF(INDEX('Metabase Lookup'!$C:$C,MATCH(B345,'Metabase Lookup'!$A:$A,0))="","Pending",INDEX('Metabase Lookup'!$C:$C,MATCH(B345,'Metabase Lookup'!$A:$A,0))))</f>
        <v/>
      </c>
      <c r="X345" s="14">
        <f>IF(ISNA(MATCH(B345,'Metabase Lookup'!$A:$A,0)),"",IF(INDEX('Metabase Lookup'!$D:$D,MATCH(B345,'Metabase Lookup'!$A:$A,0))="","",INDEX('Metabase Lookup'!$D:$D,MATCH(B345,'Metabase Lookup'!$A:$A,0))))</f>
        <v/>
      </c>
      <c r="Y345" s="14">
        <f>IF(ISNUMBER(W345),IF(W345&gt;0,"Yes","No"),"Pending")</f>
        <v/>
      </c>
      <c r="Z345" s="14" t="inlineStr">
        <is>
          <t>Driver not identified (OPS account)</t>
        </is>
      </c>
    </row>
    <row r="346">
      <c r="A346" s="14" t="n">
        <v>345</v>
      </c>
      <c r="B346" s="14" t="inlineStr">
        <is>
          <t>SFDUN1551440210219233280</t>
        </is>
      </c>
      <c r="C346" s="15" t="inlineStr">
        <is>
          <t>269702674293</t>
        </is>
      </c>
      <c r="D346" s="16" t="n">
        <v>46289.69630787037</v>
      </c>
      <c r="E346" s="17" t="n">
        <v>46289</v>
      </c>
      <c r="F346" s="14" t="inlineStr">
        <is>
          <t>Thu</t>
        </is>
      </c>
      <c r="G346" s="14" t="inlineStr">
        <is>
          <t>North West</t>
        </is>
      </c>
      <c r="H346" s="14" t="inlineStr">
        <is>
          <t>STW</t>
        </is>
      </c>
      <c r="I346" s="14" t="inlineStr">
        <is>
          <t>OPS - NINJAVAN SITIAWAN</t>
        </is>
      </c>
      <c r="J346" s="14" t="inlineStr">
        <is>
          <t>OPS (generic hub account)</t>
        </is>
      </c>
      <c r="K346" s="14" t="inlineStr">
        <is>
          <t>91863698</t>
        </is>
      </c>
      <c r="L346" s="14" t="n">
        <v>1</v>
      </c>
      <c r="M346" s="14" t="inlineStr">
        <is>
          <t>LM</t>
        </is>
      </c>
      <c r="N346" s="14" t="inlineStr">
        <is>
          <t>Fake Fail</t>
        </is>
      </c>
      <c r="O346" s="14" t="inlineStr">
        <is>
          <t>Call not connected / no response</t>
        </is>
      </c>
      <c r="P346" s="14" t="inlineStr">
        <is>
          <t>No</t>
        </is>
      </c>
      <c r="Q346" s="14" t="inlineStr">
        <is>
          <t>Yes</t>
        </is>
      </c>
      <c r="R346" s="14" t="inlineStr">
        <is>
          <t>Failed by OPS as call not connected and no responded text provided</t>
        </is>
      </c>
      <c r="S346" s="14" t="inlineStr">
        <is>
          <t>Syak</t>
        </is>
      </c>
      <c r="T346" s="14">
        <f>COUNTIF($B$2:$B$499,B346)</f>
        <v/>
      </c>
      <c r="U346" s="14">
        <f>COUNTIF($I$2:$I$499,I346)</f>
        <v/>
      </c>
      <c r="V346" s="14">
        <f>IF(ISNA(MATCH(B346,'Metabase Lookup'!$A:$A,0)),"Not found",IF(INDEX('Metabase Lookup'!$B:$B,MATCH(B346,'Metabase Lookup'!$A:$A,0))="","Pending",INDEX('Metabase Lookup'!$B:$B,MATCH(B346,'Metabase Lookup'!$A:$A,0))))</f>
        <v/>
      </c>
      <c r="W346" s="14">
        <f>IF(ISNA(MATCH(B346,'Metabase Lookup'!$A:$A,0)),"Not found",IF(INDEX('Metabase Lookup'!$C:$C,MATCH(B346,'Metabase Lookup'!$A:$A,0))="","Pending",INDEX('Metabase Lookup'!$C:$C,MATCH(B346,'Metabase Lookup'!$A:$A,0))))</f>
        <v/>
      </c>
      <c r="X346" s="14">
        <f>IF(ISNA(MATCH(B346,'Metabase Lookup'!$A:$A,0)),"",IF(INDEX('Metabase Lookup'!$D:$D,MATCH(B346,'Metabase Lookup'!$A:$A,0))="","",INDEX('Metabase Lookup'!$D:$D,MATCH(B346,'Metabase Lookup'!$A:$A,0))))</f>
        <v/>
      </c>
      <c r="Y346" s="14">
        <f>IF(ISNUMBER(W346),IF(W346&gt;0,"Yes","No"),"Pending")</f>
        <v/>
      </c>
      <c r="Z346" s="14" t="inlineStr">
        <is>
          <t>Driver not identified (OPS account)</t>
        </is>
      </c>
    </row>
    <row r="347">
      <c r="A347" s="14" t="n">
        <v>346</v>
      </c>
      <c r="B347" s="14" t="inlineStr">
        <is>
          <t>ZMP274355945-2588</t>
        </is>
      </c>
      <c r="C347" s="15" t="inlineStr">
        <is>
          <t>268092675092</t>
        </is>
      </c>
      <c r="D347" s="16" t="n">
        <v>46289.69674768519</v>
      </c>
      <c r="E347" s="17" t="n">
        <v>46289</v>
      </c>
      <c r="F347" s="14" t="inlineStr">
        <is>
          <t>Thu</t>
        </is>
      </c>
      <c r="G347" s="14" t="inlineStr">
        <is>
          <t>KV</t>
        </is>
      </c>
      <c r="H347" s="14" t="inlineStr">
        <is>
          <t>SEG</t>
        </is>
      </c>
      <c r="I347" s="14" t="inlineStr">
        <is>
          <t>SEG - OPS - STATION HEAD</t>
        </is>
      </c>
      <c r="J347" s="14" t="inlineStr">
        <is>
          <t>OPS (generic hub account)</t>
        </is>
      </c>
      <c r="K347" s="14" t="inlineStr">
        <is>
          <t>91859281</t>
        </is>
      </c>
      <c r="L347" s="14" t="n">
        <v>1</v>
      </c>
      <c r="M347" s="14" t="inlineStr">
        <is>
          <t>LM</t>
        </is>
      </c>
      <c r="N347" s="14" t="inlineStr">
        <is>
          <t>Fake Fail</t>
        </is>
      </c>
      <c r="O347" s="14" t="inlineStr">
        <is>
          <t>Invalid location / site photo</t>
        </is>
      </c>
      <c r="P347" s="14" t="inlineStr">
        <is>
          <t>Yes</t>
        </is>
      </c>
      <c r="Q347" s="14" t="inlineStr">
        <is>
          <t>No</t>
        </is>
      </c>
      <c r="R347" s="14" t="inlineStr">
        <is>
          <t>Invalid POD no location</t>
        </is>
      </c>
      <c r="S347" s="14" t="inlineStr">
        <is>
          <t>Ninja Hadif</t>
        </is>
      </c>
      <c r="T347" s="14">
        <f>COUNTIF($B$2:$B$499,B347)</f>
        <v/>
      </c>
      <c r="U347" s="14">
        <f>COUNTIF($I$2:$I$499,I347)</f>
        <v/>
      </c>
      <c r="V347" s="14">
        <f>IF(ISNA(MATCH(B347,'Metabase Lookup'!$A:$A,0)),"Not found",IF(INDEX('Metabase Lookup'!$B:$B,MATCH(B347,'Metabase Lookup'!$A:$A,0))="","Pending",INDEX('Metabase Lookup'!$B:$B,MATCH(B347,'Metabase Lookup'!$A:$A,0))))</f>
        <v/>
      </c>
      <c r="W347" s="14">
        <f>IF(ISNA(MATCH(B347,'Metabase Lookup'!$A:$A,0)),"Not found",IF(INDEX('Metabase Lookup'!$C:$C,MATCH(B347,'Metabase Lookup'!$A:$A,0))="","Pending",INDEX('Metabase Lookup'!$C:$C,MATCH(B347,'Metabase Lookup'!$A:$A,0))))</f>
        <v/>
      </c>
      <c r="X347" s="14">
        <f>IF(ISNA(MATCH(B347,'Metabase Lookup'!$A:$A,0)),"",IF(INDEX('Metabase Lookup'!$D:$D,MATCH(B347,'Metabase Lookup'!$A:$A,0))="","",INDEX('Metabase Lookup'!$D:$D,MATCH(B347,'Metabase Lookup'!$A:$A,0))))</f>
        <v/>
      </c>
      <c r="Y347" s="14">
        <f>IF(ISNUMBER(W347),IF(W347&gt;0,"Yes","No"),"Pending")</f>
        <v/>
      </c>
      <c r="Z347" s="14" t="inlineStr">
        <is>
          <t>TID logged more than once; Driver not identified (OPS account)</t>
        </is>
      </c>
    </row>
    <row r="348">
      <c r="A348" s="14" t="n">
        <v>347</v>
      </c>
      <c r="B348" s="14" t="inlineStr">
        <is>
          <t>NVMY48214000023987</t>
        </is>
      </c>
      <c r="C348" s="15" t="inlineStr">
        <is>
          <t>266442671530</t>
        </is>
      </c>
      <c r="D348" s="16" t="n">
        <v>46289.69873842593</v>
      </c>
      <c r="E348" s="17" t="n">
        <v>46289</v>
      </c>
      <c r="F348" s="14" t="inlineStr">
        <is>
          <t>Thu</t>
        </is>
      </c>
      <c r="G348" s="14" t="inlineStr">
        <is>
          <t>KV</t>
        </is>
      </c>
      <c r="H348" s="14" t="inlineStr">
        <is>
          <t>SUN</t>
        </is>
      </c>
      <c r="I348" s="14" t="inlineStr">
        <is>
          <t>SUN - IR - ZULKIFLI</t>
        </is>
      </c>
      <c r="J348" s="14" t="inlineStr">
        <is>
          <t>IR (named)</t>
        </is>
      </c>
      <c r="K348" s="14" t="inlineStr">
        <is>
          <t>91801241</t>
        </is>
      </c>
      <c r="L348" s="14" t="n">
        <v>1</v>
      </c>
      <c r="M348" s="14" t="inlineStr">
        <is>
          <t>LM</t>
        </is>
      </c>
      <c r="N348" s="14" t="inlineStr">
        <is>
          <t>Fake Fail</t>
        </is>
      </c>
      <c r="O348" s="14" t="inlineStr">
        <is>
          <t>Invalid call log (unspecified)</t>
        </is>
      </c>
      <c r="P348" s="14" t="inlineStr">
        <is>
          <t>No</t>
        </is>
      </c>
      <c r="Q348" s="14" t="inlineStr">
        <is>
          <t>No</t>
        </is>
      </c>
      <c r="R348" s="14" t="inlineStr">
        <is>
          <t>Invalid call log/whatsapp for fail delivery</t>
        </is>
      </c>
      <c r="S348" s="14" t="inlineStr">
        <is>
          <t>Amir</t>
        </is>
      </c>
      <c r="T348" s="14">
        <f>COUNTIF($B$2:$B$499,B348)</f>
        <v/>
      </c>
      <c r="U348" s="14">
        <f>COUNTIF($I$2:$I$499,I348)</f>
        <v/>
      </c>
      <c r="V348" s="14">
        <f>IF(ISNA(MATCH(B348,'Metabase Lookup'!$A:$A,0)),"Not found",IF(INDEX('Metabase Lookup'!$B:$B,MATCH(B348,'Metabase Lookup'!$A:$A,0))="","Pending",INDEX('Metabase Lookup'!$B:$B,MATCH(B348,'Metabase Lookup'!$A:$A,0))))</f>
        <v/>
      </c>
      <c r="W348" s="14">
        <f>IF(ISNA(MATCH(B348,'Metabase Lookup'!$A:$A,0)),"Not found",IF(INDEX('Metabase Lookup'!$C:$C,MATCH(B348,'Metabase Lookup'!$A:$A,0))="","Pending",INDEX('Metabase Lookup'!$C:$C,MATCH(B348,'Metabase Lookup'!$A:$A,0))))</f>
        <v/>
      </c>
      <c r="X348" s="14">
        <f>IF(ISNA(MATCH(B348,'Metabase Lookup'!$A:$A,0)),"",IF(INDEX('Metabase Lookup'!$D:$D,MATCH(B348,'Metabase Lookup'!$A:$A,0))="","",INDEX('Metabase Lookup'!$D:$D,MATCH(B348,'Metabase Lookup'!$A:$A,0))))</f>
        <v/>
      </c>
      <c r="Y348" s="14">
        <f>IF(ISNUMBER(W348),IF(W348&gt;0,"Yes","No"),"Pending")</f>
        <v/>
      </c>
      <c r="Z348" s="14" t="inlineStr"/>
    </row>
    <row r="349">
      <c r="A349" s="14" t="n">
        <v>348</v>
      </c>
      <c r="B349" s="14" t="inlineStr">
        <is>
          <t>NVMYTEPIS000003841</t>
        </is>
      </c>
      <c r="C349" s="15" t="inlineStr">
        <is>
          <t>265462674986</t>
        </is>
      </c>
      <c r="D349" s="16" t="n">
        <v>46289.70193287037</v>
      </c>
      <c r="E349" s="17" t="n">
        <v>46289</v>
      </c>
      <c r="F349" s="14" t="inlineStr">
        <is>
          <t>Thu</t>
        </is>
      </c>
      <c r="G349" s="14" t="inlineStr">
        <is>
          <t>KV</t>
        </is>
      </c>
      <c r="H349" s="14" t="inlineStr">
        <is>
          <t>OUG</t>
        </is>
      </c>
      <c r="I349" s="14" t="inlineStr">
        <is>
          <t>OPS - OUG</t>
        </is>
      </c>
      <c r="J349" s="14" t="inlineStr">
        <is>
          <t>OPS (generic hub account)</t>
        </is>
      </c>
      <c r="K349" s="14" t="inlineStr">
        <is>
          <t>91877414</t>
        </is>
      </c>
      <c r="L349" s="14" t="n">
        <v>1</v>
      </c>
      <c r="M349" s="14" t="inlineStr">
        <is>
          <t>LM</t>
        </is>
      </c>
      <c r="N349" s="14" t="inlineStr">
        <is>
          <t>Fake Fail</t>
        </is>
      </c>
      <c r="O349" s="14" t="inlineStr">
        <is>
          <t>Invalid call log (unspecified)</t>
        </is>
      </c>
      <c r="P349" s="14" t="inlineStr">
        <is>
          <t>Yes</t>
        </is>
      </c>
      <c r="Q349" s="14" t="inlineStr">
        <is>
          <t>No</t>
        </is>
      </c>
      <c r="R349" s="14" t="inlineStr">
        <is>
          <t>Invalid call log and invalid photo of location</t>
        </is>
      </c>
      <c r="S349" s="14" t="inlineStr">
        <is>
          <t>Naveen</t>
        </is>
      </c>
      <c r="T349" s="14">
        <f>COUNTIF($B$2:$B$499,B349)</f>
        <v/>
      </c>
      <c r="U349" s="14">
        <f>COUNTIF($I$2:$I$499,I349)</f>
        <v/>
      </c>
      <c r="V349" s="14">
        <f>IF(ISNA(MATCH(B349,'Metabase Lookup'!$A:$A,0)),"Not found",IF(INDEX('Metabase Lookup'!$B:$B,MATCH(B349,'Metabase Lookup'!$A:$A,0))="","Pending",INDEX('Metabase Lookup'!$B:$B,MATCH(B349,'Metabase Lookup'!$A:$A,0))))</f>
        <v/>
      </c>
      <c r="W349" s="14">
        <f>IF(ISNA(MATCH(B349,'Metabase Lookup'!$A:$A,0)),"Not found",IF(INDEX('Metabase Lookup'!$C:$C,MATCH(B349,'Metabase Lookup'!$A:$A,0))="","Pending",INDEX('Metabase Lookup'!$C:$C,MATCH(B349,'Metabase Lookup'!$A:$A,0))))</f>
        <v/>
      </c>
      <c r="X349" s="14">
        <f>IF(ISNA(MATCH(B349,'Metabase Lookup'!$A:$A,0)),"",IF(INDEX('Metabase Lookup'!$D:$D,MATCH(B349,'Metabase Lookup'!$A:$A,0))="","",INDEX('Metabase Lookup'!$D:$D,MATCH(B349,'Metabase Lookup'!$A:$A,0))))</f>
        <v/>
      </c>
      <c r="Y349" s="14">
        <f>IF(ISNUMBER(W349),IF(W349&gt;0,"Yes","No"),"Pending")</f>
        <v/>
      </c>
      <c r="Z349" s="14" t="inlineStr">
        <is>
          <t>Driver not identified (OPS account)</t>
        </is>
      </c>
    </row>
    <row r="350">
      <c r="A350" s="14" t="n">
        <v>349</v>
      </c>
      <c r="B350" s="14" t="inlineStr">
        <is>
          <t>NVMYMVBLY050581976</t>
        </is>
      </c>
      <c r="C350" s="15" t="inlineStr">
        <is>
          <t>269612679036</t>
        </is>
      </c>
      <c r="D350" s="16" t="n">
        <v>46289.70428240741</v>
      </c>
      <c r="E350" s="17" t="n">
        <v>46289</v>
      </c>
      <c r="F350" s="14" t="inlineStr">
        <is>
          <t>Thu</t>
        </is>
      </c>
      <c r="G350" s="14" t="inlineStr">
        <is>
          <t>North West</t>
        </is>
      </c>
      <c r="H350" s="14" t="inlineStr">
        <is>
          <t>TPG</t>
        </is>
      </c>
      <c r="I350" s="14" t="inlineStr">
        <is>
          <t>TPG - ID - FARID WAHIDIN</t>
        </is>
      </c>
      <c r="J350" s="14" t="inlineStr">
        <is>
          <t>ID (named driver)</t>
        </is>
      </c>
      <c r="K350" s="14" t="inlineStr">
        <is>
          <t>91865576, 91874209</t>
        </is>
      </c>
      <c r="L350" s="14" t="n">
        <v>2</v>
      </c>
      <c r="M350" s="14" t="inlineStr">
        <is>
          <t>LM</t>
        </is>
      </c>
      <c r="N350" s="14" t="inlineStr">
        <is>
          <t>Fake Fail</t>
        </is>
      </c>
      <c r="O350" s="14" t="inlineStr">
        <is>
          <t>No call / call log missing</t>
        </is>
      </c>
      <c r="P350" s="14" t="inlineStr">
        <is>
          <t>No</t>
        </is>
      </c>
      <c r="Q350" s="14" t="inlineStr">
        <is>
          <t>No</t>
        </is>
      </c>
      <c r="R350" s="14" t="inlineStr">
        <is>
          <t>Call log did not show cust number and cust also claim no call was given.</t>
        </is>
      </c>
      <c r="S350" s="14" t="inlineStr">
        <is>
          <t>Syak</t>
        </is>
      </c>
      <c r="T350" s="14">
        <f>COUNTIF($B$2:$B$499,B350)</f>
        <v/>
      </c>
      <c r="U350" s="14">
        <f>COUNTIF($I$2:$I$499,I350)</f>
        <v/>
      </c>
      <c r="V350" s="14">
        <f>IF(ISNA(MATCH(B350,'Metabase Lookup'!$A:$A,0)),"Not found",IF(INDEX('Metabase Lookup'!$B:$B,MATCH(B350,'Metabase Lookup'!$A:$A,0))="","Pending",INDEX('Metabase Lookup'!$B:$B,MATCH(B350,'Metabase Lookup'!$A:$A,0))))</f>
        <v/>
      </c>
      <c r="W350" s="14">
        <f>IF(ISNA(MATCH(B350,'Metabase Lookup'!$A:$A,0)),"Not found",IF(INDEX('Metabase Lookup'!$C:$C,MATCH(B350,'Metabase Lookup'!$A:$A,0))="","Pending",INDEX('Metabase Lookup'!$C:$C,MATCH(B350,'Metabase Lookup'!$A:$A,0))))</f>
        <v/>
      </c>
      <c r="X350" s="14">
        <f>IF(ISNA(MATCH(B350,'Metabase Lookup'!$A:$A,0)),"",IF(INDEX('Metabase Lookup'!$D:$D,MATCH(B350,'Metabase Lookup'!$A:$A,0))="","",INDEX('Metabase Lookup'!$D:$D,MATCH(B350,'Metabase Lookup'!$A:$A,0))))</f>
        <v/>
      </c>
      <c r="Y350" s="14">
        <f>IF(ISNUMBER(W350),IF(W350&gt;0,"Yes","No"),"Pending")</f>
        <v/>
      </c>
      <c r="Z350" s="14" t="inlineStr">
        <is>
          <t>Multiple route IDs</t>
        </is>
      </c>
    </row>
    <row r="351">
      <c r="A351" s="14" t="n">
        <v>350</v>
      </c>
      <c r="B351" s="14" t="inlineStr">
        <is>
          <t>NVMYCRGMABP3888094</t>
        </is>
      </c>
      <c r="C351" s="15" t="inlineStr">
        <is>
          <t>267712671424</t>
        </is>
      </c>
      <c r="D351" s="16" t="n">
        <v>46289.70456018519</v>
      </c>
      <c r="E351" s="17" t="n">
        <v>46289</v>
      </c>
      <c r="F351" s="14" t="inlineStr">
        <is>
          <t>Thu</t>
        </is>
      </c>
      <c r="G351" s="14" t="inlineStr">
        <is>
          <t>Southern</t>
        </is>
      </c>
      <c r="H351" s="14" t="inlineStr">
        <is>
          <t>KEM</t>
        </is>
      </c>
      <c r="I351" s="14" t="inlineStr">
        <is>
          <t>OPS - KEM</t>
        </is>
      </c>
      <c r="J351" s="14" t="inlineStr">
        <is>
          <t>OPS (generic hub account)</t>
        </is>
      </c>
      <c r="K351" s="14" t="inlineStr">
        <is>
          <t>91865703</t>
        </is>
      </c>
      <c r="L351" s="14" t="n">
        <v>1</v>
      </c>
      <c r="M351" s="14" t="inlineStr">
        <is>
          <t>LM</t>
        </is>
      </c>
      <c r="N351" s="14" t="inlineStr">
        <is>
          <t>Fake Fail</t>
        </is>
      </c>
      <c r="O351" s="14" t="inlineStr">
        <is>
          <t>No call / call log missing</t>
        </is>
      </c>
      <c r="P351" s="14" t="inlineStr">
        <is>
          <t>No</t>
        </is>
      </c>
      <c r="Q351" s="14" t="inlineStr">
        <is>
          <t>No</t>
        </is>
      </c>
      <c r="R351" s="14" t="inlineStr">
        <is>
          <t>No call log provided</t>
        </is>
      </c>
      <c r="S351" s="14" t="inlineStr">
        <is>
          <t>Izzni</t>
        </is>
      </c>
      <c r="T351" s="14">
        <f>COUNTIF($B$2:$B$499,B351)</f>
        <v/>
      </c>
      <c r="U351" s="14">
        <f>COUNTIF($I$2:$I$499,I351)</f>
        <v/>
      </c>
      <c r="V351" s="14">
        <f>IF(ISNA(MATCH(B351,'Metabase Lookup'!$A:$A,0)),"Not found",IF(INDEX('Metabase Lookup'!$B:$B,MATCH(B351,'Metabase Lookup'!$A:$A,0))="","Pending",INDEX('Metabase Lookup'!$B:$B,MATCH(B351,'Metabase Lookup'!$A:$A,0))))</f>
        <v/>
      </c>
      <c r="W351" s="14">
        <f>IF(ISNA(MATCH(B351,'Metabase Lookup'!$A:$A,0)),"Not found",IF(INDEX('Metabase Lookup'!$C:$C,MATCH(B351,'Metabase Lookup'!$A:$A,0))="","Pending",INDEX('Metabase Lookup'!$C:$C,MATCH(B351,'Metabase Lookup'!$A:$A,0))))</f>
        <v/>
      </c>
      <c r="X351" s="14">
        <f>IF(ISNA(MATCH(B351,'Metabase Lookup'!$A:$A,0)),"",IF(INDEX('Metabase Lookup'!$D:$D,MATCH(B351,'Metabase Lookup'!$A:$A,0))="","",INDEX('Metabase Lookup'!$D:$D,MATCH(B351,'Metabase Lookup'!$A:$A,0))))</f>
        <v/>
      </c>
      <c r="Y351" s="14">
        <f>IF(ISNUMBER(W351),IF(W351&gt;0,"Yes","No"),"Pending")</f>
        <v/>
      </c>
      <c r="Z351" s="14" t="inlineStr">
        <is>
          <t>TID logged more than once; Driver not identified (OPS account)</t>
        </is>
      </c>
    </row>
    <row r="352">
      <c r="A352" s="14" t="n">
        <v>351</v>
      </c>
      <c r="B352" s="14" t="inlineStr">
        <is>
          <t>TRESA372646401</t>
        </is>
      </c>
      <c r="C352" s="15" t="inlineStr">
        <is>
          <t>264062673563</t>
        </is>
      </c>
      <c r="D352" s="16" t="n">
        <v>46289.70599537037</v>
      </c>
      <c r="E352" s="17" t="n">
        <v>46289</v>
      </c>
      <c r="F352" s="14" t="inlineStr">
        <is>
          <t>Thu</t>
        </is>
      </c>
      <c r="G352" s="14" t="inlineStr">
        <is>
          <t>East MY</t>
        </is>
      </c>
      <c r="H352" s="14" t="inlineStr">
        <is>
          <t>BTU</t>
        </is>
      </c>
      <c r="I352" s="14" t="inlineStr">
        <is>
          <t>OPS - NV Address BTU</t>
        </is>
      </c>
      <c r="J352" s="14" t="inlineStr">
        <is>
          <t>OPS (generic hub account)</t>
        </is>
      </c>
      <c r="K352" s="14" t="inlineStr">
        <is>
          <t>91876360</t>
        </is>
      </c>
      <c r="L352" s="14" t="n">
        <v>1</v>
      </c>
      <c r="M352" s="14" t="inlineStr">
        <is>
          <t>LM</t>
        </is>
      </c>
      <c r="N352" s="14" t="inlineStr">
        <is>
          <t>Fake Fail</t>
        </is>
      </c>
      <c r="O352" s="14" t="inlineStr">
        <is>
          <t>No call / call log missing</t>
        </is>
      </c>
      <c r="P352" s="14" t="inlineStr">
        <is>
          <t>No</t>
        </is>
      </c>
      <c r="Q352" s="14" t="inlineStr">
        <is>
          <t>Yes</t>
        </is>
      </c>
      <c r="R352" s="14" t="inlineStr">
        <is>
          <t>Ops fails delivery without Call to cust</t>
        </is>
      </c>
      <c r="S352" s="14" t="inlineStr">
        <is>
          <t>Syak</t>
        </is>
      </c>
      <c r="T352" s="14">
        <f>COUNTIF($B$2:$B$499,B352)</f>
        <v/>
      </c>
      <c r="U352" s="14">
        <f>COUNTIF($I$2:$I$499,I352)</f>
        <v/>
      </c>
      <c r="V352" s="14">
        <f>IF(ISNA(MATCH(B352,'Metabase Lookup'!$A:$A,0)),"Not found",IF(INDEX('Metabase Lookup'!$B:$B,MATCH(B352,'Metabase Lookup'!$A:$A,0))="","Pending",INDEX('Metabase Lookup'!$B:$B,MATCH(B352,'Metabase Lookup'!$A:$A,0))))</f>
        <v/>
      </c>
      <c r="W352" s="14">
        <f>IF(ISNA(MATCH(B352,'Metabase Lookup'!$A:$A,0)),"Not found",IF(INDEX('Metabase Lookup'!$C:$C,MATCH(B352,'Metabase Lookup'!$A:$A,0))="","Pending",INDEX('Metabase Lookup'!$C:$C,MATCH(B352,'Metabase Lookup'!$A:$A,0))))</f>
        <v/>
      </c>
      <c r="X352" s="14">
        <f>IF(ISNA(MATCH(B352,'Metabase Lookup'!$A:$A,0)),"",IF(INDEX('Metabase Lookup'!$D:$D,MATCH(B352,'Metabase Lookup'!$A:$A,0))="","",INDEX('Metabase Lookup'!$D:$D,MATCH(B352,'Metabase Lookup'!$A:$A,0))))</f>
        <v/>
      </c>
      <c r="Y352" s="14">
        <f>IF(ISNUMBER(W352),IF(W352&gt;0,"Yes","No"),"Pending")</f>
        <v/>
      </c>
      <c r="Z352" s="14" t="inlineStr">
        <is>
          <t>Driver not identified (OPS account)</t>
        </is>
      </c>
    </row>
    <row r="353">
      <c r="A353" s="14" t="n">
        <v>352</v>
      </c>
      <c r="B353" s="14" t="inlineStr">
        <is>
          <t>NVMYSILKN000018213</t>
        </is>
      </c>
      <c r="C353" s="15" t="inlineStr">
        <is>
          <t>266622677430</t>
        </is>
      </c>
      <c r="D353" s="16" t="n">
        <v>46289.71978009259</v>
      </c>
      <c r="E353" s="17" t="n">
        <v>46289</v>
      </c>
      <c r="F353" s="14" t="inlineStr">
        <is>
          <t>Thu</t>
        </is>
      </c>
      <c r="G353" s="14" t="inlineStr">
        <is>
          <t>Southern</t>
        </is>
      </c>
      <c r="H353" s="14" t="inlineStr">
        <is>
          <t>GLG</t>
        </is>
      </c>
      <c r="I353" s="14" t="inlineStr">
        <is>
          <t>GLG - OPS - ENGKU</t>
        </is>
      </c>
      <c r="J353" s="14" t="inlineStr">
        <is>
          <t>OPS (generic hub account)</t>
        </is>
      </c>
      <c r="K353" s="14" t="inlineStr">
        <is>
          <t>91886198</t>
        </is>
      </c>
      <c r="L353" s="14" t="n">
        <v>1</v>
      </c>
      <c r="M353" s="14" t="inlineStr">
        <is>
          <t>LM</t>
        </is>
      </c>
      <c r="N353" s="14" t="inlineStr">
        <is>
          <t>Fake Fail</t>
        </is>
      </c>
      <c r="O353" s="14" t="inlineStr">
        <is>
          <t>Invalid POD (no detail)</t>
        </is>
      </c>
      <c r="P353" s="14" t="inlineStr">
        <is>
          <t>No</t>
        </is>
      </c>
      <c r="Q353" s="14" t="inlineStr">
        <is>
          <t>Yes</t>
        </is>
      </c>
      <c r="R353" s="14" t="inlineStr">
        <is>
          <t>invalid POD, fail under ops</t>
        </is>
      </c>
      <c r="S353" s="14" t="inlineStr">
        <is>
          <t>Yana</t>
        </is>
      </c>
      <c r="T353" s="14">
        <f>COUNTIF($B$2:$B$499,B353)</f>
        <v/>
      </c>
      <c r="U353" s="14">
        <f>COUNTIF($I$2:$I$499,I353)</f>
        <v/>
      </c>
      <c r="V353" s="14">
        <f>IF(ISNA(MATCH(B353,'Metabase Lookup'!$A:$A,0)),"Not found",IF(INDEX('Metabase Lookup'!$B:$B,MATCH(B353,'Metabase Lookup'!$A:$A,0))="","Pending",INDEX('Metabase Lookup'!$B:$B,MATCH(B353,'Metabase Lookup'!$A:$A,0))))</f>
        <v/>
      </c>
      <c r="W353" s="14">
        <f>IF(ISNA(MATCH(B353,'Metabase Lookup'!$A:$A,0)),"Not found",IF(INDEX('Metabase Lookup'!$C:$C,MATCH(B353,'Metabase Lookup'!$A:$A,0))="","Pending",INDEX('Metabase Lookup'!$C:$C,MATCH(B353,'Metabase Lookup'!$A:$A,0))))</f>
        <v/>
      </c>
      <c r="X353" s="14">
        <f>IF(ISNA(MATCH(B353,'Metabase Lookup'!$A:$A,0)),"",IF(INDEX('Metabase Lookup'!$D:$D,MATCH(B353,'Metabase Lookup'!$A:$A,0))="","",INDEX('Metabase Lookup'!$D:$D,MATCH(B353,'Metabase Lookup'!$A:$A,0))))</f>
        <v/>
      </c>
      <c r="Y353" s="14">
        <f>IF(ISNUMBER(W353),IF(W353&gt;0,"Yes","No"),"Pending")</f>
        <v/>
      </c>
      <c r="Z353" s="14" t="inlineStr">
        <is>
          <t>Driver not identified (OPS account)</t>
        </is>
      </c>
    </row>
    <row r="354">
      <c r="A354" s="14" t="n">
        <v>353</v>
      </c>
      <c r="B354" s="14" t="inlineStr">
        <is>
          <t>MYNJV70043925628</t>
        </is>
      </c>
      <c r="C354" s="15" t="inlineStr">
        <is>
          <t>265922678544</t>
        </is>
      </c>
      <c r="D354" s="16" t="n">
        <v>46289.72432870371</v>
      </c>
      <c r="E354" s="17" t="n">
        <v>46289</v>
      </c>
      <c r="F354" s="14" t="inlineStr">
        <is>
          <t>Thu</t>
        </is>
      </c>
      <c r="G354" s="14" t="inlineStr">
        <is>
          <t>Southern</t>
        </is>
      </c>
      <c r="H354" s="14" t="inlineStr">
        <is>
          <t>LKN</t>
        </is>
      </c>
      <c r="I354" s="14" t="inlineStr">
        <is>
          <t>SWG - HD - NUH | LKN - ID - TASYAH</t>
        </is>
      </c>
      <c r="J354" s="14" t="inlineStr">
        <is>
          <t>Multiple drivers</t>
        </is>
      </c>
      <c r="K354" s="14" t="inlineStr">
        <is>
          <t>91844823, 91858116</t>
        </is>
      </c>
      <c r="L354" s="14" t="n">
        <v>2</v>
      </c>
      <c r="M354" s="14" t="inlineStr">
        <is>
          <t>LM</t>
        </is>
      </c>
      <c r="N354" s="14" t="inlineStr">
        <is>
          <t>Fake Fail</t>
        </is>
      </c>
      <c r="O354" s="14" t="inlineStr">
        <is>
          <t>Invalid location / site photo</t>
        </is>
      </c>
      <c r="P354" s="14" t="inlineStr">
        <is>
          <t>Yes</t>
        </is>
      </c>
      <c r="Q354" s="14" t="inlineStr">
        <is>
          <t>No</t>
        </is>
      </c>
      <c r="R354" s="14" t="inlineStr">
        <is>
          <t>Driver attach POD location not clear and showing cust location. Cust also complaint not rcvd any call</t>
        </is>
      </c>
      <c r="S354" s="14" t="inlineStr">
        <is>
          <t>Syak</t>
        </is>
      </c>
      <c r="T354" s="14">
        <f>COUNTIF($B$2:$B$499,B354)</f>
        <v/>
      </c>
      <c r="U354" s="14">
        <f>COUNTIF($I$2:$I$499,I354)</f>
        <v/>
      </c>
      <c r="V354" s="14">
        <f>IF(ISNA(MATCH(B354,'Metabase Lookup'!$A:$A,0)),"Not found",IF(INDEX('Metabase Lookup'!$B:$B,MATCH(B354,'Metabase Lookup'!$A:$A,0))="","Pending",INDEX('Metabase Lookup'!$B:$B,MATCH(B354,'Metabase Lookup'!$A:$A,0))))</f>
        <v/>
      </c>
      <c r="W354" s="14">
        <f>IF(ISNA(MATCH(B354,'Metabase Lookup'!$A:$A,0)),"Not found",IF(INDEX('Metabase Lookup'!$C:$C,MATCH(B354,'Metabase Lookup'!$A:$A,0))="","Pending",INDEX('Metabase Lookup'!$C:$C,MATCH(B354,'Metabase Lookup'!$A:$A,0))))</f>
        <v/>
      </c>
      <c r="X354" s="14">
        <f>IF(ISNA(MATCH(B354,'Metabase Lookup'!$A:$A,0)),"",IF(INDEX('Metabase Lookup'!$D:$D,MATCH(B354,'Metabase Lookup'!$A:$A,0))="","",INDEX('Metabase Lookup'!$D:$D,MATCH(B354,'Metabase Lookup'!$A:$A,0))))</f>
        <v/>
      </c>
      <c r="Y354" s="14">
        <f>IF(ISNUMBER(W354),IF(W354&gt;0,"Yes","No"),"Pending")</f>
        <v/>
      </c>
      <c r="Z354" s="14" t="inlineStr">
        <is>
          <t>Multiple drivers in one row; Multiple route IDs</t>
        </is>
      </c>
    </row>
    <row r="355">
      <c r="A355" s="14" t="n">
        <v>354</v>
      </c>
      <c r="B355" s="14" t="inlineStr">
        <is>
          <t>SYI1551535855957438464</t>
        </is>
      </c>
      <c r="C355" s="15" t="inlineStr">
        <is>
          <t>265492679385</t>
        </is>
      </c>
      <c r="D355" s="16" t="n">
        <v>46289.73016203703</v>
      </c>
      <c r="E355" s="17" t="n">
        <v>46289</v>
      </c>
      <c r="F355" s="14" t="inlineStr">
        <is>
          <t>Thu</t>
        </is>
      </c>
      <c r="G355" s="14" t="inlineStr">
        <is>
          <t>KV</t>
        </is>
      </c>
      <c r="H355" s="14" t="inlineStr">
        <is>
          <t>BTR</t>
        </is>
      </c>
      <c r="I355" s="14" t="inlineStr">
        <is>
          <t>BTR - ID - KHAIRAN</t>
        </is>
      </c>
      <c r="J355" s="14" t="inlineStr">
        <is>
          <t>ID (named driver)</t>
        </is>
      </c>
      <c r="K355" s="14" t="inlineStr">
        <is>
          <t>91872289</t>
        </is>
      </c>
      <c r="L355" s="14" t="n">
        <v>1</v>
      </c>
      <c r="M355" s="14" t="inlineStr">
        <is>
          <t>LM</t>
        </is>
      </c>
      <c r="N355" s="14" t="inlineStr">
        <is>
          <t>Fake Fail</t>
        </is>
      </c>
      <c r="O355" s="14" t="inlineStr">
        <is>
          <t>No call / call log missing</t>
        </is>
      </c>
      <c r="P355" s="14" t="inlineStr">
        <is>
          <t>No</t>
        </is>
      </c>
      <c r="Q355" s="14" t="inlineStr">
        <is>
          <t>No</t>
        </is>
      </c>
      <c r="R355" s="14" t="inlineStr">
        <is>
          <t>POD was invalid as no call and text given to the customer</t>
        </is>
      </c>
      <c r="S355" s="14" t="inlineStr">
        <is>
          <t>Syak</t>
        </is>
      </c>
      <c r="T355" s="14">
        <f>COUNTIF($B$2:$B$499,B355)</f>
        <v/>
      </c>
      <c r="U355" s="14">
        <f>COUNTIF($I$2:$I$499,I355)</f>
        <v/>
      </c>
      <c r="V355" s="14">
        <f>IF(ISNA(MATCH(B355,'Metabase Lookup'!$A:$A,0)),"Not found",IF(INDEX('Metabase Lookup'!$B:$B,MATCH(B355,'Metabase Lookup'!$A:$A,0))="","Pending",INDEX('Metabase Lookup'!$B:$B,MATCH(B355,'Metabase Lookup'!$A:$A,0))))</f>
        <v/>
      </c>
      <c r="W355" s="14">
        <f>IF(ISNA(MATCH(B355,'Metabase Lookup'!$A:$A,0)),"Not found",IF(INDEX('Metabase Lookup'!$C:$C,MATCH(B355,'Metabase Lookup'!$A:$A,0))="","Pending",INDEX('Metabase Lookup'!$C:$C,MATCH(B355,'Metabase Lookup'!$A:$A,0))))</f>
        <v/>
      </c>
      <c r="X355" s="14">
        <f>IF(ISNA(MATCH(B355,'Metabase Lookup'!$A:$A,0)),"",IF(INDEX('Metabase Lookup'!$D:$D,MATCH(B355,'Metabase Lookup'!$A:$A,0))="","",INDEX('Metabase Lookup'!$D:$D,MATCH(B355,'Metabase Lookup'!$A:$A,0))))</f>
        <v/>
      </c>
      <c r="Y355" s="14">
        <f>IF(ISNUMBER(W355),IF(W355&gt;0,"Yes","No"),"Pending")</f>
        <v/>
      </c>
      <c r="Z355" s="14" t="inlineStr"/>
    </row>
    <row r="356">
      <c r="A356" s="14" t="n">
        <v>355</v>
      </c>
      <c r="B356" s="14" t="inlineStr">
        <is>
          <t>TNGEO202609041001249005</t>
        </is>
      </c>
      <c r="C356" s="15" t="inlineStr">
        <is>
          <t>263532673765</t>
        </is>
      </c>
      <c r="D356" s="16" t="n">
        <v>46289.73178240741</v>
      </c>
      <c r="E356" s="17" t="n">
        <v>46289</v>
      </c>
      <c r="F356" s="14" t="inlineStr">
        <is>
          <t>Thu</t>
        </is>
      </c>
      <c r="G356" s="14" t="inlineStr">
        <is>
          <t>East MY</t>
        </is>
      </c>
      <c r="H356" s="14" t="inlineStr">
        <is>
          <t>LBN</t>
        </is>
      </c>
      <c r="I356" s="14" t="inlineStr">
        <is>
          <t>LBN - ID - AMIR</t>
        </is>
      </c>
      <c r="J356" s="14" t="inlineStr">
        <is>
          <t>ID (named driver)</t>
        </is>
      </c>
      <c r="K356" s="14" t="inlineStr">
        <is>
          <t>91874508</t>
        </is>
      </c>
      <c r="L356" s="14" t="n">
        <v>1</v>
      </c>
      <c r="M356" s="14" t="inlineStr">
        <is>
          <t>LM</t>
        </is>
      </c>
      <c r="N356" s="14" t="inlineStr">
        <is>
          <t>Deliver to Wrong Address</t>
        </is>
      </c>
      <c r="O356" s="14" t="inlineStr"/>
      <c r="P356" s="14" t="inlineStr"/>
      <c r="Q356" s="14" t="inlineStr"/>
      <c r="R356" s="14" t="inlineStr">
        <is>
          <t>the driver delivered the parcel to wrong address instead of customers address</t>
        </is>
      </c>
      <c r="S356" s="14" t="inlineStr">
        <is>
          <t>Naveen</t>
        </is>
      </c>
      <c r="T356" s="14">
        <f>COUNTIF($B$2:$B$499,B356)</f>
        <v/>
      </c>
      <c r="U356" s="14">
        <f>COUNTIF($I$2:$I$499,I356)</f>
        <v/>
      </c>
      <c r="V356" s="14">
        <f>IF(ISNA(MATCH(B356,'Metabase Lookup'!$A:$A,0)),"Not found",IF(INDEX('Metabase Lookup'!$B:$B,MATCH(B356,'Metabase Lookup'!$A:$A,0))="","Pending",INDEX('Metabase Lookup'!$B:$B,MATCH(B356,'Metabase Lookup'!$A:$A,0))))</f>
        <v/>
      </c>
      <c r="W356" s="14">
        <f>IF(ISNA(MATCH(B356,'Metabase Lookup'!$A:$A,0)),"Not found",IF(INDEX('Metabase Lookup'!$C:$C,MATCH(B356,'Metabase Lookup'!$A:$A,0))="","Pending",INDEX('Metabase Lookup'!$C:$C,MATCH(B356,'Metabase Lookup'!$A:$A,0))))</f>
        <v/>
      </c>
      <c r="X356" s="14">
        <f>IF(ISNA(MATCH(B356,'Metabase Lookup'!$A:$A,0)),"",IF(INDEX('Metabase Lookup'!$D:$D,MATCH(B356,'Metabase Lookup'!$A:$A,0))="","",INDEX('Metabase Lookup'!$D:$D,MATCH(B356,'Metabase Lookup'!$A:$A,0))))</f>
        <v/>
      </c>
      <c r="Y356" s="14">
        <f>IF(ISNUMBER(W356),IF(W356&gt;0,"Yes","No"),"Pending")</f>
        <v/>
      </c>
      <c r="Z356" s="14" t="inlineStr"/>
    </row>
    <row r="357">
      <c r="A357" s="14" t="n">
        <v>356</v>
      </c>
      <c r="B357" s="14" t="inlineStr">
        <is>
          <t>NVMYAJUNA093311976</t>
        </is>
      </c>
      <c r="C357" s="15" t="inlineStr">
        <is>
          <t>264852675646</t>
        </is>
      </c>
      <c r="D357" s="16" t="n">
        <v>46289.73877314815</v>
      </c>
      <c r="E357" s="17" t="n">
        <v>46289</v>
      </c>
      <c r="F357" s="14" t="inlineStr">
        <is>
          <t>Thu</t>
        </is>
      </c>
      <c r="G357" s="14" t="inlineStr">
        <is>
          <t>Southern</t>
        </is>
      </c>
      <c r="H357" s="14" t="inlineStr">
        <is>
          <t>BPT</t>
        </is>
      </c>
      <c r="I357" s="14" t="inlineStr">
        <is>
          <t>OPS - BPT</t>
        </is>
      </c>
      <c r="J357" s="14" t="inlineStr">
        <is>
          <t>OPS (generic hub account)</t>
        </is>
      </c>
      <c r="K357" s="14" t="inlineStr">
        <is>
          <t>91874233</t>
        </is>
      </c>
      <c r="L357" s="14" t="n">
        <v>1</v>
      </c>
      <c r="M357" s="14" t="inlineStr">
        <is>
          <t>LM</t>
        </is>
      </c>
      <c r="N357" s="14" t="inlineStr">
        <is>
          <t>Fake Fail</t>
        </is>
      </c>
      <c r="O357" s="14" t="inlineStr">
        <is>
          <t>No call / call log missing</t>
        </is>
      </c>
      <c r="P357" s="14" t="inlineStr">
        <is>
          <t>No</t>
        </is>
      </c>
      <c r="Q357" s="14" t="inlineStr">
        <is>
          <t>No</t>
        </is>
      </c>
      <c r="R357" s="14" t="inlineStr">
        <is>
          <t>There is no call connected attached</t>
        </is>
      </c>
      <c r="S357" s="14" t="inlineStr">
        <is>
          <t>Syak</t>
        </is>
      </c>
      <c r="T357" s="14">
        <f>COUNTIF($B$2:$B$499,B357)</f>
        <v/>
      </c>
      <c r="U357" s="14">
        <f>COUNTIF($I$2:$I$499,I357)</f>
        <v/>
      </c>
      <c r="V357" s="14">
        <f>IF(ISNA(MATCH(B357,'Metabase Lookup'!$A:$A,0)),"Not found",IF(INDEX('Metabase Lookup'!$B:$B,MATCH(B357,'Metabase Lookup'!$A:$A,0))="","Pending",INDEX('Metabase Lookup'!$B:$B,MATCH(B357,'Metabase Lookup'!$A:$A,0))))</f>
        <v/>
      </c>
      <c r="W357" s="14">
        <f>IF(ISNA(MATCH(B357,'Metabase Lookup'!$A:$A,0)),"Not found",IF(INDEX('Metabase Lookup'!$C:$C,MATCH(B357,'Metabase Lookup'!$A:$A,0))="","Pending",INDEX('Metabase Lookup'!$C:$C,MATCH(B357,'Metabase Lookup'!$A:$A,0))))</f>
        <v/>
      </c>
      <c r="X357" s="14">
        <f>IF(ISNA(MATCH(B357,'Metabase Lookup'!$A:$A,0)),"",IF(INDEX('Metabase Lookup'!$D:$D,MATCH(B357,'Metabase Lookup'!$A:$A,0))="","",INDEX('Metabase Lookup'!$D:$D,MATCH(B357,'Metabase Lookup'!$A:$A,0))))</f>
        <v/>
      </c>
      <c r="Y357" s="14">
        <f>IF(ISNUMBER(W357),IF(W357&gt;0,"Yes","No"),"Pending")</f>
        <v/>
      </c>
      <c r="Z357" s="14" t="inlineStr">
        <is>
          <t>Driver not identified (OPS account)</t>
        </is>
      </c>
    </row>
    <row r="358">
      <c r="A358" s="14" t="n">
        <v>357</v>
      </c>
      <c r="B358" s="14" t="inlineStr">
        <is>
          <t>NVMYHNIKJ0316706CC</t>
        </is>
      </c>
      <c r="C358" s="15" t="inlineStr">
        <is>
          <t>267662678791</t>
        </is>
      </c>
      <c r="D358" s="16" t="n">
        <v>46289.75097222222</v>
      </c>
      <c r="E358" s="17" t="n">
        <v>46289</v>
      </c>
      <c r="F358" s="14" t="inlineStr">
        <is>
          <t>Thu</t>
        </is>
      </c>
      <c r="G358" s="14" t="inlineStr">
        <is>
          <t>Northern</t>
        </is>
      </c>
      <c r="H358" s="14" t="inlineStr">
        <is>
          <t>GEO</t>
        </is>
      </c>
      <c r="I358" s="14" t="inlineStr">
        <is>
          <t>GEO - OPS - PULAU TIKUS</t>
        </is>
      </c>
      <c r="J358" s="14" t="inlineStr">
        <is>
          <t>OPS (generic hub account)</t>
        </is>
      </c>
      <c r="K358" s="14" t="inlineStr">
        <is>
          <t>91877435</t>
        </is>
      </c>
      <c r="L358" s="14" t="n">
        <v>1</v>
      </c>
      <c r="M358" s="14" t="inlineStr">
        <is>
          <t>LM</t>
        </is>
      </c>
      <c r="N358" s="14" t="inlineStr">
        <is>
          <t>Fake Fail</t>
        </is>
      </c>
      <c r="O358" s="14" t="inlineStr">
        <is>
          <t>Invalid call log (unspecified)</t>
        </is>
      </c>
      <c r="P358" s="14" t="inlineStr">
        <is>
          <t>Yes</t>
        </is>
      </c>
      <c r="Q358" s="14" t="inlineStr">
        <is>
          <t>No</t>
        </is>
      </c>
      <c r="R358" s="14" t="inlineStr">
        <is>
          <t>invalid call log and no photo of location provided</t>
        </is>
      </c>
      <c r="S358" s="14" t="inlineStr">
        <is>
          <t>Naveen</t>
        </is>
      </c>
      <c r="T358" s="14">
        <f>COUNTIF($B$2:$B$499,B358)</f>
        <v/>
      </c>
      <c r="U358" s="14">
        <f>COUNTIF($I$2:$I$499,I358)</f>
        <v/>
      </c>
      <c r="V358" s="14">
        <f>IF(ISNA(MATCH(B358,'Metabase Lookup'!$A:$A,0)),"Not found",IF(INDEX('Metabase Lookup'!$B:$B,MATCH(B358,'Metabase Lookup'!$A:$A,0))="","Pending",INDEX('Metabase Lookup'!$B:$B,MATCH(B358,'Metabase Lookup'!$A:$A,0))))</f>
        <v/>
      </c>
      <c r="W358" s="14">
        <f>IF(ISNA(MATCH(B358,'Metabase Lookup'!$A:$A,0)),"Not found",IF(INDEX('Metabase Lookup'!$C:$C,MATCH(B358,'Metabase Lookup'!$A:$A,0))="","Pending",INDEX('Metabase Lookup'!$C:$C,MATCH(B358,'Metabase Lookup'!$A:$A,0))))</f>
        <v/>
      </c>
      <c r="X358" s="14">
        <f>IF(ISNA(MATCH(B358,'Metabase Lookup'!$A:$A,0)),"",IF(INDEX('Metabase Lookup'!$D:$D,MATCH(B358,'Metabase Lookup'!$A:$A,0))="","",INDEX('Metabase Lookup'!$D:$D,MATCH(B358,'Metabase Lookup'!$A:$A,0))))</f>
        <v/>
      </c>
      <c r="Y358" s="14">
        <f>IF(ISNUMBER(W358),IF(W358&gt;0,"Yes","No"),"Pending")</f>
        <v/>
      </c>
      <c r="Z358" s="14" t="inlineStr">
        <is>
          <t>Driver not identified (OPS account)</t>
        </is>
      </c>
    </row>
    <row r="359">
      <c r="A359" s="14" t="n">
        <v>358</v>
      </c>
      <c r="B359" s="14" t="inlineStr">
        <is>
          <t>NVMYAR11V000137129</t>
        </is>
      </c>
      <c r="C359" s="15" t="inlineStr">
        <is>
          <t>269582678927</t>
        </is>
      </c>
      <c r="D359" s="16" t="n">
        <v>46289.751875</v>
      </c>
      <c r="E359" s="17" t="n">
        <v>46289</v>
      </c>
      <c r="F359" s="14" t="inlineStr">
        <is>
          <t>Thu</t>
        </is>
      </c>
      <c r="G359" s="14" t="inlineStr">
        <is>
          <t>Southern</t>
        </is>
      </c>
      <c r="H359" s="14" t="inlineStr">
        <is>
          <t>AUS</t>
        </is>
      </c>
      <c r="I359" s="14" t="inlineStr">
        <is>
          <t>OPSAUS</t>
        </is>
      </c>
      <c r="J359" s="14" t="inlineStr">
        <is>
          <t>OPS (generic hub account)</t>
        </is>
      </c>
      <c r="K359" s="14" t="inlineStr">
        <is>
          <t>91860988</t>
        </is>
      </c>
      <c r="L359" s="14" t="n">
        <v>1</v>
      </c>
      <c r="M359" s="14" t="inlineStr">
        <is>
          <t>LM</t>
        </is>
      </c>
      <c r="N359" s="14" t="inlineStr">
        <is>
          <t>CMI (Can't Make It)</t>
        </is>
      </c>
      <c r="O359" s="14" t="inlineStr"/>
      <c r="P359" s="14" t="inlineStr"/>
      <c r="Q359" s="14" t="inlineStr"/>
      <c r="R359" s="14" t="inlineStr">
        <is>
          <t>Forced failure issue.</t>
        </is>
      </c>
      <c r="S359" s="14" t="inlineStr">
        <is>
          <t>Syak</t>
        </is>
      </c>
      <c r="T359" s="14">
        <f>COUNTIF($B$2:$B$499,B359)</f>
        <v/>
      </c>
      <c r="U359" s="14">
        <f>COUNTIF($I$2:$I$499,I359)</f>
        <v/>
      </c>
      <c r="V359" s="14">
        <f>IF(ISNA(MATCH(B359,'Metabase Lookup'!$A:$A,0)),"Not found",IF(INDEX('Metabase Lookup'!$B:$B,MATCH(B359,'Metabase Lookup'!$A:$A,0))="","Pending",INDEX('Metabase Lookup'!$B:$B,MATCH(B359,'Metabase Lookup'!$A:$A,0))))</f>
        <v/>
      </c>
      <c r="W359" s="14">
        <f>IF(ISNA(MATCH(B359,'Metabase Lookup'!$A:$A,0)),"Not found",IF(INDEX('Metabase Lookup'!$C:$C,MATCH(B359,'Metabase Lookup'!$A:$A,0))="","Pending",INDEX('Metabase Lookup'!$C:$C,MATCH(B359,'Metabase Lookup'!$A:$A,0))))</f>
        <v/>
      </c>
      <c r="X359" s="14">
        <f>IF(ISNA(MATCH(B359,'Metabase Lookup'!$A:$A,0)),"",IF(INDEX('Metabase Lookup'!$D:$D,MATCH(B359,'Metabase Lookup'!$A:$A,0))="","",INDEX('Metabase Lookup'!$D:$D,MATCH(B359,'Metabase Lookup'!$A:$A,0))))</f>
        <v/>
      </c>
      <c r="Y359" s="14">
        <f>IF(ISNUMBER(W359),IF(W359&gt;0,"Yes","No"),"Pending")</f>
        <v/>
      </c>
      <c r="Z359" s="14" t="inlineStr">
        <is>
          <t>Driver not identified (OPS account)</t>
        </is>
      </c>
    </row>
    <row r="360">
      <c r="A360" s="14" t="n">
        <v>359</v>
      </c>
      <c r="B360" s="14" t="inlineStr">
        <is>
          <t>AEMYA000633717</t>
        </is>
      </c>
      <c r="C360" s="15" t="inlineStr">
        <is>
          <t>264622672048</t>
        </is>
      </c>
      <c r="D360" s="16" t="n">
        <v>46290.3359837963</v>
      </c>
      <c r="E360" s="17" t="n">
        <v>46290</v>
      </c>
      <c r="F360" s="14" t="inlineStr">
        <is>
          <t>Fri</t>
        </is>
      </c>
      <c r="G360" s="14" t="inlineStr">
        <is>
          <t>Southern</t>
        </is>
      </c>
      <c r="H360" s="14" t="inlineStr">
        <is>
          <t>GLG</t>
        </is>
      </c>
      <c r="I360" s="14" t="inlineStr">
        <is>
          <t>GLG - OPS - ENGKU</t>
        </is>
      </c>
      <c r="J360" s="14" t="inlineStr">
        <is>
          <t>OPS (generic hub account)</t>
        </is>
      </c>
      <c r="K360" s="14" t="inlineStr">
        <is>
          <t>91886198</t>
        </is>
      </c>
      <c r="L360" s="14" t="n">
        <v>1</v>
      </c>
      <c r="M360" s="14" t="inlineStr">
        <is>
          <t>LM</t>
        </is>
      </c>
      <c r="N360" s="14" t="inlineStr">
        <is>
          <t>Fake Fail</t>
        </is>
      </c>
      <c r="O360" s="14" t="inlineStr">
        <is>
          <t>Customer disputes attempt</t>
        </is>
      </c>
      <c r="P360" s="14" t="inlineStr">
        <is>
          <t>No</t>
        </is>
      </c>
      <c r="Q360" s="14" t="inlineStr">
        <is>
          <t>No</t>
        </is>
      </c>
      <c r="R360" s="14" t="inlineStr">
        <is>
          <t>Customer not received call</t>
        </is>
      </c>
      <c r="S360" s="14" t="inlineStr">
        <is>
          <t>Syafiq</t>
        </is>
      </c>
      <c r="T360" s="14">
        <f>COUNTIF($B$2:$B$499,B360)</f>
        <v/>
      </c>
      <c r="U360" s="14">
        <f>COUNTIF($I$2:$I$499,I360)</f>
        <v/>
      </c>
      <c r="V360" s="14">
        <f>IF(ISNA(MATCH(B360,'Metabase Lookup'!$A:$A,0)),"Not found",IF(INDEX('Metabase Lookup'!$B:$B,MATCH(B360,'Metabase Lookup'!$A:$A,0))="","Pending",INDEX('Metabase Lookup'!$B:$B,MATCH(B360,'Metabase Lookup'!$A:$A,0))))</f>
        <v/>
      </c>
      <c r="W360" s="14">
        <f>IF(ISNA(MATCH(B360,'Metabase Lookup'!$A:$A,0)),"Not found",IF(INDEX('Metabase Lookup'!$C:$C,MATCH(B360,'Metabase Lookup'!$A:$A,0))="","Pending",INDEX('Metabase Lookup'!$C:$C,MATCH(B360,'Metabase Lookup'!$A:$A,0))))</f>
        <v/>
      </c>
      <c r="X360" s="14">
        <f>IF(ISNA(MATCH(B360,'Metabase Lookup'!$A:$A,0)),"",IF(INDEX('Metabase Lookup'!$D:$D,MATCH(B360,'Metabase Lookup'!$A:$A,0))="","",INDEX('Metabase Lookup'!$D:$D,MATCH(B360,'Metabase Lookup'!$A:$A,0))))</f>
        <v/>
      </c>
      <c r="Y360" s="14">
        <f>IF(ISNUMBER(W360),IF(W360&gt;0,"Yes","No"),"Pending")</f>
        <v/>
      </c>
      <c r="Z360" s="14" t="inlineStr">
        <is>
          <t>TID had stray spaces/line breaks (cleaned); Driver not identified (OPS account)</t>
        </is>
      </c>
    </row>
    <row r="361">
      <c r="A361" s="14" t="n">
        <v>360</v>
      </c>
      <c r="B361" s="14" t="inlineStr">
        <is>
          <t>ZMP212761945-9199</t>
        </is>
      </c>
      <c r="C361" s="15" t="inlineStr">
        <is>
          <t>263592671774</t>
        </is>
      </c>
      <c r="D361" s="16" t="n">
        <v>46290.3431712963</v>
      </c>
      <c r="E361" s="17" t="n">
        <v>46290</v>
      </c>
      <c r="F361" s="14" t="inlineStr">
        <is>
          <t>Fri</t>
        </is>
      </c>
      <c r="G361" s="14" t="inlineStr">
        <is>
          <t>Southern</t>
        </is>
      </c>
      <c r="H361" s="14" t="inlineStr">
        <is>
          <t>LKN</t>
        </is>
      </c>
      <c r="I361" s="14" t="inlineStr">
        <is>
          <t>LKN - ID - HAMIZAN</t>
        </is>
      </c>
      <c r="J361" s="14" t="inlineStr">
        <is>
          <t>ID (named driver)</t>
        </is>
      </c>
      <c r="K361" s="14" t="inlineStr">
        <is>
          <t>91877279</t>
        </is>
      </c>
      <c r="L361" s="14" t="n">
        <v>1</v>
      </c>
      <c r="M361" s="14" t="inlineStr">
        <is>
          <t>LM</t>
        </is>
      </c>
      <c r="N361" s="14" t="inlineStr">
        <is>
          <t>Fake Fail</t>
        </is>
      </c>
      <c r="O361" s="14" t="inlineStr">
        <is>
          <t>Call not connected / no response</t>
        </is>
      </c>
      <c r="P361" s="14" t="inlineStr">
        <is>
          <t>Yes</t>
        </is>
      </c>
      <c r="Q361" s="14" t="inlineStr">
        <is>
          <t>No</t>
        </is>
      </c>
      <c r="R361" s="14" t="inlineStr">
        <is>
          <t>The call log is not connected and Whatsapp no response. Picture of location also is not provided.</t>
        </is>
      </c>
      <c r="S361" s="14" t="inlineStr">
        <is>
          <t>Izzni</t>
        </is>
      </c>
      <c r="T361" s="14">
        <f>COUNTIF($B$2:$B$499,B361)</f>
        <v/>
      </c>
      <c r="U361" s="14">
        <f>COUNTIF($I$2:$I$499,I361)</f>
        <v/>
      </c>
      <c r="V361" s="14">
        <f>IF(ISNA(MATCH(B361,'Metabase Lookup'!$A:$A,0)),"Not found",IF(INDEX('Metabase Lookup'!$B:$B,MATCH(B361,'Metabase Lookup'!$A:$A,0))="","Pending",INDEX('Metabase Lookup'!$B:$B,MATCH(B361,'Metabase Lookup'!$A:$A,0))))</f>
        <v/>
      </c>
      <c r="W361" s="14">
        <f>IF(ISNA(MATCH(B361,'Metabase Lookup'!$A:$A,0)),"Not found",IF(INDEX('Metabase Lookup'!$C:$C,MATCH(B361,'Metabase Lookup'!$A:$A,0))="","Pending",INDEX('Metabase Lookup'!$C:$C,MATCH(B361,'Metabase Lookup'!$A:$A,0))))</f>
        <v/>
      </c>
      <c r="X361" s="14">
        <f>IF(ISNA(MATCH(B361,'Metabase Lookup'!$A:$A,0)),"",IF(INDEX('Metabase Lookup'!$D:$D,MATCH(B361,'Metabase Lookup'!$A:$A,0))="","",INDEX('Metabase Lookup'!$D:$D,MATCH(B361,'Metabase Lookup'!$A:$A,0))))</f>
        <v/>
      </c>
      <c r="Y361" s="14">
        <f>IF(ISNUMBER(W361),IF(W361&gt;0,"Yes","No"),"Pending")</f>
        <v/>
      </c>
      <c r="Z361" s="14" t="inlineStr"/>
    </row>
    <row r="362">
      <c r="A362" s="14" t="n">
        <v>361</v>
      </c>
      <c r="B362" s="14" t="inlineStr">
        <is>
          <t>MYNJV70005976008</t>
        </is>
      </c>
      <c r="C362" s="15" t="inlineStr">
        <is>
          <t>263402678738</t>
        </is>
      </c>
      <c r="D362" s="16" t="n">
        <v>46290.34685185185</v>
      </c>
      <c r="E362" s="17" t="n">
        <v>46290</v>
      </c>
      <c r="F362" s="14" t="inlineStr">
        <is>
          <t>Fri</t>
        </is>
      </c>
      <c r="G362" s="14" t="inlineStr">
        <is>
          <t>KV</t>
        </is>
      </c>
      <c r="H362" s="14" t="inlineStr">
        <is>
          <t>BMC</t>
        </is>
      </c>
      <c r="I362" s="14" t="inlineStr">
        <is>
          <t>OPS - BMC</t>
        </is>
      </c>
      <c r="J362" s="14" t="inlineStr">
        <is>
          <t>OPS (generic hub account)</t>
        </is>
      </c>
      <c r="K362" s="14" t="inlineStr">
        <is>
          <t>91885953</t>
        </is>
      </c>
      <c r="L362" s="14" t="n">
        <v>1</v>
      </c>
      <c r="M362" s="14" t="inlineStr">
        <is>
          <t>LM</t>
        </is>
      </c>
      <c r="N362" s="14" t="inlineStr">
        <is>
          <t>Fake Fail</t>
        </is>
      </c>
      <c r="O362" s="14" t="inlineStr">
        <is>
          <t>No call / call log missing</t>
        </is>
      </c>
      <c r="P362" s="14" t="inlineStr">
        <is>
          <t>No</t>
        </is>
      </c>
      <c r="Q362" s="14" t="inlineStr">
        <is>
          <t>No</t>
        </is>
      </c>
      <c r="R362" s="14" t="inlineStr">
        <is>
          <t>No call from driver</t>
        </is>
      </c>
      <c r="S362" s="14" t="inlineStr">
        <is>
          <t>Syafiq</t>
        </is>
      </c>
      <c r="T362" s="14">
        <f>COUNTIF($B$2:$B$499,B362)</f>
        <v/>
      </c>
      <c r="U362" s="14">
        <f>COUNTIF($I$2:$I$499,I362)</f>
        <v/>
      </c>
      <c r="V362" s="14">
        <f>IF(ISNA(MATCH(B362,'Metabase Lookup'!$A:$A,0)),"Not found",IF(INDEX('Metabase Lookup'!$B:$B,MATCH(B362,'Metabase Lookup'!$A:$A,0))="","Pending",INDEX('Metabase Lookup'!$B:$B,MATCH(B362,'Metabase Lookup'!$A:$A,0))))</f>
        <v/>
      </c>
      <c r="W362" s="14">
        <f>IF(ISNA(MATCH(B362,'Metabase Lookup'!$A:$A,0)),"Not found",IF(INDEX('Metabase Lookup'!$C:$C,MATCH(B362,'Metabase Lookup'!$A:$A,0))="","Pending",INDEX('Metabase Lookup'!$C:$C,MATCH(B362,'Metabase Lookup'!$A:$A,0))))</f>
        <v/>
      </c>
      <c r="X362" s="14">
        <f>IF(ISNA(MATCH(B362,'Metabase Lookup'!$A:$A,0)),"",IF(INDEX('Metabase Lookup'!$D:$D,MATCH(B362,'Metabase Lookup'!$A:$A,0))="","",INDEX('Metabase Lookup'!$D:$D,MATCH(B362,'Metabase Lookup'!$A:$A,0))))</f>
        <v/>
      </c>
      <c r="Y362" s="14">
        <f>IF(ISNUMBER(W362),IF(W362&gt;0,"Yes","No"),"Pending")</f>
        <v/>
      </c>
      <c r="Z362" s="14" t="inlineStr">
        <is>
          <t>TID had stray spaces/line breaks (cleaned); Driver not identified (OPS account)</t>
        </is>
      </c>
    </row>
    <row r="363">
      <c r="A363" s="14" t="n">
        <v>362</v>
      </c>
      <c r="B363" s="14" t="inlineStr">
        <is>
          <t>NVMYDLRA000DL80075</t>
        </is>
      </c>
      <c r="C363" s="15" t="inlineStr">
        <is>
          <t>260932670128</t>
        </is>
      </c>
      <c r="D363" s="16" t="n">
        <v>46290.34975694444</v>
      </c>
      <c r="E363" s="17" t="n">
        <v>46290</v>
      </c>
      <c r="F363" s="14" t="inlineStr">
        <is>
          <t>Fri</t>
        </is>
      </c>
      <c r="G363" s="14" t="inlineStr">
        <is>
          <t>Southern</t>
        </is>
      </c>
      <c r="H363" s="14" t="inlineStr">
        <is>
          <t>TRM</t>
        </is>
      </c>
      <c r="I363" s="14" t="inlineStr">
        <is>
          <t>TRM - OPS - ULU TIRAM</t>
        </is>
      </c>
      <c r="J363" s="14" t="inlineStr">
        <is>
          <t>OPS (generic hub account)</t>
        </is>
      </c>
      <c r="K363" s="14" t="inlineStr">
        <is>
          <t>91865960</t>
        </is>
      </c>
      <c r="L363" s="14" t="n">
        <v>1</v>
      </c>
      <c r="M363" s="14" t="inlineStr">
        <is>
          <t>LM</t>
        </is>
      </c>
      <c r="N363" s="14" t="inlineStr">
        <is>
          <t>Fake Fail</t>
        </is>
      </c>
      <c r="O363" s="14" t="inlineStr">
        <is>
          <t>Call not connected / no response</t>
        </is>
      </c>
      <c r="P363" s="14" t="inlineStr">
        <is>
          <t>No</t>
        </is>
      </c>
      <c r="Q363" s="14" t="inlineStr">
        <is>
          <t>No</t>
        </is>
      </c>
      <c r="R363" s="14" t="inlineStr">
        <is>
          <t>Call log is not connected and Whatsapp blocked</t>
        </is>
      </c>
      <c r="S363" s="14" t="inlineStr">
        <is>
          <t>Izzni</t>
        </is>
      </c>
      <c r="T363" s="14">
        <f>COUNTIF($B$2:$B$499,B363)</f>
        <v/>
      </c>
      <c r="U363" s="14">
        <f>COUNTIF($I$2:$I$499,I363)</f>
        <v/>
      </c>
      <c r="V363" s="14">
        <f>IF(ISNA(MATCH(B363,'Metabase Lookup'!$A:$A,0)),"Not found",IF(INDEX('Metabase Lookup'!$B:$B,MATCH(B363,'Metabase Lookup'!$A:$A,0))="","Pending",INDEX('Metabase Lookup'!$B:$B,MATCH(B363,'Metabase Lookup'!$A:$A,0))))</f>
        <v/>
      </c>
      <c r="W363" s="14">
        <f>IF(ISNA(MATCH(B363,'Metabase Lookup'!$A:$A,0)),"Not found",IF(INDEX('Metabase Lookup'!$C:$C,MATCH(B363,'Metabase Lookup'!$A:$A,0))="","Pending",INDEX('Metabase Lookup'!$C:$C,MATCH(B363,'Metabase Lookup'!$A:$A,0))))</f>
        <v/>
      </c>
      <c r="X363" s="14">
        <f>IF(ISNA(MATCH(B363,'Metabase Lookup'!$A:$A,0)),"",IF(INDEX('Metabase Lookup'!$D:$D,MATCH(B363,'Metabase Lookup'!$A:$A,0))="","",INDEX('Metabase Lookup'!$D:$D,MATCH(B363,'Metabase Lookup'!$A:$A,0))))</f>
        <v/>
      </c>
      <c r="Y363" s="14">
        <f>IF(ISNUMBER(W363),IF(W363&gt;0,"Yes","No"),"Pending")</f>
        <v/>
      </c>
      <c r="Z363" s="14" t="inlineStr">
        <is>
          <t>Driver not identified (OPS account)</t>
        </is>
      </c>
    </row>
    <row r="364">
      <c r="A364" s="14" t="n">
        <v>363</v>
      </c>
      <c r="B364" s="14" t="inlineStr">
        <is>
          <t>NVMYTEPIS000003833</t>
        </is>
      </c>
      <c r="C364" s="15" t="inlineStr">
        <is>
          <t>261232671394</t>
        </is>
      </c>
      <c r="D364" s="16" t="n">
        <v>46290.35116898148</v>
      </c>
      <c r="E364" s="17" t="n">
        <v>46290</v>
      </c>
      <c r="F364" s="14" t="inlineStr">
        <is>
          <t>Fri</t>
        </is>
      </c>
      <c r="G364" s="14" t="inlineStr">
        <is>
          <t>Southern</t>
        </is>
      </c>
      <c r="H364" s="14" t="inlineStr">
        <is>
          <t>HTM</t>
        </is>
      </c>
      <c r="I364" s="14" t="inlineStr">
        <is>
          <t>HTM - HD - SAFIQAH</t>
        </is>
      </c>
      <c r="J364" s="14" t="inlineStr">
        <is>
          <t>HD (named)</t>
        </is>
      </c>
      <c r="K364" s="14" t="inlineStr">
        <is>
          <t>91856201, 91883205</t>
        </is>
      </c>
      <c r="L364" s="14" t="n">
        <v>2</v>
      </c>
      <c r="M364" s="14" t="inlineStr">
        <is>
          <t>LM</t>
        </is>
      </c>
      <c r="N364" s="14" t="inlineStr">
        <is>
          <t>Fake Fail</t>
        </is>
      </c>
      <c r="O364" s="14" t="inlineStr">
        <is>
          <t>Customer disputes attempt</t>
        </is>
      </c>
      <c r="P364" s="14" t="inlineStr">
        <is>
          <t>No</t>
        </is>
      </c>
      <c r="Q364" s="14" t="inlineStr">
        <is>
          <t>No</t>
        </is>
      </c>
      <c r="R364" s="14" t="inlineStr">
        <is>
          <t>POD not customer address / customer did not receiver any calls from the driver</t>
        </is>
      </c>
      <c r="S364" s="14" t="inlineStr">
        <is>
          <t>Syafiq</t>
        </is>
      </c>
      <c r="T364" s="14">
        <f>COUNTIF($B$2:$B$499,B364)</f>
        <v/>
      </c>
      <c r="U364" s="14">
        <f>COUNTIF($I$2:$I$499,I364)</f>
        <v/>
      </c>
      <c r="V364" s="14">
        <f>IF(ISNA(MATCH(B364,'Metabase Lookup'!$A:$A,0)),"Not found",IF(INDEX('Metabase Lookup'!$B:$B,MATCH(B364,'Metabase Lookup'!$A:$A,0))="","Pending",INDEX('Metabase Lookup'!$B:$B,MATCH(B364,'Metabase Lookup'!$A:$A,0))))</f>
        <v/>
      </c>
      <c r="W364" s="14">
        <f>IF(ISNA(MATCH(B364,'Metabase Lookup'!$A:$A,0)),"Not found",IF(INDEX('Metabase Lookup'!$C:$C,MATCH(B364,'Metabase Lookup'!$A:$A,0))="","Pending",INDEX('Metabase Lookup'!$C:$C,MATCH(B364,'Metabase Lookup'!$A:$A,0))))</f>
        <v/>
      </c>
      <c r="X364" s="14">
        <f>IF(ISNA(MATCH(B364,'Metabase Lookup'!$A:$A,0)),"",IF(INDEX('Metabase Lookup'!$D:$D,MATCH(B364,'Metabase Lookup'!$A:$A,0))="","",INDEX('Metabase Lookup'!$D:$D,MATCH(B364,'Metabase Lookup'!$A:$A,0))))</f>
        <v/>
      </c>
      <c r="Y364" s="14">
        <f>IF(ISNUMBER(W364),IF(W364&gt;0,"Yes","No"),"Pending")</f>
        <v/>
      </c>
      <c r="Z364" s="14" t="inlineStr">
        <is>
          <t>TID logged more than once; Multiple route IDs</t>
        </is>
      </c>
    </row>
    <row r="365">
      <c r="A365" s="14" t="n">
        <v>364</v>
      </c>
      <c r="B365" s="14" t="inlineStr">
        <is>
          <t>MOONB1548961047584903168</t>
        </is>
      </c>
      <c r="C365" s="15" t="inlineStr">
        <is>
          <t>262732672023</t>
        </is>
      </c>
      <c r="D365" s="16" t="n">
        <v>46290.35258101852</v>
      </c>
      <c r="E365" s="17" t="n">
        <v>46290</v>
      </c>
      <c r="F365" s="14" t="inlineStr">
        <is>
          <t>Fri</t>
        </is>
      </c>
      <c r="G365" s="14" t="inlineStr">
        <is>
          <t>East MY</t>
        </is>
      </c>
      <c r="H365" s="14" t="inlineStr">
        <is>
          <t>BKW</t>
        </is>
      </c>
      <c r="I365" s="14" t="inlineStr">
        <is>
          <t>BKW - ID - KENNETH</t>
        </is>
      </c>
      <c r="J365" s="14" t="inlineStr">
        <is>
          <t>ID (named driver)</t>
        </is>
      </c>
      <c r="K365" s="14" t="inlineStr">
        <is>
          <t>91859984</t>
        </is>
      </c>
      <c r="L365" s="14" t="n">
        <v>1</v>
      </c>
      <c r="M365" s="14" t="inlineStr">
        <is>
          <t>LM</t>
        </is>
      </c>
      <c r="N365" s="14" t="inlineStr">
        <is>
          <t>Fake Fail</t>
        </is>
      </c>
      <c r="O365" s="14" t="inlineStr">
        <is>
          <t>Call not connected / no response</t>
        </is>
      </c>
      <c r="P365" s="14" t="inlineStr">
        <is>
          <t>No</t>
        </is>
      </c>
      <c r="Q365" s="14" t="inlineStr">
        <is>
          <t>No</t>
        </is>
      </c>
      <c r="R365" s="14" t="inlineStr">
        <is>
          <t>The call was not connected, and no WhatsApp response was provided.</t>
        </is>
      </c>
      <c r="S365" s="14" t="inlineStr">
        <is>
          <t>Izzni</t>
        </is>
      </c>
      <c r="T365" s="14">
        <f>COUNTIF($B$2:$B$499,B365)</f>
        <v/>
      </c>
      <c r="U365" s="14">
        <f>COUNTIF($I$2:$I$499,I365)</f>
        <v/>
      </c>
      <c r="V365" s="14">
        <f>IF(ISNA(MATCH(B365,'Metabase Lookup'!$A:$A,0)),"Not found",IF(INDEX('Metabase Lookup'!$B:$B,MATCH(B365,'Metabase Lookup'!$A:$A,0))="","Pending",INDEX('Metabase Lookup'!$B:$B,MATCH(B365,'Metabase Lookup'!$A:$A,0))))</f>
        <v/>
      </c>
      <c r="W365" s="14">
        <f>IF(ISNA(MATCH(B365,'Metabase Lookup'!$A:$A,0)),"Not found",IF(INDEX('Metabase Lookup'!$C:$C,MATCH(B365,'Metabase Lookup'!$A:$A,0))="","Pending",INDEX('Metabase Lookup'!$C:$C,MATCH(B365,'Metabase Lookup'!$A:$A,0))))</f>
        <v/>
      </c>
      <c r="X365" s="14">
        <f>IF(ISNA(MATCH(B365,'Metabase Lookup'!$A:$A,0)),"",IF(INDEX('Metabase Lookup'!$D:$D,MATCH(B365,'Metabase Lookup'!$A:$A,0))="","",INDEX('Metabase Lookup'!$D:$D,MATCH(B365,'Metabase Lookup'!$A:$A,0))))</f>
        <v/>
      </c>
      <c r="Y365" s="14">
        <f>IF(ISNUMBER(W365),IF(W365&gt;0,"Yes","No"),"Pending")</f>
        <v/>
      </c>
      <c r="Z365" s="14" t="inlineStr"/>
    </row>
    <row r="366">
      <c r="A366" s="14" t="n">
        <v>365</v>
      </c>
      <c r="B366" s="14" t="inlineStr">
        <is>
          <t>TNGDV2609196953561960</t>
        </is>
      </c>
      <c r="C366" s="15" t="inlineStr">
        <is>
          <t>264032679955</t>
        </is>
      </c>
      <c r="D366" s="16" t="n">
        <v>46290.35967592592</v>
      </c>
      <c r="E366" s="17" t="n">
        <v>46290</v>
      </c>
      <c r="F366" s="14" t="inlineStr">
        <is>
          <t>Fri</t>
        </is>
      </c>
      <c r="G366" s="14" t="inlineStr">
        <is>
          <t>KV</t>
        </is>
      </c>
      <c r="H366" s="14" t="inlineStr">
        <is>
          <t>CJY</t>
        </is>
      </c>
      <c r="I366" s="14" t="inlineStr">
        <is>
          <t>CJY - ID - KHAIRUL AZMIL</t>
        </is>
      </c>
      <c r="J366" s="14" t="inlineStr">
        <is>
          <t>ID (named driver)</t>
        </is>
      </c>
      <c r="K366" s="14" t="inlineStr">
        <is>
          <t>91876338</t>
        </is>
      </c>
      <c r="L366" s="14" t="n">
        <v>1</v>
      </c>
      <c r="M366" s="14" t="inlineStr">
        <is>
          <t>LM</t>
        </is>
      </c>
      <c r="N366" s="14" t="inlineStr">
        <is>
          <t>Fake Success</t>
        </is>
      </c>
      <c r="O366" s="14" t="inlineStr"/>
      <c r="P366" s="14" t="inlineStr"/>
      <c r="Q366" s="14" t="inlineStr"/>
      <c r="R366" s="14" t="inlineStr">
        <is>
          <t>The parcel has just been received by the cust after complaint been raised</t>
        </is>
      </c>
      <c r="S366" s="14" t="inlineStr">
        <is>
          <t>Izzni</t>
        </is>
      </c>
      <c r="T366" s="14">
        <f>COUNTIF($B$2:$B$499,B366)</f>
        <v/>
      </c>
      <c r="U366" s="14">
        <f>COUNTIF($I$2:$I$499,I366)</f>
        <v/>
      </c>
      <c r="V366" s="14">
        <f>IF(ISNA(MATCH(B366,'Metabase Lookup'!$A:$A,0)),"Not found",IF(INDEX('Metabase Lookup'!$B:$B,MATCH(B366,'Metabase Lookup'!$A:$A,0))="","Pending",INDEX('Metabase Lookup'!$B:$B,MATCH(B366,'Metabase Lookup'!$A:$A,0))))</f>
        <v/>
      </c>
      <c r="W366" s="14">
        <f>IF(ISNA(MATCH(B366,'Metabase Lookup'!$A:$A,0)),"Not found",IF(INDEX('Metabase Lookup'!$C:$C,MATCH(B366,'Metabase Lookup'!$A:$A,0))="","Pending",INDEX('Metabase Lookup'!$C:$C,MATCH(B366,'Metabase Lookup'!$A:$A,0))))</f>
        <v/>
      </c>
      <c r="X366" s="14">
        <f>IF(ISNA(MATCH(B366,'Metabase Lookup'!$A:$A,0)),"",IF(INDEX('Metabase Lookup'!$D:$D,MATCH(B366,'Metabase Lookup'!$A:$A,0))="","",INDEX('Metabase Lookup'!$D:$D,MATCH(B366,'Metabase Lookup'!$A:$A,0))))</f>
        <v/>
      </c>
      <c r="Y366" s="14">
        <f>IF(ISNUMBER(W366),IF(W366&gt;0,"Yes","No"),"Pending")</f>
        <v/>
      </c>
      <c r="Z366" s="14" t="inlineStr"/>
    </row>
    <row r="367">
      <c r="A367" s="14" t="n">
        <v>366</v>
      </c>
      <c r="B367" s="14" t="inlineStr">
        <is>
          <t>NVMYTMTSB0TH67622I</t>
        </is>
      </c>
      <c r="C367" s="15" t="inlineStr">
        <is>
          <t>264222674428</t>
        </is>
      </c>
      <c r="D367" s="16" t="n">
        <v>46290.36028935185</v>
      </c>
      <c r="E367" s="17" t="n">
        <v>46290</v>
      </c>
      <c r="F367" s="14" t="inlineStr">
        <is>
          <t>Fri</t>
        </is>
      </c>
      <c r="G367" s="14" t="inlineStr">
        <is>
          <t>Southern</t>
        </is>
      </c>
      <c r="H367" s="14" t="inlineStr">
        <is>
          <t>KEM</t>
        </is>
      </c>
      <c r="I367" s="14" t="inlineStr">
        <is>
          <t>OPS - KEM</t>
        </is>
      </c>
      <c r="J367" s="14" t="inlineStr">
        <is>
          <t>OPS (generic hub account)</t>
        </is>
      </c>
      <c r="K367" s="14" t="inlineStr">
        <is>
          <t>91883290</t>
        </is>
      </c>
      <c r="L367" s="14" t="n">
        <v>1</v>
      </c>
      <c r="M367" s="14" t="inlineStr">
        <is>
          <t>LM</t>
        </is>
      </c>
      <c r="N367" s="14" t="inlineStr">
        <is>
          <t>Fake Fail</t>
        </is>
      </c>
      <c r="O367" s="14" t="inlineStr">
        <is>
          <t>Customer disputes attempt</t>
        </is>
      </c>
      <c r="P367" s="14" t="inlineStr">
        <is>
          <t>No</t>
        </is>
      </c>
      <c r="Q367" s="14" t="inlineStr">
        <is>
          <t>No</t>
        </is>
      </c>
      <c r="R367" s="14" t="inlineStr">
        <is>
          <t>Not received call</t>
        </is>
      </c>
      <c r="S367" s="14" t="inlineStr">
        <is>
          <t>Syafiq</t>
        </is>
      </c>
      <c r="T367" s="14">
        <f>COUNTIF($B$2:$B$499,B367)</f>
        <v/>
      </c>
      <c r="U367" s="14">
        <f>COUNTIF($I$2:$I$499,I367)</f>
        <v/>
      </c>
      <c r="V367" s="14">
        <f>IF(ISNA(MATCH(B367,'Metabase Lookup'!$A:$A,0)),"Not found",IF(INDEX('Metabase Lookup'!$B:$B,MATCH(B367,'Metabase Lookup'!$A:$A,0))="","Pending",INDEX('Metabase Lookup'!$B:$B,MATCH(B367,'Metabase Lookup'!$A:$A,0))))</f>
        <v/>
      </c>
      <c r="W367" s="14">
        <f>IF(ISNA(MATCH(B367,'Metabase Lookup'!$A:$A,0)),"Not found",IF(INDEX('Metabase Lookup'!$C:$C,MATCH(B367,'Metabase Lookup'!$A:$A,0))="","Pending",INDEX('Metabase Lookup'!$C:$C,MATCH(B367,'Metabase Lookup'!$A:$A,0))))</f>
        <v/>
      </c>
      <c r="X367" s="14">
        <f>IF(ISNA(MATCH(B367,'Metabase Lookup'!$A:$A,0)),"",IF(INDEX('Metabase Lookup'!$D:$D,MATCH(B367,'Metabase Lookup'!$A:$A,0))="","",INDEX('Metabase Lookup'!$D:$D,MATCH(B367,'Metabase Lookup'!$A:$A,0))))</f>
        <v/>
      </c>
      <c r="Y367" s="14">
        <f>IF(ISNUMBER(W367),IF(W367&gt;0,"Yes","No"),"Pending")</f>
        <v/>
      </c>
      <c r="Z367" s="14" t="inlineStr">
        <is>
          <t>Driver not identified (OPS account)</t>
        </is>
      </c>
    </row>
    <row r="368">
      <c r="A368" s="14" t="n">
        <v>367</v>
      </c>
      <c r="B368" s="14" t="inlineStr">
        <is>
          <t>MYNJV70039345518</t>
        </is>
      </c>
      <c r="C368" s="15" t="inlineStr">
        <is>
          <t>5495550445060</t>
        </is>
      </c>
      <c r="D368" s="16" t="n">
        <v>46290.38572916666</v>
      </c>
      <c r="E368" s="17" t="n">
        <v>46290</v>
      </c>
      <c r="F368" s="14" t="inlineStr">
        <is>
          <t>Fri</t>
        </is>
      </c>
      <c r="G368" s="14" t="inlineStr">
        <is>
          <t>KV</t>
        </is>
      </c>
      <c r="H368" s="14" t="inlineStr">
        <is>
          <t>PKL</t>
        </is>
      </c>
      <c r="I368" s="14" t="inlineStr">
        <is>
          <t>PKL - OPS - HAFIZ</t>
        </is>
      </c>
      <c r="J368" s="14" t="inlineStr">
        <is>
          <t>OPS (generic hub account)</t>
        </is>
      </c>
      <c r="K368" s="14" t="inlineStr">
        <is>
          <t>91886242</t>
        </is>
      </c>
      <c r="L368" s="14" t="n">
        <v>1</v>
      </c>
      <c r="M368" s="14" t="inlineStr">
        <is>
          <t>LM</t>
        </is>
      </c>
      <c r="N368" s="14" t="inlineStr">
        <is>
          <t>Fake Fail</t>
        </is>
      </c>
      <c r="O368" s="14" t="inlineStr">
        <is>
          <t>Invalid POD (no detail)</t>
        </is>
      </c>
      <c r="P368" s="14" t="inlineStr">
        <is>
          <t>No</t>
        </is>
      </c>
      <c r="Q368" s="14" t="inlineStr">
        <is>
          <t>No</t>
        </is>
      </c>
      <c r="R368" s="14" t="inlineStr">
        <is>
          <t>POD not cust phone number</t>
        </is>
      </c>
      <c r="S368" s="14" t="inlineStr">
        <is>
          <t>Zakwan</t>
        </is>
      </c>
      <c r="T368" s="14">
        <f>COUNTIF($B$2:$B$499,B368)</f>
        <v/>
      </c>
      <c r="U368" s="14">
        <f>COUNTIF($I$2:$I$499,I368)</f>
        <v/>
      </c>
      <c r="V368" s="14">
        <f>IF(ISNA(MATCH(B368,'Metabase Lookup'!$A:$A,0)),"Not found",IF(INDEX('Metabase Lookup'!$B:$B,MATCH(B368,'Metabase Lookup'!$A:$A,0))="","Pending",INDEX('Metabase Lookup'!$B:$B,MATCH(B368,'Metabase Lookup'!$A:$A,0))))</f>
        <v/>
      </c>
      <c r="W368" s="14">
        <f>IF(ISNA(MATCH(B368,'Metabase Lookup'!$A:$A,0)),"Not found",IF(INDEX('Metabase Lookup'!$C:$C,MATCH(B368,'Metabase Lookup'!$A:$A,0))="","Pending",INDEX('Metabase Lookup'!$C:$C,MATCH(B368,'Metabase Lookup'!$A:$A,0))))</f>
        <v/>
      </c>
      <c r="X368" s="14">
        <f>IF(ISNA(MATCH(B368,'Metabase Lookup'!$A:$A,0)),"",IF(INDEX('Metabase Lookup'!$D:$D,MATCH(B368,'Metabase Lookup'!$A:$A,0))="","",INDEX('Metabase Lookup'!$D:$D,MATCH(B368,'Metabase Lookup'!$A:$A,0))))</f>
        <v/>
      </c>
      <c r="Y368" s="14">
        <f>IF(ISNUMBER(W368),IF(W368&gt;0,"Yes","No"),"Pending")</f>
        <v/>
      </c>
      <c r="Z368" s="14" t="inlineStr">
        <is>
          <t>Driver not identified (OPS account)</t>
        </is>
      </c>
    </row>
    <row r="369">
      <c r="A369" s="14" t="n">
        <v>368</v>
      </c>
      <c r="B369" s="14" t="inlineStr">
        <is>
          <t>HAWAS1551423395595153408</t>
        </is>
      </c>
      <c r="C369" s="15" t="inlineStr">
        <is>
          <t>268612685233</t>
        </is>
      </c>
      <c r="D369" s="16" t="n">
        <v>46290.38583333333</v>
      </c>
      <c r="E369" s="17" t="n">
        <v>46290</v>
      </c>
      <c r="F369" s="14" t="inlineStr">
        <is>
          <t>Fri</t>
        </is>
      </c>
      <c r="G369" s="14" t="inlineStr">
        <is>
          <t>Southern</t>
        </is>
      </c>
      <c r="H369" s="14" t="inlineStr">
        <is>
          <t>BPT</t>
        </is>
      </c>
      <c r="I369" s="14" t="inlineStr">
        <is>
          <t>BPT - ID - ZULHILMI S</t>
        </is>
      </c>
      <c r="J369" s="14" t="inlineStr">
        <is>
          <t>ID (named driver)</t>
        </is>
      </c>
      <c r="K369" s="14" t="inlineStr">
        <is>
          <t>91881207</t>
        </is>
      </c>
      <c r="L369" s="14" t="n">
        <v>1</v>
      </c>
      <c r="M369" s="14" t="inlineStr">
        <is>
          <t>LM</t>
        </is>
      </c>
      <c r="N369" s="14" t="inlineStr">
        <is>
          <t>Fake Fail</t>
        </is>
      </c>
      <c r="O369" s="14" t="inlineStr">
        <is>
          <t>Invalid location / site photo</t>
        </is>
      </c>
      <c r="P369" s="14" t="inlineStr">
        <is>
          <t>Yes</t>
        </is>
      </c>
      <c r="Q369" s="14" t="inlineStr">
        <is>
          <t>No</t>
        </is>
      </c>
      <c r="R369" s="14" t="inlineStr">
        <is>
          <t>The driver attached wrong picture of location</t>
        </is>
      </c>
      <c r="S369" s="14" t="inlineStr">
        <is>
          <t>Izzni</t>
        </is>
      </c>
      <c r="T369" s="14">
        <f>COUNTIF($B$2:$B$499,B369)</f>
        <v/>
      </c>
      <c r="U369" s="14">
        <f>COUNTIF($I$2:$I$499,I369)</f>
        <v/>
      </c>
      <c r="V369" s="14">
        <f>IF(ISNA(MATCH(B369,'Metabase Lookup'!$A:$A,0)),"Not found",IF(INDEX('Metabase Lookup'!$B:$B,MATCH(B369,'Metabase Lookup'!$A:$A,0))="","Pending",INDEX('Metabase Lookup'!$B:$B,MATCH(B369,'Metabase Lookup'!$A:$A,0))))</f>
        <v/>
      </c>
      <c r="W369" s="14">
        <f>IF(ISNA(MATCH(B369,'Metabase Lookup'!$A:$A,0)),"Not found",IF(INDEX('Metabase Lookup'!$C:$C,MATCH(B369,'Metabase Lookup'!$A:$A,0))="","Pending",INDEX('Metabase Lookup'!$C:$C,MATCH(B369,'Metabase Lookup'!$A:$A,0))))</f>
        <v/>
      </c>
      <c r="X369" s="14">
        <f>IF(ISNA(MATCH(B369,'Metabase Lookup'!$A:$A,0)),"",IF(INDEX('Metabase Lookup'!$D:$D,MATCH(B369,'Metabase Lookup'!$A:$A,0))="","",INDEX('Metabase Lookup'!$D:$D,MATCH(B369,'Metabase Lookup'!$A:$A,0))))</f>
        <v/>
      </c>
      <c r="Y369" s="14">
        <f>IF(ISNUMBER(W369),IF(W369&gt;0,"Yes","No"),"Pending")</f>
        <v/>
      </c>
      <c r="Z369" s="14" t="inlineStr">
        <is>
          <t>TID logged more than once</t>
        </is>
      </c>
    </row>
    <row r="370">
      <c r="A370" s="14" t="n">
        <v>369</v>
      </c>
      <c r="B370" s="14" t="inlineStr">
        <is>
          <t>NVMYNINJAMYRPLPV1Y</t>
        </is>
      </c>
      <c r="C370" s="15" t="inlineStr">
        <is>
          <t>261212677445</t>
        </is>
      </c>
      <c r="D370" s="16" t="n">
        <v>46290.39453703703</v>
      </c>
      <c r="E370" s="17" t="n">
        <v>46290</v>
      </c>
      <c r="F370" s="14" t="inlineStr">
        <is>
          <t>Fri</t>
        </is>
      </c>
      <c r="G370" s="14" t="inlineStr">
        <is>
          <t>KV</t>
        </is>
      </c>
      <c r="H370" s="14" t="inlineStr">
        <is>
          <t>CHE</t>
        </is>
      </c>
      <c r="I370" s="14" t="inlineStr">
        <is>
          <t>CHE - ID - NAQIB</t>
        </is>
      </c>
      <c r="J370" s="14" t="inlineStr">
        <is>
          <t>ID (named driver)</t>
        </is>
      </c>
      <c r="K370" s="14" t="inlineStr">
        <is>
          <t>91870580</t>
        </is>
      </c>
      <c r="L370" s="14" t="n">
        <v>1</v>
      </c>
      <c r="M370" s="14" t="inlineStr">
        <is>
          <t>LM</t>
        </is>
      </c>
      <c r="N370" s="14" t="inlineStr">
        <is>
          <t>Deliver to Wrong Address</t>
        </is>
      </c>
      <c r="O370" s="14" t="inlineStr"/>
      <c r="P370" s="14" t="inlineStr"/>
      <c r="Q370" s="14" t="inlineStr"/>
      <c r="R370" s="14" t="inlineStr">
        <is>
          <t>Driver delivered the parcel to the wrong address. After the complaint was raised, the driver retrieved it and redelivered it to the correct address.</t>
        </is>
      </c>
      <c r="S370" s="14" t="inlineStr">
        <is>
          <t>Huzair</t>
        </is>
      </c>
      <c r="T370" s="14">
        <f>COUNTIF($B$2:$B$499,B370)</f>
        <v/>
      </c>
      <c r="U370" s="14">
        <f>COUNTIF($I$2:$I$499,I370)</f>
        <v/>
      </c>
      <c r="V370" s="14">
        <f>IF(ISNA(MATCH(B370,'Metabase Lookup'!$A:$A,0)),"Not found",IF(INDEX('Metabase Lookup'!$B:$B,MATCH(B370,'Metabase Lookup'!$A:$A,0))="","Pending",INDEX('Metabase Lookup'!$B:$B,MATCH(B370,'Metabase Lookup'!$A:$A,0))))</f>
        <v/>
      </c>
      <c r="W370" s="14">
        <f>IF(ISNA(MATCH(B370,'Metabase Lookup'!$A:$A,0)),"Not found",IF(INDEX('Metabase Lookup'!$C:$C,MATCH(B370,'Metabase Lookup'!$A:$A,0))="","Pending",INDEX('Metabase Lookup'!$C:$C,MATCH(B370,'Metabase Lookup'!$A:$A,0))))</f>
        <v/>
      </c>
      <c r="X370" s="14">
        <f>IF(ISNA(MATCH(B370,'Metabase Lookup'!$A:$A,0)),"",IF(INDEX('Metabase Lookup'!$D:$D,MATCH(B370,'Metabase Lookup'!$A:$A,0))="","",INDEX('Metabase Lookup'!$D:$D,MATCH(B370,'Metabase Lookup'!$A:$A,0))))</f>
        <v/>
      </c>
      <c r="Y370" s="14">
        <f>IF(ISNUMBER(W370),IF(W370&gt;0,"Yes","No"),"Pending")</f>
        <v/>
      </c>
      <c r="Z370" s="14" t="inlineStr"/>
    </row>
    <row r="371">
      <c r="A371" s="14" t="n">
        <v>370</v>
      </c>
      <c r="B371" s="14" t="inlineStr">
        <is>
          <t>TNGE126067354686503000</t>
        </is>
      </c>
      <c r="C371" s="15" t="inlineStr">
        <is>
          <t>266182687183</t>
        </is>
      </c>
      <c r="D371" s="16" t="n">
        <v>46290.39871527778</v>
      </c>
      <c r="E371" s="17" t="n">
        <v>46290</v>
      </c>
      <c r="F371" s="14" t="inlineStr">
        <is>
          <t>Fri</t>
        </is>
      </c>
      <c r="G371" s="14" t="inlineStr">
        <is>
          <t>KV</t>
        </is>
      </c>
      <c r="H371" s="14" t="inlineStr">
        <is>
          <t>BTR</t>
        </is>
      </c>
      <c r="I371" s="14" t="inlineStr">
        <is>
          <t>OPS - BTR</t>
        </is>
      </c>
      <c r="J371" s="14" t="inlineStr">
        <is>
          <t>OPS (generic hub account)</t>
        </is>
      </c>
      <c r="K371" s="14" t="inlineStr">
        <is>
          <t>91872286</t>
        </is>
      </c>
      <c r="L371" s="14" t="n">
        <v>1</v>
      </c>
      <c r="M371" s="14" t="inlineStr">
        <is>
          <t>LM</t>
        </is>
      </c>
      <c r="N371" s="14" t="inlineStr">
        <is>
          <t>Fake Fail</t>
        </is>
      </c>
      <c r="O371" s="14" t="inlineStr">
        <is>
          <t>No call / call log missing</t>
        </is>
      </c>
      <c r="P371" s="14" t="inlineStr">
        <is>
          <t>Yes</t>
        </is>
      </c>
      <c r="Q371" s="14" t="inlineStr">
        <is>
          <t>No</t>
        </is>
      </c>
      <c r="R371" s="14" t="inlineStr">
        <is>
          <t>invalid photo of location and no call log provided</t>
        </is>
      </c>
      <c r="S371" s="14" t="inlineStr">
        <is>
          <t>Naveen</t>
        </is>
      </c>
      <c r="T371" s="14">
        <f>COUNTIF($B$2:$B$499,B371)</f>
        <v/>
      </c>
      <c r="U371" s="14">
        <f>COUNTIF($I$2:$I$499,I371)</f>
        <v/>
      </c>
      <c r="V371" s="14">
        <f>IF(ISNA(MATCH(B371,'Metabase Lookup'!$A:$A,0)),"Not found",IF(INDEX('Metabase Lookup'!$B:$B,MATCH(B371,'Metabase Lookup'!$A:$A,0))="","Pending",INDEX('Metabase Lookup'!$B:$B,MATCH(B371,'Metabase Lookup'!$A:$A,0))))</f>
        <v/>
      </c>
      <c r="W371" s="14">
        <f>IF(ISNA(MATCH(B371,'Metabase Lookup'!$A:$A,0)),"Not found",IF(INDEX('Metabase Lookup'!$C:$C,MATCH(B371,'Metabase Lookup'!$A:$A,0))="","Pending",INDEX('Metabase Lookup'!$C:$C,MATCH(B371,'Metabase Lookup'!$A:$A,0))))</f>
        <v/>
      </c>
      <c r="X371" s="14">
        <f>IF(ISNA(MATCH(B371,'Metabase Lookup'!$A:$A,0)),"",IF(INDEX('Metabase Lookup'!$D:$D,MATCH(B371,'Metabase Lookup'!$A:$A,0))="","",INDEX('Metabase Lookup'!$D:$D,MATCH(B371,'Metabase Lookup'!$A:$A,0))))</f>
        <v/>
      </c>
      <c r="Y371" s="14">
        <f>IF(ISNUMBER(W371),IF(W371&gt;0,"Yes","No"),"Pending")</f>
        <v/>
      </c>
      <c r="Z371" s="14" t="inlineStr">
        <is>
          <t>Driver not identified (OPS account)</t>
        </is>
      </c>
    </row>
    <row r="372">
      <c r="A372" s="14" t="n">
        <v>371</v>
      </c>
      <c r="B372" s="14" t="inlineStr">
        <is>
          <t>NVMYNINJA002519071</t>
        </is>
      </c>
      <c r="C372" s="15" t="inlineStr">
        <is>
          <t>262472673389</t>
        </is>
      </c>
      <c r="D372" s="16" t="n">
        <v>46290.40002314815</v>
      </c>
      <c r="E372" s="17" t="n">
        <v>46290</v>
      </c>
      <c r="F372" s="14" t="inlineStr">
        <is>
          <t>Fri</t>
        </is>
      </c>
      <c r="G372" s="14" t="inlineStr">
        <is>
          <t>Northern</t>
        </is>
      </c>
      <c r="H372" s="14" t="inlineStr">
        <is>
          <t>KGR</t>
        </is>
      </c>
      <c r="I372" s="14" t="inlineStr">
        <is>
          <t>KGR - ID - AFFENDI IBRAHIM</t>
        </is>
      </c>
      <c r="J372" s="14" t="inlineStr">
        <is>
          <t>ID (named driver)</t>
        </is>
      </c>
      <c r="K372" s="14" t="inlineStr">
        <is>
          <t>91857209</t>
        </is>
      </c>
      <c r="L372" s="14" t="n">
        <v>1</v>
      </c>
      <c r="M372" s="14" t="inlineStr">
        <is>
          <t>LM</t>
        </is>
      </c>
      <c r="N372" s="14" t="inlineStr">
        <is>
          <t>Parcel Dumping</t>
        </is>
      </c>
      <c r="O372" s="14" t="inlineStr"/>
      <c r="P372" s="14" t="inlineStr"/>
      <c r="Q372" s="14" t="inlineStr"/>
      <c r="R372" s="14" t="inlineStr">
        <is>
          <t>driver dropped parcel at customer shop without permission customer got parcel after made complaint</t>
        </is>
      </c>
      <c r="S372" s="14" t="inlineStr">
        <is>
          <t>Ninja Hadif</t>
        </is>
      </c>
      <c r="T372" s="14">
        <f>COUNTIF($B$2:$B$499,B372)</f>
        <v/>
      </c>
      <c r="U372" s="14">
        <f>COUNTIF($I$2:$I$499,I372)</f>
        <v/>
      </c>
      <c r="V372" s="14">
        <f>IF(ISNA(MATCH(B372,'Metabase Lookup'!$A:$A,0)),"Not found",IF(INDEX('Metabase Lookup'!$B:$B,MATCH(B372,'Metabase Lookup'!$A:$A,0))="","Pending",INDEX('Metabase Lookup'!$B:$B,MATCH(B372,'Metabase Lookup'!$A:$A,0))))</f>
        <v/>
      </c>
      <c r="W372" s="14">
        <f>IF(ISNA(MATCH(B372,'Metabase Lookup'!$A:$A,0)),"Not found",IF(INDEX('Metabase Lookup'!$C:$C,MATCH(B372,'Metabase Lookup'!$A:$A,0))="","Pending",INDEX('Metabase Lookup'!$C:$C,MATCH(B372,'Metabase Lookup'!$A:$A,0))))</f>
        <v/>
      </c>
      <c r="X372" s="14">
        <f>IF(ISNA(MATCH(B372,'Metabase Lookup'!$A:$A,0)),"",IF(INDEX('Metabase Lookup'!$D:$D,MATCH(B372,'Metabase Lookup'!$A:$A,0))="","",INDEX('Metabase Lookup'!$D:$D,MATCH(B372,'Metabase Lookup'!$A:$A,0))))</f>
        <v/>
      </c>
      <c r="Y372" s="14">
        <f>IF(ISNUMBER(W372),IF(W372&gt;0,"Yes","No"),"Pending")</f>
        <v/>
      </c>
      <c r="Z372" s="14" t="inlineStr"/>
    </row>
    <row r="373">
      <c r="A373" s="14" t="n">
        <v>372</v>
      </c>
      <c r="B373" s="14" t="inlineStr">
        <is>
          <t>ESHP003314663</t>
        </is>
      </c>
      <c r="C373" s="15" t="inlineStr">
        <is>
          <t>267152672940</t>
        </is>
      </c>
      <c r="D373" s="16" t="n">
        <v>46290.41653935185</v>
      </c>
      <c r="E373" s="17" t="n">
        <v>46290</v>
      </c>
      <c r="F373" s="14" t="inlineStr">
        <is>
          <t>Fri</t>
        </is>
      </c>
      <c r="G373" s="14" t="inlineStr">
        <is>
          <t>KV</t>
        </is>
      </c>
      <c r="H373" s="14" t="inlineStr">
        <is>
          <t>STL</t>
        </is>
      </c>
      <c r="I373" s="14" t="inlineStr">
        <is>
          <t>STL - IR - ROHAIZAH YAHYA</t>
        </is>
      </c>
      <c r="J373" s="14" t="inlineStr">
        <is>
          <t>IR (named)</t>
        </is>
      </c>
      <c r="K373" s="14" t="inlineStr">
        <is>
          <t>91877325</t>
        </is>
      </c>
      <c r="L373" s="14" t="n">
        <v>1</v>
      </c>
      <c r="M373" s="14" t="inlineStr">
        <is>
          <t>LM</t>
        </is>
      </c>
      <c r="N373" s="14" t="inlineStr">
        <is>
          <t>Fake Success</t>
        </is>
      </c>
      <c r="O373" s="14" t="inlineStr"/>
      <c r="P373" s="14" t="inlineStr"/>
      <c r="Q373" s="14" t="inlineStr"/>
      <c r="R373" s="14" t="inlineStr">
        <is>
          <t>Customer complained about not receiving the parcel despite the status showing as completed. The customer later received the parcel after raising the complaint.</t>
        </is>
      </c>
      <c r="S373" s="14" t="inlineStr">
        <is>
          <t>Huzair</t>
        </is>
      </c>
      <c r="T373" s="14">
        <f>COUNTIF($B$2:$B$499,B373)</f>
        <v/>
      </c>
      <c r="U373" s="14">
        <f>COUNTIF($I$2:$I$499,I373)</f>
        <v/>
      </c>
      <c r="V373" s="14">
        <f>IF(ISNA(MATCH(B373,'Metabase Lookup'!$A:$A,0)),"Not found",IF(INDEX('Metabase Lookup'!$B:$B,MATCH(B373,'Metabase Lookup'!$A:$A,0))="","Pending",INDEX('Metabase Lookup'!$B:$B,MATCH(B373,'Metabase Lookup'!$A:$A,0))))</f>
        <v/>
      </c>
      <c r="W373" s="14">
        <f>IF(ISNA(MATCH(B373,'Metabase Lookup'!$A:$A,0)),"Not found",IF(INDEX('Metabase Lookup'!$C:$C,MATCH(B373,'Metabase Lookup'!$A:$A,0))="","Pending",INDEX('Metabase Lookup'!$C:$C,MATCH(B373,'Metabase Lookup'!$A:$A,0))))</f>
        <v/>
      </c>
      <c r="X373" s="14">
        <f>IF(ISNA(MATCH(B373,'Metabase Lookup'!$A:$A,0)),"",IF(INDEX('Metabase Lookup'!$D:$D,MATCH(B373,'Metabase Lookup'!$A:$A,0))="","",INDEX('Metabase Lookup'!$D:$D,MATCH(B373,'Metabase Lookup'!$A:$A,0))))</f>
        <v/>
      </c>
      <c r="Y373" s="14">
        <f>IF(ISNUMBER(W373),IF(W373&gt;0,"Yes","No"),"Pending")</f>
        <v/>
      </c>
      <c r="Z373" s="14" t="inlineStr"/>
    </row>
    <row r="374">
      <c r="A374" s="14" t="n">
        <v>373</v>
      </c>
      <c r="B374" s="14" t="inlineStr">
        <is>
          <t>RSAPA2601402-001,RSAPA2601402-002&amp;RSAPA2601402-003</t>
        </is>
      </c>
      <c r="C374" s="15" t="inlineStr">
        <is>
          <t>268002683038</t>
        </is>
      </c>
      <c r="D374" s="16" t="n">
        <v>46290.42537037037</v>
      </c>
      <c r="E374" s="17" t="n">
        <v>46290</v>
      </c>
      <c r="F374" s="14" t="inlineStr">
        <is>
          <t>Fri</t>
        </is>
      </c>
      <c r="G374" s="14" t="inlineStr">
        <is>
          <t>Northern</t>
        </is>
      </c>
      <c r="H374" s="14" t="inlineStr">
        <is>
          <t>PSN</t>
        </is>
      </c>
      <c r="I374" s="14" t="inlineStr">
        <is>
          <t>PSN - ID - SITI KHALIJAH</t>
        </is>
      </c>
      <c r="J374" s="14" t="inlineStr">
        <is>
          <t>ID (named driver)</t>
        </is>
      </c>
      <c r="K374" s="14" t="inlineStr">
        <is>
          <t>91884521</t>
        </is>
      </c>
      <c r="L374" s="14" t="n">
        <v>1</v>
      </c>
      <c r="M374" s="14" t="inlineStr">
        <is>
          <t>LM</t>
        </is>
      </c>
      <c r="N374" s="14" t="inlineStr">
        <is>
          <t>Fake Fail</t>
        </is>
      </c>
      <c r="O374" s="14" t="inlineStr">
        <is>
          <t>Customer disputes attempt</t>
        </is>
      </c>
      <c r="P374" s="14" t="inlineStr">
        <is>
          <t>No</t>
        </is>
      </c>
      <c r="Q374" s="14" t="inlineStr">
        <is>
          <t>No</t>
        </is>
      </c>
      <c r="R374" s="14" t="inlineStr">
        <is>
          <t>No confirmation from customer want to reject the parcel</t>
        </is>
      </c>
      <c r="S374" s="14" t="inlineStr">
        <is>
          <t>Daus</t>
        </is>
      </c>
      <c r="T374" s="14">
        <f>COUNTIF($B$2:$B$499,B374)</f>
        <v/>
      </c>
      <c r="U374" s="14">
        <f>COUNTIF($I$2:$I$499,I374)</f>
        <v/>
      </c>
      <c r="V374" s="14">
        <f>IF(ISNA(MATCH(B374,'Metabase Lookup'!$A:$A,0)),"Not found",IF(INDEX('Metabase Lookup'!$B:$B,MATCH(B374,'Metabase Lookup'!$A:$A,0))="","Pending",INDEX('Metabase Lookup'!$B:$B,MATCH(B374,'Metabase Lookup'!$A:$A,0))))</f>
        <v/>
      </c>
      <c r="W374" s="14">
        <f>IF(ISNA(MATCH(B374,'Metabase Lookup'!$A:$A,0)),"Not found",IF(INDEX('Metabase Lookup'!$C:$C,MATCH(B374,'Metabase Lookup'!$A:$A,0))="","Pending",INDEX('Metabase Lookup'!$C:$C,MATCH(B374,'Metabase Lookup'!$A:$A,0))))</f>
        <v/>
      </c>
      <c r="X374" s="14">
        <f>IF(ISNA(MATCH(B374,'Metabase Lookup'!$A:$A,0)),"",IF(INDEX('Metabase Lookup'!$D:$D,MATCH(B374,'Metabase Lookup'!$A:$A,0))="","",INDEX('Metabase Lookup'!$D:$D,MATCH(B374,'Metabase Lookup'!$A:$A,0))))</f>
        <v/>
      </c>
      <c r="Y374" s="14">
        <f>IF(ISNUMBER(W374),IF(W374&gt;0,"Yes","No"),"Pending")</f>
        <v/>
      </c>
      <c r="Z374" s="14" t="inlineStr">
        <is>
          <t>TID had stray spaces/line breaks (cleaned)</t>
        </is>
      </c>
    </row>
    <row r="375">
      <c r="A375" s="14" t="n">
        <v>374</v>
      </c>
      <c r="B375" s="14" t="inlineStr">
        <is>
          <t>AMNV005965607</t>
        </is>
      </c>
      <c r="C375" s="15" t="inlineStr">
        <is>
          <t>266892688596</t>
        </is>
      </c>
      <c r="D375" s="16" t="n">
        <v>46290.42657407407</v>
      </c>
      <c r="E375" s="17" t="n">
        <v>46290</v>
      </c>
      <c r="F375" s="14" t="inlineStr">
        <is>
          <t>Fri</t>
        </is>
      </c>
      <c r="G375" s="14" t="inlineStr">
        <is>
          <t>Northern</t>
        </is>
      </c>
      <c r="H375" s="14" t="inlineStr">
        <is>
          <t>JIT</t>
        </is>
      </c>
      <c r="I375" s="14" t="inlineStr">
        <is>
          <t>JIT - OPS - HUBJITRA</t>
        </is>
      </c>
      <c r="J375" s="14" t="inlineStr">
        <is>
          <t>OPS (generic hub account)</t>
        </is>
      </c>
      <c r="K375" s="14" t="inlineStr">
        <is>
          <t>91868772</t>
        </is>
      </c>
      <c r="L375" s="14" t="n">
        <v>1</v>
      </c>
      <c r="M375" s="14" t="inlineStr">
        <is>
          <t>LM</t>
        </is>
      </c>
      <c r="N375" s="14" t="inlineStr">
        <is>
          <t>Fake Fail</t>
        </is>
      </c>
      <c r="O375" s="14" t="inlineStr">
        <is>
          <t>Invalid call log (unspecified)</t>
        </is>
      </c>
      <c r="P375" s="14" t="inlineStr">
        <is>
          <t>No</t>
        </is>
      </c>
      <c r="Q375" s="14" t="inlineStr">
        <is>
          <t>No</t>
        </is>
      </c>
      <c r="R375" s="14" t="inlineStr">
        <is>
          <t>invalid call log provided</t>
        </is>
      </c>
      <c r="S375" s="14" t="inlineStr">
        <is>
          <t>Hartini</t>
        </is>
      </c>
      <c r="T375" s="14">
        <f>COUNTIF($B$2:$B$499,B375)</f>
        <v/>
      </c>
      <c r="U375" s="14">
        <f>COUNTIF($I$2:$I$499,I375)</f>
        <v/>
      </c>
      <c r="V375" s="14">
        <f>IF(ISNA(MATCH(B375,'Metabase Lookup'!$A:$A,0)),"Not found",IF(INDEX('Metabase Lookup'!$B:$B,MATCH(B375,'Metabase Lookup'!$A:$A,0))="","Pending",INDEX('Metabase Lookup'!$B:$B,MATCH(B375,'Metabase Lookup'!$A:$A,0))))</f>
        <v/>
      </c>
      <c r="W375" s="14">
        <f>IF(ISNA(MATCH(B375,'Metabase Lookup'!$A:$A,0)),"Not found",IF(INDEX('Metabase Lookup'!$C:$C,MATCH(B375,'Metabase Lookup'!$A:$A,0))="","Pending",INDEX('Metabase Lookup'!$C:$C,MATCH(B375,'Metabase Lookup'!$A:$A,0))))</f>
        <v/>
      </c>
      <c r="X375" s="14">
        <f>IF(ISNA(MATCH(B375,'Metabase Lookup'!$A:$A,0)),"",IF(INDEX('Metabase Lookup'!$D:$D,MATCH(B375,'Metabase Lookup'!$A:$A,0))="","",INDEX('Metabase Lookup'!$D:$D,MATCH(B375,'Metabase Lookup'!$A:$A,0))))</f>
        <v/>
      </c>
      <c r="Y375" s="14">
        <f>IF(ISNUMBER(W375),IF(W375&gt;0,"Yes","No"),"Pending")</f>
        <v/>
      </c>
      <c r="Z375" s="14" t="inlineStr">
        <is>
          <t>Driver not identified (OPS account)</t>
        </is>
      </c>
    </row>
    <row r="376">
      <c r="A376" s="14" t="n">
        <v>375</v>
      </c>
      <c r="B376" s="14" t="inlineStr">
        <is>
          <t>KLNNBR004925</t>
        </is>
      </c>
      <c r="C376" s="15" t="inlineStr">
        <is>
          <t>265942682492</t>
        </is>
      </c>
      <c r="D376" s="16" t="n">
        <v>46290.42673611111</v>
      </c>
      <c r="E376" s="17" t="n">
        <v>46290</v>
      </c>
      <c r="F376" s="14" t="inlineStr">
        <is>
          <t>Fri</t>
        </is>
      </c>
      <c r="G376" s="14" t="inlineStr">
        <is>
          <t>Northern</t>
        </is>
      </c>
      <c r="H376" s="14" t="inlineStr">
        <is>
          <t>GEO</t>
        </is>
      </c>
      <c r="I376" s="14" t="inlineStr">
        <is>
          <t>GEO - MES - ANWAR</t>
        </is>
      </c>
      <c r="J376" s="14" t="inlineStr">
        <is>
          <t>Other coded</t>
        </is>
      </c>
      <c r="K376" s="14" t="inlineStr">
        <is>
          <t>91874827</t>
        </is>
      </c>
      <c r="L376" s="14" t="n">
        <v>1</v>
      </c>
      <c r="M376" s="14" t="inlineStr">
        <is>
          <t>LM</t>
        </is>
      </c>
      <c r="N376" s="14" t="inlineStr">
        <is>
          <t>Failed pick-up</t>
        </is>
      </c>
      <c r="O376" s="14" t="inlineStr"/>
      <c r="P376" s="14" t="inlineStr"/>
      <c r="Q376" s="14" t="inlineStr"/>
      <c r="R376" s="14" t="inlineStr">
        <is>
          <t>POD invalid - no call log</t>
        </is>
      </c>
      <c r="S376" s="14" t="inlineStr">
        <is>
          <t>Syafiq</t>
        </is>
      </c>
      <c r="T376" s="14">
        <f>COUNTIF($B$2:$B$499,B376)</f>
        <v/>
      </c>
      <c r="U376" s="14">
        <f>COUNTIF($I$2:$I$499,I376)</f>
        <v/>
      </c>
      <c r="V376" s="14">
        <f>IF(ISNA(MATCH(B376,'Metabase Lookup'!$A:$A,0)),"Not found",IF(INDEX('Metabase Lookup'!$B:$B,MATCH(B376,'Metabase Lookup'!$A:$A,0))="","Pending",INDEX('Metabase Lookup'!$B:$B,MATCH(B376,'Metabase Lookup'!$A:$A,0))))</f>
        <v/>
      </c>
      <c r="W376" s="14">
        <f>IF(ISNA(MATCH(B376,'Metabase Lookup'!$A:$A,0)),"Not found",IF(INDEX('Metabase Lookup'!$C:$C,MATCH(B376,'Metabase Lookup'!$A:$A,0))="","Pending",INDEX('Metabase Lookup'!$C:$C,MATCH(B376,'Metabase Lookup'!$A:$A,0))))</f>
        <v/>
      </c>
      <c r="X376" s="14">
        <f>IF(ISNA(MATCH(B376,'Metabase Lookup'!$A:$A,0)),"",IF(INDEX('Metabase Lookup'!$D:$D,MATCH(B376,'Metabase Lookup'!$A:$A,0))="","",INDEX('Metabase Lookup'!$D:$D,MATCH(B376,'Metabase Lookup'!$A:$A,0))))</f>
        <v/>
      </c>
      <c r="Y376" s="14">
        <f>IF(ISNUMBER(W376),IF(W376&gt;0,"Yes","No"),"Pending")</f>
        <v/>
      </c>
      <c r="Z376" s="14" t="inlineStr"/>
    </row>
    <row r="377">
      <c r="A377" s="14" t="n">
        <v>376</v>
      </c>
      <c r="B377" s="14" t="inlineStr">
        <is>
          <t>NVMYDOCMY000089342</t>
        </is>
      </c>
      <c r="C377" s="15" t="inlineStr">
        <is>
          <t>266532681084</t>
        </is>
      </c>
      <c r="D377" s="16" t="n">
        <v>46290.4272337963</v>
      </c>
      <c r="E377" s="17" t="n">
        <v>46290</v>
      </c>
      <c r="F377" s="14" t="inlineStr">
        <is>
          <t>Fri</t>
        </is>
      </c>
      <c r="G377" s="14" t="inlineStr">
        <is>
          <t>KV</t>
        </is>
      </c>
      <c r="H377" s="14" t="inlineStr">
        <is>
          <t>BTR</t>
        </is>
      </c>
      <c r="I377" s="14" t="inlineStr">
        <is>
          <t>OPS - BTR</t>
        </is>
      </c>
      <c r="J377" s="14" t="inlineStr">
        <is>
          <t>OPS (generic hub account)</t>
        </is>
      </c>
      <c r="K377" s="14" t="inlineStr">
        <is>
          <t>91856223</t>
        </is>
      </c>
      <c r="L377" s="14" t="n">
        <v>1</v>
      </c>
      <c r="M377" s="14" t="inlineStr">
        <is>
          <t>LM</t>
        </is>
      </c>
      <c r="N377" s="14" t="inlineStr">
        <is>
          <t>Fake Fail</t>
        </is>
      </c>
      <c r="O377" s="14" t="inlineStr">
        <is>
          <t>No call / call log missing</t>
        </is>
      </c>
      <c r="P377" s="14" t="inlineStr">
        <is>
          <t>No</t>
        </is>
      </c>
      <c r="Q377" s="14" t="inlineStr">
        <is>
          <t>No</t>
        </is>
      </c>
      <c r="R377" s="14" t="inlineStr">
        <is>
          <t>POD invalid - no call / WS</t>
        </is>
      </c>
      <c r="S377" s="14" t="inlineStr">
        <is>
          <t>Syafiq</t>
        </is>
      </c>
      <c r="T377" s="14">
        <f>COUNTIF($B$2:$B$499,B377)</f>
        <v/>
      </c>
      <c r="U377" s="14">
        <f>COUNTIF($I$2:$I$499,I377)</f>
        <v/>
      </c>
      <c r="V377" s="14">
        <f>IF(ISNA(MATCH(B377,'Metabase Lookup'!$A:$A,0)),"Not found",IF(INDEX('Metabase Lookup'!$B:$B,MATCH(B377,'Metabase Lookup'!$A:$A,0))="","Pending",INDEX('Metabase Lookup'!$B:$B,MATCH(B377,'Metabase Lookup'!$A:$A,0))))</f>
        <v/>
      </c>
      <c r="W377" s="14">
        <f>IF(ISNA(MATCH(B377,'Metabase Lookup'!$A:$A,0)),"Not found",IF(INDEX('Metabase Lookup'!$C:$C,MATCH(B377,'Metabase Lookup'!$A:$A,0))="","Pending",INDEX('Metabase Lookup'!$C:$C,MATCH(B377,'Metabase Lookup'!$A:$A,0))))</f>
        <v/>
      </c>
      <c r="X377" s="14">
        <f>IF(ISNA(MATCH(B377,'Metabase Lookup'!$A:$A,0)),"",IF(INDEX('Metabase Lookup'!$D:$D,MATCH(B377,'Metabase Lookup'!$A:$A,0))="","",INDEX('Metabase Lookup'!$D:$D,MATCH(B377,'Metabase Lookup'!$A:$A,0))))</f>
        <v/>
      </c>
      <c r="Y377" s="14">
        <f>IF(ISNUMBER(W377),IF(W377&gt;0,"Yes","No"),"Pending")</f>
        <v/>
      </c>
      <c r="Z377" s="14" t="inlineStr">
        <is>
          <t>TID had stray spaces/line breaks (cleaned); Driver not identified (OPS account)</t>
        </is>
      </c>
    </row>
    <row r="378">
      <c r="A378" s="14" t="n">
        <v>377</v>
      </c>
      <c r="B378" s="14" t="inlineStr">
        <is>
          <t>NVMYDRSMG000046536</t>
        </is>
      </c>
      <c r="C378" s="15" t="inlineStr">
        <is>
          <t>269742689780</t>
        </is>
      </c>
      <c r="D378" s="16" t="n">
        <v>46290.43109953704</v>
      </c>
      <c r="E378" s="17" t="n">
        <v>46290</v>
      </c>
      <c r="F378" s="14" t="inlineStr">
        <is>
          <t>Fri</t>
        </is>
      </c>
      <c r="G378" s="14" t="inlineStr">
        <is>
          <t>Southern</t>
        </is>
      </c>
      <c r="H378" s="14" t="inlineStr">
        <is>
          <t>KEM</t>
        </is>
      </c>
      <c r="I378" s="14" t="inlineStr">
        <is>
          <t>OPS - KEM</t>
        </is>
      </c>
      <c r="J378" s="14" t="inlineStr">
        <is>
          <t>OPS (generic hub account)</t>
        </is>
      </c>
      <c r="K378" s="14" t="inlineStr">
        <is>
          <t>91883290</t>
        </is>
      </c>
      <c r="L378" s="14" t="n">
        <v>1</v>
      </c>
      <c r="M378" s="14" t="inlineStr">
        <is>
          <t>LM</t>
        </is>
      </c>
      <c r="N378" s="14" t="inlineStr">
        <is>
          <t>Fake Fail</t>
        </is>
      </c>
      <c r="O378" s="14" t="inlineStr">
        <is>
          <t>Customer disputes attempt</t>
        </is>
      </c>
      <c r="P378" s="14" t="inlineStr">
        <is>
          <t>No</t>
        </is>
      </c>
      <c r="Q378" s="14" t="inlineStr">
        <is>
          <t>No</t>
        </is>
      </c>
      <c r="R378" s="14" t="inlineStr">
        <is>
          <t>cust did not receive any call</t>
        </is>
      </c>
      <c r="S378" s="14" t="inlineStr">
        <is>
          <t>Hartini</t>
        </is>
      </c>
      <c r="T378" s="14">
        <f>COUNTIF($B$2:$B$499,B378)</f>
        <v/>
      </c>
      <c r="U378" s="14">
        <f>COUNTIF($I$2:$I$499,I378)</f>
        <v/>
      </c>
      <c r="V378" s="14">
        <f>IF(ISNA(MATCH(B378,'Metabase Lookup'!$A:$A,0)),"Not found",IF(INDEX('Metabase Lookup'!$B:$B,MATCH(B378,'Metabase Lookup'!$A:$A,0))="","Pending",INDEX('Metabase Lookup'!$B:$B,MATCH(B378,'Metabase Lookup'!$A:$A,0))))</f>
        <v/>
      </c>
      <c r="W378" s="14">
        <f>IF(ISNA(MATCH(B378,'Metabase Lookup'!$A:$A,0)),"Not found",IF(INDEX('Metabase Lookup'!$C:$C,MATCH(B378,'Metabase Lookup'!$A:$A,0))="","Pending",INDEX('Metabase Lookup'!$C:$C,MATCH(B378,'Metabase Lookup'!$A:$A,0))))</f>
        <v/>
      </c>
      <c r="X378" s="14">
        <f>IF(ISNA(MATCH(B378,'Metabase Lookup'!$A:$A,0)),"",IF(INDEX('Metabase Lookup'!$D:$D,MATCH(B378,'Metabase Lookup'!$A:$A,0))="","",INDEX('Metabase Lookup'!$D:$D,MATCH(B378,'Metabase Lookup'!$A:$A,0))))</f>
        <v/>
      </c>
      <c r="Y378" s="14">
        <f>IF(ISNUMBER(W378),IF(W378&gt;0,"Yes","No"),"Pending")</f>
        <v/>
      </c>
      <c r="Z378" s="14" t="inlineStr">
        <is>
          <t>Driver not identified (OPS account)</t>
        </is>
      </c>
    </row>
    <row r="379">
      <c r="A379" s="14" t="n">
        <v>378</v>
      </c>
      <c r="B379" s="14" t="inlineStr">
        <is>
          <t>NVMYN4TUP000000653-001</t>
        </is>
      </c>
      <c r="C379" s="15" t="inlineStr">
        <is>
          <t>268992678907</t>
        </is>
      </c>
      <c r="D379" s="16" t="n">
        <v>46290.43189814815</v>
      </c>
      <c r="E379" s="17" t="n">
        <v>46290</v>
      </c>
      <c r="F379" s="14" t="inlineStr">
        <is>
          <t>Fri</t>
        </is>
      </c>
      <c r="G379" s="14" t="inlineStr">
        <is>
          <t>Southern</t>
        </is>
      </c>
      <c r="H379" s="14" t="inlineStr">
        <is>
          <t>CC-JHB</t>
        </is>
      </c>
      <c r="I379" s="14" t="inlineStr">
        <is>
          <t>CC - JHB - DEL - Adzmi Samad</t>
        </is>
      </c>
      <c r="J379" s="14" t="inlineStr">
        <is>
          <t>Other coded</t>
        </is>
      </c>
      <c r="K379" s="14" t="inlineStr">
        <is>
          <t>91880791</t>
        </is>
      </c>
      <c r="L379" s="14" t="n">
        <v>1</v>
      </c>
      <c r="M379" s="14" t="inlineStr">
        <is>
          <t>Cold Chain (CC)</t>
        </is>
      </c>
      <c r="N379" s="14" t="inlineStr">
        <is>
          <t>Deliver to Wrong Address</t>
        </is>
      </c>
      <c r="O379" s="14" t="inlineStr"/>
      <c r="P379" s="14" t="inlineStr"/>
      <c r="Q379" s="14" t="inlineStr"/>
      <c r="R379" s="14" t="inlineStr">
        <is>
          <t>Driver delivered the parcel to the wrong address. After the complaint was raised, the driver retrieved it and redelivered it to the correct address.</t>
        </is>
      </c>
      <c r="S379" s="14" t="inlineStr">
        <is>
          <t>Huzair</t>
        </is>
      </c>
      <c r="T379" s="14">
        <f>COUNTIF($B$2:$B$499,B379)</f>
        <v/>
      </c>
      <c r="U379" s="14">
        <f>COUNTIF($I$2:$I$499,I379)</f>
        <v/>
      </c>
      <c r="V379" s="14">
        <f>IF(ISNA(MATCH(B379,'Metabase Lookup'!$A:$A,0)),"Not found",IF(INDEX('Metabase Lookup'!$B:$B,MATCH(B379,'Metabase Lookup'!$A:$A,0))="","Pending",INDEX('Metabase Lookup'!$B:$B,MATCH(B379,'Metabase Lookup'!$A:$A,0))))</f>
        <v/>
      </c>
      <c r="W379" s="14">
        <f>IF(ISNA(MATCH(B379,'Metabase Lookup'!$A:$A,0)),"Not found",IF(INDEX('Metabase Lookup'!$C:$C,MATCH(B379,'Metabase Lookup'!$A:$A,0))="","Pending",INDEX('Metabase Lookup'!$C:$C,MATCH(B379,'Metabase Lookup'!$A:$A,0))))</f>
        <v/>
      </c>
      <c r="X379" s="14">
        <f>IF(ISNA(MATCH(B379,'Metabase Lookup'!$A:$A,0)),"",IF(INDEX('Metabase Lookup'!$D:$D,MATCH(B379,'Metabase Lookup'!$A:$A,0))="","",INDEX('Metabase Lookup'!$D:$D,MATCH(B379,'Metabase Lookup'!$A:$A,0))))</f>
        <v/>
      </c>
      <c r="Y379" s="14">
        <f>IF(ISNUMBER(W379),IF(W379&gt;0,"Yes","No"),"Pending")</f>
        <v/>
      </c>
      <c r="Z379" s="14" t="inlineStr"/>
    </row>
    <row r="380">
      <c r="A380" s="14" t="n">
        <v>379</v>
      </c>
      <c r="B380" s="14" t="inlineStr">
        <is>
          <t>MYNJV70058725648</t>
        </is>
      </c>
      <c r="C380" s="15" t="inlineStr">
        <is>
          <t>268842688833</t>
        </is>
      </c>
      <c r="D380" s="16" t="n">
        <v>46290.43248842593</v>
      </c>
      <c r="E380" s="17" t="n">
        <v>46290</v>
      </c>
      <c r="F380" s="14" t="inlineStr">
        <is>
          <t>Fri</t>
        </is>
      </c>
      <c r="G380" s="14" t="inlineStr">
        <is>
          <t>Southern</t>
        </is>
      </c>
      <c r="H380" s="14" t="inlineStr">
        <is>
          <t>BPT</t>
        </is>
      </c>
      <c r="I380" s="14" t="inlineStr">
        <is>
          <t>OPS - BPT</t>
        </is>
      </c>
      <c r="J380" s="14" t="inlineStr">
        <is>
          <t>OPS (generic hub account)</t>
        </is>
      </c>
      <c r="K380" s="14" t="inlineStr">
        <is>
          <t>91881203</t>
        </is>
      </c>
      <c r="L380" s="14" t="n">
        <v>1</v>
      </c>
      <c r="M380" s="14" t="inlineStr">
        <is>
          <t>LM</t>
        </is>
      </c>
      <c r="N380" s="14" t="inlineStr">
        <is>
          <t>Fake Fail</t>
        </is>
      </c>
      <c r="O380" s="14" t="inlineStr">
        <is>
          <t>Invalid POD (no detail)</t>
        </is>
      </c>
      <c r="P380" s="14" t="inlineStr">
        <is>
          <t>No</t>
        </is>
      </c>
      <c r="Q380" s="14" t="inlineStr">
        <is>
          <t>No</t>
        </is>
      </c>
      <c r="R380" s="14" t="inlineStr">
        <is>
          <t>POD not customer address - not receved call</t>
        </is>
      </c>
      <c r="S380" s="14" t="inlineStr">
        <is>
          <t>Syafiq</t>
        </is>
      </c>
      <c r="T380" s="14">
        <f>COUNTIF($B$2:$B$499,B380)</f>
        <v/>
      </c>
      <c r="U380" s="14">
        <f>COUNTIF($I$2:$I$499,I380)</f>
        <v/>
      </c>
      <c r="V380" s="14">
        <f>IF(ISNA(MATCH(B380,'Metabase Lookup'!$A:$A,0)),"Not found",IF(INDEX('Metabase Lookup'!$B:$B,MATCH(B380,'Metabase Lookup'!$A:$A,0))="","Pending",INDEX('Metabase Lookup'!$B:$B,MATCH(B380,'Metabase Lookup'!$A:$A,0))))</f>
        <v/>
      </c>
      <c r="W380" s="14">
        <f>IF(ISNA(MATCH(B380,'Metabase Lookup'!$A:$A,0)),"Not found",IF(INDEX('Metabase Lookup'!$C:$C,MATCH(B380,'Metabase Lookup'!$A:$A,0))="","Pending",INDEX('Metabase Lookup'!$C:$C,MATCH(B380,'Metabase Lookup'!$A:$A,0))))</f>
        <v/>
      </c>
      <c r="X380" s="14">
        <f>IF(ISNA(MATCH(B380,'Metabase Lookup'!$A:$A,0)),"",IF(INDEX('Metabase Lookup'!$D:$D,MATCH(B380,'Metabase Lookup'!$A:$A,0))="","",INDEX('Metabase Lookup'!$D:$D,MATCH(B380,'Metabase Lookup'!$A:$A,0))))</f>
        <v/>
      </c>
      <c r="Y380" s="14">
        <f>IF(ISNUMBER(W380),IF(W380&gt;0,"Yes","No"),"Pending")</f>
        <v/>
      </c>
      <c r="Z380" s="14" t="inlineStr">
        <is>
          <t>TID had stray spaces/line breaks (cleaned); Driver not identified (OPS account)</t>
        </is>
      </c>
    </row>
    <row r="381">
      <c r="A381" s="14" t="n">
        <v>380</v>
      </c>
      <c r="B381" s="14" t="inlineStr">
        <is>
          <t>NVMYPKGRO000003879</t>
        </is>
      </c>
      <c r="C381" s="15" t="inlineStr">
        <is>
          <t>267602683984</t>
        </is>
      </c>
      <c r="D381" s="16" t="n">
        <v>46290.43832175926</v>
      </c>
      <c r="E381" s="17" t="n">
        <v>46290</v>
      </c>
      <c r="F381" s="14" t="inlineStr">
        <is>
          <t>Fri</t>
        </is>
      </c>
      <c r="G381" s="14" t="inlineStr">
        <is>
          <t>Southern</t>
        </is>
      </c>
      <c r="H381" s="14" t="inlineStr">
        <is>
          <t>PSG</t>
        </is>
      </c>
      <c r="I381" s="14" t="inlineStr">
        <is>
          <t>PSG - OPS</t>
        </is>
      </c>
      <c r="J381" s="14" t="inlineStr">
        <is>
          <t>OPS (generic hub account)</t>
        </is>
      </c>
      <c r="K381" s="14" t="inlineStr">
        <is>
          <t>91875748</t>
        </is>
      </c>
      <c r="L381" s="14" t="n">
        <v>1</v>
      </c>
      <c r="M381" s="14" t="inlineStr">
        <is>
          <t>LM</t>
        </is>
      </c>
      <c r="N381" s="14" t="inlineStr">
        <is>
          <t>Fake Fail</t>
        </is>
      </c>
      <c r="O381" s="14" t="inlineStr">
        <is>
          <t>Invalid call log (unspecified)</t>
        </is>
      </c>
      <c r="P381" s="14" t="inlineStr">
        <is>
          <t>Yes</t>
        </is>
      </c>
      <c r="Q381" s="14" t="inlineStr">
        <is>
          <t>No</t>
        </is>
      </c>
      <c r="R381" s="14" t="inlineStr">
        <is>
          <t>no valid call log and no photo of location provided</t>
        </is>
      </c>
      <c r="S381" s="14" t="inlineStr">
        <is>
          <t>Naveen</t>
        </is>
      </c>
      <c r="T381" s="14">
        <f>COUNTIF($B$2:$B$499,B381)</f>
        <v/>
      </c>
      <c r="U381" s="14">
        <f>COUNTIF($I$2:$I$499,I381)</f>
        <v/>
      </c>
      <c r="V381" s="14">
        <f>IF(ISNA(MATCH(B381,'Metabase Lookup'!$A:$A,0)),"Not found",IF(INDEX('Metabase Lookup'!$B:$B,MATCH(B381,'Metabase Lookup'!$A:$A,0))="","Pending",INDEX('Metabase Lookup'!$B:$B,MATCH(B381,'Metabase Lookup'!$A:$A,0))))</f>
        <v/>
      </c>
      <c r="W381" s="14">
        <f>IF(ISNA(MATCH(B381,'Metabase Lookup'!$A:$A,0)),"Not found",IF(INDEX('Metabase Lookup'!$C:$C,MATCH(B381,'Metabase Lookup'!$A:$A,0))="","Pending",INDEX('Metabase Lookup'!$C:$C,MATCH(B381,'Metabase Lookup'!$A:$A,0))))</f>
        <v/>
      </c>
      <c r="X381" s="14">
        <f>IF(ISNA(MATCH(B381,'Metabase Lookup'!$A:$A,0)),"",IF(INDEX('Metabase Lookup'!$D:$D,MATCH(B381,'Metabase Lookup'!$A:$A,0))="","",INDEX('Metabase Lookup'!$D:$D,MATCH(B381,'Metabase Lookup'!$A:$A,0))))</f>
        <v/>
      </c>
      <c r="Y381" s="14">
        <f>IF(ISNUMBER(W381),IF(W381&gt;0,"Yes","No"),"Pending")</f>
        <v/>
      </c>
      <c r="Z381" s="14" t="inlineStr">
        <is>
          <t>Driver not identified (OPS account)</t>
        </is>
      </c>
    </row>
    <row r="382">
      <c r="A382" s="14" t="n">
        <v>381</v>
      </c>
      <c r="B382" s="14" t="inlineStr">
        <is>
          <t>NVMYDOCMY000089617</t>
        </is>
      </c>
      <c r="C382" s="15" t="inlineStr">
        <is>
          <t>266522679650</t>
        </is>
      </c>
      <c r="D382" s="16" t="n">
        <v>46290.44247685185</v>
      </c>
      <c r="E382" s="17" t="n">
        <v>46290</v>
      </c>
      <c r="F382" s="14" t="inlineStr">
        <is>
          <t>Fri</t>
        </is>
      </c>
      <c r="G382" s="14" t="inlineStr">
        <is>
          <t>South West</t>
        </is>
      </c>
      <c r="H382" s="14" t="inlineStr">
        <is>
          <t>BHU</t>
        </is>
      </c>
      <c r="I382" s="14" t="inlineStr">
        <is>
          <t>BHU - ID - RAKESH</t>
        </is>
      </c>
      <c r="J382" s="14" t="inlineStr">
        <is>
          <t>ID (named driver)</t>
        </is>
      </c>
      <c r="K382" s="14" t="inlineStr">
        <is>
          <t>91884479</t>
        </is>
      </c>
      <c r="L382" s="14" t="n">
        <v>1</v>
      </c>
      <c r="M382" s="14" t="inlineStr">
        <is>
          <t>LM</t>
        </is>
      </c>
      <c r="N382" s="14" t="inlineStr">
        <is>
          <t>Fake Success</t>
        </is>
      </c>
      <c r="O382" s="14" t="inlineStr"/>
      <c r="P382" s="14" t="inlineStr"/>
      <c r="Q382" s="14" t="inlineStr"/>
      <c r="R382" s="14" t="inlineStr">
        <is>
          <t>Customer complained about not receiving the parcel despite the status showing as completed. The customer later received the parcel after raising the complaint.</t>
        </is>
      </c>
      <c r="S382" s="14" t="inlineStr">
        <is>
          <t>Huzair</t>
        </is>
      </c>
      <c r="T382" s="14">
        <f>COUNTIF($B$2:$B$499,B382)</f>
        <v/>
      </c>
      <c r="U382" s="14">
        <f>COUNTIF($I$2:$I$499,I382)</f>
        <v/>
      </c>
      <c r="V382" s="14">
        <f>IF(ISNA(MATCH(B382,'Metabase Lookup'!$A:$A,0)),"Not found",IF(INDEX('Metabase Lookup'!$B:$B,MATCH(B382,'Metabase Lookup'!$A:$A,0))="","Pending",INDEX('Metabase Lookup'!$B:$B,MATCH(B382,'Metabase Lookup'!$A:$A,0))))</f>
        <v/>
      </c>
      <c r="W382" s="14">
        <f>IF(ISNA(MATCH(B382,'Metabase Lookup'!$A:$A,0)),"Not found",IF(INDEX('Metabase Lookup'!$C:$C,MATCH(B382,'Metabase Lookup'!$A:$A,0))="","Pending",INDEX('Metabase Lookup'!$C:$C,MATCH(B382,'Metabase Lookup'!$A:$A,0))))</f>
        <v/>
      </c>
      <c r="X382" s="14">
        <f>IF(ISNA(MATCH(B382,'Metabase Lookup'!$A:$A,0)),"",IF(INDEX('Metabase Lookup'!$D:$D,MATCH(B382,'Metabase Lookup'!$A:$A,0))="","",INDEX('Metabase Lookup'!$D:$D,MATCH(B382,'Metabase Lookup'!$A:$A,0))))</f>
        <v/>
      </c>
      <c r="Y382" s="14">
        <f>IF(ISNUMBER(W382),IF(W382&gt;0,"Yes","No"),"Pending")</f>
        <v/>
      </c>
      <c r="Z382" s="14" t="inlineStr"/>
    </row>
    <row r="383">
      <c r="A383" s="14" t="n">
        <v>382</v>
      </c>
      <c r="B383" s="14" t="inlineStr">
        <is>
          <t>TNGDV2609106895983080</t>
        </is>
      </c>
      <c r="C383" s="15" t="inlineStr">
        <is>
          <t>269532641538</t>
        </is>
      </c>
      <c r="D383" s="16" t="n">
        <v>46290.44341435185</v>
      </c>
      <c r="E383" s="17" t="n">
        <v>46290</v>
      </c>
      <c r="F383" s="14" t="inlineStr">
        <is>
          <t>Fri</t>
        </is>
      </c>
      <c r="G383" s="14" t="inlineStr">
        <is>
          <t>East MY</t>
        </is>
      </c>
      <c r="H383" s="14" t="inlineStr">
        <is>
          <t>BKW</t>
        </is>
      </c>
      <c r="I383" s="14" t="inlineStr">
        <is>
          <t>BKW - ID - MAZUAN</t>
        </is>
      </c>
      <c r="J383" s="14" t="inlineStr">
        <is>
          <t>ID (named driver)</t>
        </is>
      </c>
      <c r="K383" s="14" t="inlineStr">
        <is>
          <t>91832692</t>
        </is>
      </c>
      <c r="L383" s="14" t="n">
        <v>1</v>
      </c>
      <c r="M383" s="14" t="inlineStr">
        <is>
          <t>LM</t>
        </is>
      </c>
      <c r="N383" s="14" t="inlineStr">
        <is>
          <t>Fake Success</t>
        </is>
      </c>
      <c r="O383" s="14" t="inlineStr"/>
      <c r="P383" s="14" t="inlineStr"/>
      <c r="Q383" s="14" t="inlineStr"/>
      <c r="R383" s="14" t="inlineStr">
        <is>
          <t>Completed 2026-09-18 but customer not received. POD invalid, done retrieve and customer received it after complaint lodge</t>
        </is>
      </c>
      <c r="S383" s="14" t="inlineStr">
        <is>
          <t>Syaza</t>
        </is>
      </c>
      <c r="T383" s="14">
        <f>COUNTIF($B$2:$B$499,B383)</f>
        <v/>
      </c>
      <c r="U383" s="14">
        <f>COUNTIF($I$2:$I$499,I383)</f>
        <v/>
      </c>
      <c r="V383" s="14">
        <f>IF(ISNA(MATCH(B383,'Metabase Lookup'!$A:$A,0)),"Not found",IF(INDEX('Metabase Lookup'!$B:$B,MATCH(B383,'Metabase Lookup'!$A:$A,0))="","Pending",INDEX('Metabase Lookup'!$B:$B,MATCH(B383,'Metabase Lookup'!$A:$A,0))))</f>
        <v/>
      </c>
      <c r="W383" s="14">
        <f>IF(ISNA(MATCH(B383,'Metabase Lookup'!$A:$A,0)),"Not found",IF(INDEX('Metabase Lookup'!$C:$C,MATCH(B383,'Metabase Lookup'!$A:$A,0))="","Pending",INDEX('Metabase Lookup'!$C:$C,MATCH(B383,'Metabase Lookup'!$A:$A,0))))</f>
        <v/>
      </c>
      <c r="X383" s="14">
        <f>IF(ISNA(MATCH(B383,'Metabase Lookup'!$A:$A,0)),"",IF(INDEX('Metabase Lookup'!$D:$D,MATCH(B383,'Metabase Lookup'!$A:$A,0))="","",INDEX('Metabase Lookup'!$D:$D,MATCH(B383,'Metabase Lookup'!$A:$A,0))))</f>
        <v/>
      </c>
      <c r="Y383" s="14">
        <f>IF(ISNUMBER(W383),IF(W383&gt;0,"Yes","No"),"Pending")</f>
        <v/>
      </c>
      <c r="Z383" s="14" t="inlineStr"/>
    </row>
    <row r="384">
      <c r="A384" s="14" t="n">
        <v>383</v>
      </c>
      <c r="B384" s="14" t="inlineStr">
        <is>
          <t>NVMYNINJA002526014</t>
        </is>
      </c>
      <c r="C384" s="15" t="inlineStr">
        <is>
          <t>261262684366</t>
        </is>
      </c>
      <c r="D384" s="16" t="n">
        <v>46290.45255787037</v>
      </c>
      <c r="E384" s="17" t="n">
        <v>46290</v>
      </c>
      <c r="F384" s="14" t="inlineStr">
        <is>
          <t>Fri</t>
        </is>
      </c>
      <c r="G384" s="14" t="inlineStr">
        <is>
          <t>KV</t>
        </is>
      </c>
      <c r="H384" s="14" t="inlineStr">
        <is>
          <t>OUG</t>
        </is>
      </c>
      <c r="I384" s="14" t="inlineStr">
        <is>
          <t>OPS - OUG</t>
        </is>
      </c>
      <c r="J384" s="14" t="inlineStr">
        <is>
          <t>OPS (generic hub account)</t>
        </is>
      </c>
      <c r="K384" s="14" t="inlineStr">
        <is>
          <t>91886123</t>
        </is>
      </c>
      <c r="L384" s="14" t="n">
        <v>1</v>
      </c>
      <c r="M384" s="14" t="inlineStr">
        <is>
          <t>LM</t>
        </is>
      </c>
      <c r="N384" s="14" t="inlineStr">
        <is>
          <t>Fake Fail</t>
        </is>
      </c>
      <c r="O384" s="14" t="inlineStr">
        <is>
          <t>Invalid call log (unspecified)</t>
        </is>
      </c>
      <c r="P384" s="14" t="inlineStr">
        <is>
          <t>Yes</t>
        </is>
      </c>
      <c r="Q384" s="14" t="inlineStr">
        <is>
          <t>No</t>
        </is>
      </c>
      <c r="R384" s="14" t="inlineStr">
        <is>
          <t>invalid call log and invalid Photo of location</t>
        </is>
      </c>
      <c r="S384" s="14" t="inlineStr">
        <is>
          <t>Naveen</t>
        </is>
      </c>
      <c r="T384" s="14">
        <f>COUNTIF($B$2:$B$499,B384)</f>
        <v/>
      </c>
      <c r="U384" s="14">
        <f>COUNTIF($I$2:$I$499,I384)</f>
        <v/>
      </c>
      <c r="V384" s="14">
        <f>IF(ISNA(MATCH(B384,'Metabase Lookup'!$A:$A,0)),"Not found",IF(INDEX('Metabase Lookup'!$B:$B,MATCH(B384,'Metabase Lookup'!$A:$A,0))="","Pending",INDEX('Metabase Lookup'!$B:$B,MATCH(B384,'Metabase Lookup'!$A:$A,0))))</f>
        <v/>
      </c>
      <c r="W384" s="14">
        <f>IF(ISNA(MATCH(B384,'Metabase Lookup'!$A:$A,0)),"Not found",IF(INDEX('Metabase Lookup'!$C:$C,MATCH(B384,'Metabase Lookup'!$A:$A,0))="","Pending",INDEX('Metabase Lookup'!$C:$C,MATCH(B384,'Metabase Lookup'!$A:$A,0))))</f>
        <v/>
      </c>
      <c r="X384" s="14">
        <f>IF(ISNA(MATCH(B384,'Metabase Lookup'!$A:$A,0)),"",IF(INDEX('Metabase Lookup'!$D:$D,MATCH(B384,'Metabase Lookup'!$A:$A,0))="","",INDEX('Metabase Lookup'!$D:$D,MATCH(B384,'Metabase Lookup'!$A:$A,0))))</f>
        <v/>
      </c>
      <c r="Y384" s="14">
        <f>IF(ISNUMBER(W384),IF(W384&gt;0,"Yes","No"),"Pending")</f>
        <v/>
      </c>
      <c r="Z384" s="14" t="inlineStr">
        <is>
          <t>Driver not identified (OPS account)</t>
        </is>
      </c>
    </row>
    <row r="385">
      <c r="A385" s="14" t="n">
        <v>384</v>
      </c>
      <c r="B385" s="14" t="inlineStr">
        <is>
          <t>NVMYHVMJB0316698CC</t>
        </is>
      </c>
      <c r="C385" s="15" t="inlineStr">
        <is>
          <t>262412681435</t>
        </is>
      </c>
      <c r="D385" s="16" t="n">
        <v>46290.45969907408</v>
      </c>
      <c r="E385" s="17" t="n">
        <v>46290</v>
      </c>
      <c r="F385" s="14" t="inlineStr">
        <is>
          <t>Fri</t>
        </is>
      </c>
      <c r="G385" s="14" t="inlineStr">
        <is>
          <t>Southern</t>
        </is>
      </c>
      <c r="H385" s="14" t="inlineStr">
        <is>
          <t>NSJ</t>
        </is>
      </c>
      <c r="I385" s="14" t="inlineStr">
        <is>
          <t>OPS - NSJ</t>
        </is>
      </c>
      <c r="J385" s="14" t="inlineStr">
        <is>
          <t>OPS (generic hub account)</t>
        </is>
      </c>
      <c r="K385" s="14" t="inlineStr">
        <is>
          <t>91874449</t>
        </is>
      </c>
      <c r="L385" s="14" t="n">
        <v>1</v>
      </c>
      <c r="M385" s="14" t="inlineStr">
        <is>
          <t>LM</t>
        </is>
      </c>
      <c r="N385" s="14" t="inlineStr">
        <is>
          <t>Fake Fail</t>
        </is>
      </c>
      <c r="O385" s="14" t="inlineStr">
        <is>
          <t>No call / call log missing</t>
        </is>
      </c>
      <c r="P385" s="14" t="inlineStr">
        <is>
          <t>Yes</t>
        </is>
      </c>
      <c r="Q385" s="14" t="inlineStr">
        <is>
          <t>No</t>
        </is>
      </c>
      <c r="R385" s="14" t="inlineStr">
        <is>
          <t>No call log and photo of location provided</t>
        </is>
      </c>
      <c r="S385" s="14" t="inlineStr">
        <is>
          <t>Naveen</t>
        </is>
      </c>
      <c r="T385" s="14">
        <f>COUNTIF($B$2:$B$499,B385)</f>
        <v/>
      </c>
      <c r="U385" s="14">
        <f>COUNTIF($I$2:$I$499,I385)</f>
        <v/>
      </c>
      <c r="V385" s="14">
        <f>IF(ISNA(MATCH(B385,'Metabase Lookup'!$A:$A,0)),"Not found",IF(INDEX('Metabase Lookup'!$B:$B,MATCH(B385,'Metabase Lookup'!$A:$A,0))="","Pending",INDEX('Metabase Lookup'!$B:$B,MATCH(B385,'Metabase Lookup'!$A:$A,0))))</f>
        <v/>
      </c>
      <c r="W385" s="14">
        <f>IF(ISNA(MATCH(B385,'Metabase Lookup'!$A:$A,0)),"Not found",IF(INDEX('Metabase Lookup'!$C:$C,MATCH(B385,'Metabase Lookup'!$A:$A,0))="","Pending",INDEX('Metabase Lookup'!$C:$C,MATCH(B385,'Metabase Lookup'!$A:$A,0))))</f>
        <v/>
      </c>
      <c r="X385" s="14">
        <f>IF(ISNA(MATCH(B385,'Metabase Lookup'!$A:$A,0)),"",IF(INDEX('Metabase Lookup'!$D:$D,MATCH(B385,'Metabase Lookup'!$A:$A,0))="","",INDEX('Metabase Lookup'!$D:$D,MATCH(B385,'Metabase Lookup'!$A:$A,0))))</f>
        <v/>
      </c>
      <c r="Y385" s="14">
        <f>IF(ISNUMBER(W385),IF(W385&gt;0,"Yes","No"),"Pending")</f>
        <v/>
      </c>
      <c r="Z385" s="14" t="inlineStr">
        <is>
          <t>Driver not identified (OPS account)</t>
        </is>
      </c>
    </row>
    <row r="386">
      <c r="A386" s="14" t="n">
        <v>385</v>
      </c>
      <c r="B386" s="14" t="inlineStr">
        <is>
          <t>NVMYNINJA002503781</t>
        </is>
      </c>
      <c r="C386" s="15" t="inlineStr">
        <is>
          <t>268892682892</t>
        </is>
      </c>
      <c r="D386" s="16" t="n">
        <v>46290.46907407408</v>
      </c>
      <c r="E386" s="17" t="n">
        <v>46290</v>
      </c>
      <c r="F386" s="14" t="inlineStr">
        <is>
          <t>Fri</t>
        </is>
      </c>
      <c r="G386" s="14" t="inlineStr">
        <is>
          <t>Northern</t>
        </is>
      </c>
      <c r="H386" s="14" t="inlineStr">
        <is>
          <t>BKM</t>
        </is>
      </c>
      <c r="I386" s="14" t="inlineStr">
        <is>
          <t>BKM - ID - FIKRI</t>
        </is>
      </c>
      <c r="J386" s="14" t="inlineStr">
        <is>
          <t>ID (named driver)</t>
        </is>
      </c>
      <c r="K386" s="14" t="inlineStr">
        <is>
          <t>91851116</t>
        </is>
      </c>
      <c r="L386" s="14" t="n">
        <v>1</v>
      </c>
      <c r="M386" s="14" t="inlineStr">
        <is>
          <t>LM</t>
        </is>
      </c>
      <c r="N386" s="14" t="inlineStr">
        <is>
          <t>Fake Fail</t>
        </is>
      </c>
      <c r="O386" s="14" t="inlineStr">
        <is>
          <t>Invalid POD (no detail)</t>
        </is>
      </c>
      <c r="P386" s="14" t="inlineStr">
        <is>
          <t>No</t>
        </is>
      </c>
      <c r="Q386" s="14" t="inlineStr">
        <is>
          <t>No</t>
        </is>
      </c>
      <c r="R386" s="14" t="inlineStr">
        <is>
          <t>Driver did not properly call and invalid POD</t>
        </is>
      </c>
      <c r="S386" s="14" t="inlineStr">
        <is>
          <t>Amir</t>
        </is>
      </c>
      <c r="T386" s="14">
        <f>COUNTIF($B$2:$B$499,B386)</f>
        <v/>
      </c>
      <c r="U386" s="14">
        <f>COUNTIF($I$2:$I$499,I386)</f>
        <v/>
      </c>
      <c r="V386" s="14">
        <f>IF(ISNA(MATCH(B386,'Metabase Lookup'!$A:$A,0)),"Not found",IF(INDEX('Metabase Lookup'!$B:$B,MATCH(B386,'Metabase Lookup'!$A:$A,0))="","Pending",INDEX('Metabase Lookup'!$B:$B,MATCH(B386,'Metabase Lookup'!$A:$A,0))))</f>
        <v/>
      </c>
      <c r="W386" s="14">
        <f>IF(ISNA(MATCH(B386,'Metabase Lookup'!$A:$A,0)),"Not found",IF(INDEX('Metabase Lookup'!$C:$C,MATCH(B386,'Metabase Lookup'!$A:$A,0))="","Pending",INDEX('Metabase Lookup'!$C:$C,MATCH(B386,'Metabase Lookup'!$A:$A,0))))</f>
        <v/>
      </c>
      <c r="X386" s="14">
        <f>IF(ISNA(MATCH(B386,'Metabase Lookup'!$A:$A,0)),"",IF(INDEX('Metabase Lookup'!$D:$D,MATCH(B386,'Metabase Lookup'!$A:$A,0))="","",INDEX('Metabase Lookup'!$D:$D,MATCH(B386,'Metabase Lookup'!$A:$A,0))))</f>
        <v/>
      </c>
      <c r="Y386" s="14">
        <f>IF(ISNUMBER(W386),IF(W386&gt;0,"Yes","No"),"Pending")</f>
        <v/>
      </c>
      <c r="Z386" s="14" t="inlineStr"/>
    </row>
    <row r="387">
      <c r="A387" s="14" t="n">
        <v>386</v>
      </c>
      <c r="B387" s="14" t="inlineStr">
        <is>
          <t>NVMYKEIMA000009699</t>
        </is>
      </c>
      <c r="C387" s="15" t="inlineStr">
        <is>
          <t>266312687939</t>
        </is>
      </c>
      <c r="D387" s="16" t="n">
        <v>46290.47263888889</v>
      </c>
      <c r="E387" s="17" t="n">
        <v>46290</v>
      </c>
      <c r="F387" s="14" t="inlineStr">
        <is>
          <t>Fri</t>
        </is>
      </c>
      <c r="G387" s="14" t="inlineStr">
        <is>
          <t>Southern</t>
        </is>
      </c>
      <c r="H387" s="14" t="inlineStr">
        <is>
          <t>KEM</t>
        </is>
      </c>
      <c r="I387" s="14" t="inlineStr">
        <is>
          <t>OPS - KEM</t>
        </is>
      </c>
      <c r="J387" s="14" t="inlineStr">
        <is>
          <t>OPS (generic hub account)</t>
        </is>
      </c>
      <c r="K387" s="14" t="inlineStr">
        <is>
          <t>91883290</t>
        </is>
      </c>
      <c r="L387" s="14" t="n">
        <v>1</v>
      </c>
      <c r="M387" s="14" t="inlineStr">
        <is>
          <t>LM</t>
        </is>
      </c>
      <c r="N387" s="14" t="inlineStr">
        <is>
          <t>Fake Fail</t>
        </is>
      </c>
      <c r="O387" s="14" t="inlineStr">
        <is>
          <t>No call / call log missing</t>
        </is>
      </c>
      <c r="P387" s="14" t="inlineStr">
        <is>
          <t>No</t>
        </is>
      </c>
      <c r="Q387" s="14" t="inlineStr">
        <is>
          <t>No</t>
        </is>
      </c>
      <c r="R387" s="14" t="inlineStr">
        <is>
          <t>No call log attached</t>
        </is>
      </c>
      <c r="S387" s="14" t="inlineStr">
        <is>
          <t>Wani</t>
        </is>
      </c>
      <c r="T387" s="14">
        <f>COUNTIF($B$2:$B$499,B387)</f>
        <v/>
      </c>
      <c r="U387" s="14">
        <f>COUNTIF($I$2:$I$499,I387)</f>
        <v/>
      </c>
      <c r="V387" s="14">
        <f>IF(ISNA(MATCH(B387,'Metabase Lookup'!$A:$A,0)),"Not found",IF(INDEX('Metabase Lookup'!$B:$B,MATCH(B387,'Metabase Lookup'!$A:$A,0))="","Pending",INDEX('Metabase Lookup'!$B:$B,MATCH(B387,'Metabase Lookup'!$A:$A,0))))</f>
        <v/>
      </c>
      <c r="W387" s="14">
        <f>IF(ISNA(MATCH(B387,'Metabase Lookup'!$A:$A,0)),"Not found",IF(INDEX('Metabase Lookup'!$C:$C,MATCH(B387,'Metabase Lookup'!$A:$A,0))="","Pending",INDEX('Metabase Lookup'!$C:$C,MATCH(B387,'Metabase Lookup'!$A:$A,0))))</f>
        <v/>
      </c>
      <c r="X387" s="14">
        <f>IF(ISNA(MATCH(B387,'Metabase Lookup'!$A:$A,0)),"",IF(INDEX('Metabase Lookup'!$D:$D,MATCH(B387,'Metabase Lookup'!$A:$A,0))="","",INDEX('Metabase Lookup'!$D:$D,MATCH(B387,'Metabase Lookup'!$A:$A,0))))</f>
        <v/>
      </c>
      <c r="Y387" s="14">
        <f>IF(ISNUMBER(W387),IF(W387&gt;0,"Yes","No"),"Pending")</f>
        <v/>
      </c>
      <c r="Z387" s="14" t="inlineStr">
        <is>
          <t>Driver not identified (OPS account)</t>
        </is>
      </c>
    </row>
    <row r="388">
      <c r="A388" s="14" t="n">
        <v>387</v>
      </c>
      <c r="B388" s="14" t="inlineStr">
        <is>
          <t>NVMYNINJA002525652</t>
        </is>
      </c>
      <c r="C388" s="15" t="inlineStr">
        <is>
          <t>266012686660</t>
        </is>
      </c>
      <c r="D388" s="16" t="n">
        <v>46290.4852662037</v>
      </c>
      <c r="E388" s="17" t="n">
        <v>46290</v>
      </c>
      <c r="F388" s="14" t="inlineStr">
        <is>
          <t>Fri</t>
        </is>
      </c>
      <c r="G388" s="14" t="inlineStr">
        <is>
          <t>KV</t>
        </is>
      </c>
      <c r="H388" s="14" t="inlineStr">
        <is>
          <t>BTR</t>
        </is>
      </c>
      <c r="I388" s="14" t="inlineStr">
        <is>
          <t>OPS - BTR</t>
        </is>
      </c>
      <c r="J388" s="14" t="inlineStr">
        <is>
          <t>OPS (generic hub account)</t>
        </is>
      </c>
      <c r="K388" s="14" t="inlineStr">
        <is>
          <t>91880588</t>
        </is>
      </c>
      <c r="L388" s="14" t="n">
        <v>1</v>
      </c>
      <c r="M388" s="14" t="inlineStr">
        <is>
          <t>LM</t>
        </is>
      </c>
      <c r="N388" s="14" t="inlineStr">
        <is>
          <t>Fake Fail</t>
        </is>
      </c>
      <c r="O388" s="14" t="inlineStr">
        <is>
          <t>No call / call log missing</t>
        </is>
      </c>
      <c r="P388" s="14" t="inlineStr">
        <is>
          <t>No</t>
        </is>
      </c>
      <c r="Q388" s="14" t="inlineStr">
        <is>
          <t>No</t>
        </is>
      </c>
      <c r="R388" s="14" t="inlineStr">
        <is>
          <t>no call log provided</t>
        </is>
      </c>
      <c r="S388" s="14" t="inlineStr">
        <is>
          <t>Hartini</t>
        </is>
      </c>
      <c r="T388" s="14">
        <f>COUNTIF($B$2:$B$499,B388)</f>
        <v/>
      </c>
      <c r="U388" s="14">
        <f>COUNTIF($I$2:$I$499,I388)</f>
        <v/>
      </c>
      <c r="V388" s="14">
        <f>IF(ISNA(MATCH(B388,'Metabase Lookup'!$A:$A,0)),"Not found",IF(INDEX('Metabase Lookup'!$B:$B,MATCH(B388,'Metabase Lookup'!$A:$A,0))="","Pending",INDEX('Metabase Lookup'!$B:$B,MATCH(B388,'Metabase Lookup'!$A:$A,0))))</f>
        <v/>
      </c>
      <c r="W388" s="14">
        <f>IF(ISNA(MATCH(B388,'Metabase Lookup'!$A:$A,0)),"Not found",IF(INDEX('Metabase Lookup'!$C:$C,MATCH(B388,'Metabase Lookup'!$A:$A,0))="","Pending",INDEX('Metabase Lookup'!$C:$C,MATCH(B388,'Metabase Lookup'!$A:$A,0))))</f>
        <v/>
      </c>
      <c r="X388" s="14">
        <f>IF(ISNA(MATCH(B388,'Metabase Lookup'!$A:$A,0)),"",IF(INDEX('Metabase Lookup'!$D:$D,MATCH(B388,'Metabase Lookup'!$A:$A,0))="","",INDEX('Metabase Lookup'!$D:$D,MATCH(B388,'Metabase Lookup'!$A:$A,0))))</f>
        <v/>
      </c>
      <c r="Y388" s="14">
        <f>IF(ISNUMBER(W388),IF(W388&gt;0,"Yes","No"),"Pending")</f>
        <v/>
      </c>
      <c r="Z388" s="14" t="inlineStr">
        <is>
          <t>Driver not identified (OPS account)</t>
        </is>
      </c>
    </row>
    <row r="389">
      <c r="A389" s="14" t="n">
        <v>388</v>
      </c>
      <c r="B389" s="14" t="inlineStr">
        <is>
          <t>ZMP228561945-5221</t>
        </is>
      </c>
      <c r="C389" s="15" t="inlineStr">
        <is>
          <t>266522675369</t>
        </is>
      </c>
      <c r="D389" s="16" t="n">
        <v>46290.50788194445</v>
      </c>
      <c r="E389" s="17" t="n">
        <v>46290</v>
      </c>
      <c r="F389" s="14" t="inlineStr">
        <is>
          <t>Fri</t>
        </is>
      </c>
      <c r="G389" s="14" t="inlineStr">
        <is>
          <t>KV</t>
        </is>
      </c>
      <c r="H389" s="14" t="inlineStr">
        <is>
          <t>SUN</t>
        </is>
      </c>
      <c r="I389" s="14" t="inlineStr">
        <is>
          <t>SUN - IR - ZULKIFLI</t>
        </is>
      </c>
      <c r="J389" s="14" t="inlineStr">
        <is>
          <t>IR (named)</t>
        </is>
      </c>
      <c r="K389" s="14" t="inlineStr">
        <is>
          <t>91867673</t>
        </is>
      </c>
      <c r="L389" s="14" t="n">
        <v>1</v>
      </c>
      <c r="M389" s="14" t="inlineStr">
        <is>
          <t>LM</t>
        </is>
      </c>
      <c r="N389" s="14" t="inlineStr">
        <is>
          <t>Deliver to Wrong Address</t>
        </is>
      </c>
      <c r="O389" s="14" t="inlineStr"/>
      <c r="P389" s="14" t="inlineStr"/>
      <c r="Q389" s="14" t="inlineStr"/>
      <c r="R389" s="14" t="inlineStr">
        <is>
          <t>Zalora claim delivered to wrong address</t>
        </is>
      </c>
      <c r="S389" s="14" t="inlineStr">
        <is>
          <t>Syafiq</t>
        </is>
      </c>
      <c r="T389" s="14">
        <f>COUNTIF($B$2:$B$499,B389)</f>
        <v/>
      </c>
      <c r="U389" s="14">
        <f>COUNTIF($I$2:$I$499,I389)</f>
        <v/>
      </c>
      <c r="V389" s="14">
        <f>IF(ISNA(MATCH(B389,'Metabase Lookup'!$A:$A,0)),"Not found",IF(INDEX('Metabase Lookup'!$B:$B,MATCH(B389,'Metabase Lookup'!$A:$A,0))="","Pending",INDEX('Metabase Lookup'!$B:$B,MATCH(B389,'Metabase Lookup'!$A:$A,0))))</f>
        <v/>
      </c>
      <c r="W389" s="14">
        <f>IF(ISNA(MATCH(B389,'Metabase Lookup'!$A:$A,0)),"Not found",IF(INDEX('Metabase Lookup'!$C:$C,MATCH(B389,'Metabase Lookup'!$A:$A,0))="","Pending",INDEX('Metabase Lookup'!$C:$C,MATCH(B389,'Metabase Lookup'!$A:$A,0))))</f>
        <v/>
      </c>
      <c r="X389" s="14">
        <f>IF(ISNA(MATCH(B389,'Metabase Lookup'!$A:$A,0)),"",IF(INDEX('Metabase Lookup'!$D:$D,MATCH(B389,'Metabase Lookup'!$A:$A,0))="","",INDEX('Metabase Lookup'!$D:$D,MATCH(B389,'Metabase Lookup'!$A:$A,0))))</f>
        <v/>
      </c>
      <c r="Y389" s="14">
        <f>IF(ISNUMBER(W389),IF(W389&gt;0,"Yes","No"),"Pending")</f>
        <v/>
      </c>
      <c r="Z389" s="14" t="inlineStr"/>
    </row>
    <row r="390">
      <c r="A390" s="14" t="n">
        <v>389</v>
      </c>
      <c r="B390" s="14" t="inlineStr">
        <is>
          <t>WNJMY00006942908</t>
        </is>
      </c>
      <c r="C390" s="15" t="inlineStr">
        <is>
          <t>268422681109</t>
        </is>
      </c>
      <c r="D390" s="16" t="n">
        <v>46290.51048611111</v>
      </c>
      <c r="E390" s="17" t="n">
        <v>46290</v>
      </c>
      <c r="F390" s="14" t="inlineStr">
        <is>
          <t>Fri</t>
        </is>
      </c>
      <c r="G390" s="14" t="inlineStr">
        <is>
          <t>East MY</t>
        </is>
      </c>
      <c r="H390" s="14" t="inlineStr">
        <is>
          <t>BKW</t>
        </is>
      </c>
      <c r="I390" s="14" t="inlineStr">
        <is>
          <t>Muqzamir Ahmad2 | aidilshazwan azamri</t>
        </is>
      </c>
      <c r="J390" s="14" t="inlineStr">
        <is>
          <t>Multiple drivers</t>
        </is>
      </c>
      <c r="K390" s="14" t="inlineStr">
        <is>
          <t>91827376, 91836408, 91851511</t>
        </is>
      </c>
      <c r="L390" s="14" t="n">
        <v>3</v>
      </c>
      <c r="M390" s="14" t="inlineStr">
        <is>
          <t>LM</t>
        </is>
      </c>
      <c r="N390" s="14" t="inlineStr">
        <is>
          <t>Pull Out Route (POR)</t>
        </is>
      </c>
      <c r="O390" s="14" t="inlineStr"/>
      <c r="P390" s="14" t="inlineStr"/>
      <c r="Q390" s="14" t="inlineStr"/>
      <c r="R390" s="14" t="inlineStr">
        <is>
          <t>POR after 3 hours driver assign</t>
        </is>
      </c>
      <c r="S390" s="14" t="inlineStr">
        <is>
          <t>Syafiq</t>
        </is>
      </c>
      <c r="T390" s="14">
        <f>COUNTIF($B$2:$B$499,B390)</f>
        <v/>
      </c>
      <c r="U390" s="14">
        <f>COUNTIF($I$2:$I$499,I390)</f>
        <v/>
      </c>
      <c r="V390" s="14">
        <f>IF(ISNA(MATCH(B390,'Metabase Lookup'!$A:$A,0)),"Not found",IF(INDEX('Metabase Lookup'!$B:$B,MATCH(B390,'Metabase Lookup'!$A:$A,0))="","Pending",INDEX('Metabase Lookup'!$B:$B,MATCH(B390,'Metabase Lookup'!$A:$A,0))))</f>
        <v/>
      </c>
      <c r="W390" s="14">
        <f>IF(ISNA(MATCH(B390,'Metabase Lookup'!$A:$A,0)),"Not found",IF(INDEX('Metabase Lookup'!$C:$C,MATCH(B390,'Metabase Lookup'!$A:$A,0))="","Pending",INDEX('Metabase Lookup'!$C:$C,MATCH(B390,'Metabase Lookup'!$A:$A,0))))</f>
        <v/>
      </c>
      <c r="X390" s="14">
        <f>IF(ISNA(MATCH(B390,'Metabase Lookup'!$A:$A,0)),"",IF(INDEX('Metabase Lookup'!$D:$D,MATCH(B390,'Metabase Lookup'!$A:$A,0))="","",INDEX('Metabase Lookup'!$D:$D,MATCH(B390,'Metabase Lookup'!$A:$A,0))))</f>
        <v/>
      </c>
      <c r="Y390" s="14">
        <f>IF(ISNUMBER(W390),IF(W390&gt;0,"Yes","No"),"Pending")</f>
        <v/>
      </c>
      <c r="Z390" s="14" t="inlineStr">
        <is>
          <t>Possible double entry (&lt;60 min); Multiple drivers in one row; Multiple route IDs</t>
        </is>
      </c>
    </row>
    <row r="391">
      <c r="A391" s="14" t="n">
        <v>390</v>
      </c>
      <c r="B391" s="14" t="inlineStr">
        <is>
          <t>WNJMY00006942908</t>
        </is>
      </c>
      <c r="C391" s="15" t="inlineStr">
        <is>
          <t>268422681109</t>
        </is>
      </c>
      <c r="D391" s="16" t="n">
        <v>46290.51127314815</v>
      </c>
      <c r="E391" s="17" t="n">
        <v>46290</v>
      </c>
      <c r="F391" s="14" t="inlineStr">
        <is>
          <t>Fri</t>
        </is>
      </c>
      <c r="G391" s="14" t="inlineStr">
        <is>
          <t>East MY</t>
        </is>
      </c>
      <c r="H391" s="14" t="inlineStr">
        <is>
          <t>BKW</t>
        </is>
      </c>
      <c r="I391" s="14" t="inlineStr">
        <is>
          <t>BKW - OPS - SELFCOLLECT</t>
        </is>
      </c>
      <c r="J391" s="14" t="inlineStr">
        <is>
          <t>OPS (generic hub account)</t>
        </is>
      </c>
      <c r="K391" s="14" t="inlineStr">
        <is>
          <t>91859979</t>
        </is>
      </c>
      <c r="L391" s="14" t="n">
        <v>1</v>
      </c>
      <c r="M391" s="14" t="inlineStr">
        <is>
          <t>LM</t>
        </is>
      </c>
      <c r="N391" s="14" t="inlineStr">
        <is>
          <t>Fake Fail</t>
        </is>
      </c>
      <c r="O391" s="14" t="inlineStr">
        <is>
          <t>No call / call log missing</t>
        </is>
      </c>
      <c r="P391" s="14" t="inlineStr">
        <is>
          <t>No</t>
        </is>
      </c>
      <c r="Q391" s="14" t="inlineStr">
        <is>
          <t>No</t>
        </is>
      </c>
      <c r="R391" s="14" t="inlineStr">
        <is>
          <t>No call log</t>
        </is>
      </c>
      <c r="S391" s="14" t="inlineStr">
        <is>
          <t>Syafiq</t>
        </is>
      </c>
      <c r="T391" s="14">
        <f>COUNTIF($B$2:$B$499,B391)</f>
        <v/>
      </c>
      <c r="U391" s="14">
        <f>COUNTIF($I$2:$I$499,I391)</f>
        <v/>
      </c>
      <c r="V391" s="14">
        <f>IF(ISNA(MATCH(B391,'Metabase Lookup'!$A:$A,0)),"Not found",IF(INDEX('Metabase Lookup'!$B:$B,MATCH(B391,'Metabase Lookup'!$A:$A,0))="","Pending",INDEX('Metabase Lookup'!$B:$B,MATCH(B391,'Metabase Lookup'!$A:$A,0))))</f>
        <v/>
      </c>
      <c r="W391" s="14">
        <f>IF(ISNA(MATCH(B391,'Metabase Lookup'!$A:$A,0)),"Not found",IF(INDEX('Metabase Lookup'!$C:$C,MATCH(B391,'Metabase Lookup'!$A:$A,0))="","Pending",INDEX('Metabase Lookup'!$C:$C,MATCH(B391,'Metabase Lookup'!$A:$A,0))))</f>
        <v/>
      </c>
      <c r="X391" s="14">
        <f>IF(ISNA(MATCH(B391,'Metabase Lookup'!$A:$A,0)),"",IF(INDEX('Metabase Lookup'!$D:$D,MATCH(B391,'Metabase Lookup'!$A:$A,0))="","",INDEX('Metabase Lookup'!$D:$D,MATCH(B391,'Metabase Lookup'!$A:$A,0))))</f>
        <v/>
      </c>
      <c r="Y391" s="14">
        <f>IF(ISNUMBER(W391),IF(W391&gt;0,"Yes","No"),"Pending")</f>
        <v/>
      </c>
      <c r="Z391" s="14" t="inlineStr">
        <is>
          <t>Possible double entry (&lt;60 min); Driver not identified (OPS account)</t>
        </is>
      </c>
    </row>
    <row r="392">
      <c r="A392" s="14" t="n">
        <v>391</v>
      </c>
      <c r="B392" s="14" t="inlineStr">
        <is>
          <t>XHY00400946</t>
        </is>
      </c>
      <c r="C392" s="15" t="inlineStr">
        <is>
          <t>264412680326</t>
        </is>
      </c>
      <c r="D392" s="16" t="n">
        <v>46290.51385416667</v>
      </c>
      <c r="E392" s="17" t="n">
        <v>46290</v>
      </c>
      <c r="F392" s="14" t="inlineStr">
        <is>
          <t>Fri</t>
        </is>
      </c>
      <c r="G392" s="14" t="inlineStr">
        <is>
          <t>KV</t>
        </is>
      </c>
      <c r="H392" s="14" t="inlineStr">
        <is>
          <t>BTR</t>
        </is>
      </c>
      <c r="I392" s="14" t="inlineStr">
        <is>
          <t>OPS - BTR</t>
        </is>
      </c>
      <c r="J392" s="14" t="inlineStr">
        <is>
          <t>OPS (generic hub account)</t>
        </is>
      </c>
      <c r="K392" s="14" t="inlineStr">
        <is>
          <t>91880586</t>
        </is>
      </c>
      <c r="L392" s="14" t="n">
        <v>1</v>
      </c>
      <c r="M392" s="14" t="inlineStr">
        <is>
          <t>LM</t>
        </is>
      </c>
      <c r="N392" s="14" t="inlineStr">
        <is>
          <t>Fake Fail</t>
        </is>
      </c>
      <c r="O392" s="14" t="inlineStr">
        <is>
          <t>No call / call log missing</t>
        </is>
      </c>
      <c r="P392" s="14" t="inlineStr">
        <is>
          <t>No</t>
        </is>
      </c>
      <c r="Q392" s="14" t="inlineStr">
        <is>
          <t>No</t>
        </is>
      </c>
      <c r="R392" s="14" t="inlineStr">
        <is>
          <t>No call to customer</t>
        </is>
      </c>
      <c r="S392" s="14" t="inlineStr">
        <is>
          <t>Syafiq</t>
        </is>
      </c>
      <c r="T392" s="14">
        <f>COUNTIF($B$2:$B$499,B392)</f>
        <v/>
      </c>
      <c r="U392" s="14">
        <f>COUNTIF($I$2:$I$499,I392)</f>
        <v/>
      </c>
      <c r="V392" s="14">
        <f>IF(ISNA(MATCH(B392,'Metabase Lookup'!$A:$A,0)),"Not found",IF(INDEX('Metabase Lookup'!$B:$B,MATCH(B392,'Metabase Lookup'!$A:$A,0))="","Pending",INDEX('Metabase Lookup'!$B:$B,MATCH(B392,'Metabase Lookup'!$A:$A,0))))</f>
        <v/>
      </c>
      <c r="W392" s="14">
        <f>IF(ISNA(MATCH(B392,'Metabase Lookup'!$A:$A,0)),"Not found",IF(INDEX('Metabase Lookup'!$C:$C,MATCH(B392,'Metabase Lookup'!$A:$A,0))="","Pending",INDEX('Metabase Lookup'!$C:$C,MATCH(B392,'Metabase Lookup'!$A:$A,0))))</f>
        <v/>
      </c>
      <c r="X392" s="14">
        <f>IF(ISNA(MATCH(B392,'Metabase Lookup'!$A:$A,0)),"",IF(INDEX('Metabase Lookup'!$D:$D,MATCH(B392,'Metabase Lookup'!$A:$A,0))="","",INDEX('Metabase Lookup'!$D:$D,MATCH(B392,'Metabase Lookup'!$A:$A,0))))</f>
        <v/>
      </c>
      <c r="Y392" s="14">
        <f>IF(ISNUMBER(W392),IF(W392&gt;0,"Yes","No"),"Pending")</f>
        <v/>
      </c>
      <c r="Z392" s="14" t="inlineStr">
        <is>
          <t>Driver not identified (OPS account)</t>
        </is>
      </c>
    </row>
    <row r="393">
      <c r="A393" s="14" t="n">
        <v>392</v>
      </c>
      <c r="B393" s="14" t="inlineStr">
        <is>
          <t>MYNJV70054005568</t>
        </is>
      </c>
      <c r="C393" s="15" t="inlineStr">
        <is>
          <t>266382661632</t>
        </is>
      </c>
      <c r="D393" s="16" t="n">
        <v>46290.51512731481</v>
      </c>
      <c r="E393" s="17" t="n">
        <v>46290</v>
      </c>
      <c r="F393" s="14" t="inlineStr">
        <is>
          <t>Fri</t>
        </is>
      </c>
      <c r="G393" s="14" t="inlineStr">
        <is>
          <t>KV</t>
        </is>
      </c>
      <c r="H393" s="14" t="inlineStr">
        <is>
          <t>SYH</t>
        </is>
      </c>
      <c r="I393" s="14" t="inlineStr">
        <is>
          <t>SYH - ID - MOHD EZANIE</t>
        </is>
      </c>
      <c r="J393" s="14" t="inlineStr">
        <is>
          <t>ID (named driver)</t>
        </is>
      </c>
      <c r="K393" s="14" t="inlineStr">
        <is>
          <t>91865599</t>
        </is>
      </c>
      <c r="L393" s="14" t="n">
        <v>1</v>
      </c>
      <c r="M393" s="14" t="inlineStr">
        <is>
          <t>LM</t>
        </is>
      </c>
      <c r="N393" s="14" t="inlineStr">
        <is>
          <t>COD Related</t>
        </is>
      </c>
      <c r="O393" s="14" t="inlineStr"/>
      <c r="P393" s="14" t="inlineStr"/>
      <c r="Q393" s="14" t="inlineStr"/>
      <c r="R393" s="14" t="inlineStr">
        <is>
          <t>Customer already paid the COD to the driver (online transfer). However, when the driver arrived at customer house, he still collects the payment from her farther. Customer received the refund after raising the complaint.</t>
        </is>
      </c>
      <c r="S393" s="14" t="inlineStr">
        <is>
          <t>Huzair</t>
        </is>
      </c>
      <c r="T393" s="14">
        <f>COUNTIF($B$2:$B$499,B393)</f>
        <v/>
      </c>
      <c r="U393" s="14">
        <f>COUNTIF($I$2:$I$499,I393)</f>
        <v/>
      </c>
      <c r="V393" s="14">
        <f>IF(ISNA(MATCH(B393,'Metabase Lookup'!$A:$A,0)),"Not found",IF(INDEX('Metabase Lookup'!$B:$B,MATCH(B393,'Metabase Lookup'!$A:$A,0))="","Pending",INDEX('Metabase Lookup'!$B:$B,MATCH(B393,'Metabase Lookup'!$A:$A,0))))</f>
        <v/>
      </c>
      <c r="W393" s="14">
        <f>IF(ISNA(MATCH(B393,'Metabase Lookup'!$A:$A,0)),"Not found",IF(INDEX('Metabase Lookup'!$C:$C,MATCH(B393,'Metabase Lookup'!$A:$A,0))="","Pending",INDEX('Metabase Lookup'!$C:$C,MATCH(B393,'Metabase Lookup'!$A:$A,0))))</f>
        <v/>
      </c>
      <c r="X393" s="14">
        <f>IF(ISNA(MATCH(B393,'Metabase Lookup'!$A:$A,0)),"",IF(INDEX('Metabase Lookup'!$D:$D,MATCH(B393,'Metabase Lookup'!$A:$A,0))="","",INDEX('Metabase Lookup'!$D:$D,MATCH(B393,'Metabase Lookup'!$A:$A,0))))</f>
        <v/>
      </c>
      <c r="Y393" s="14">
        <f>IF(ISNUMBER(W393),IF(W393&gt;0,"Yes","No"),"Pending")</f>
        <v/>
      </c>
      <c r="Z393" s="14" t="inlineStr"/>
    </row>
    <row r="394">
      <c r="A394" s="14" t="n">
        <v>393</v>
      </c>
      <c r="B394" s="14" t="inlineStr">
        <is>
          <t>NVMYJOCEL000115093</t>
        </is>
      </c>
      <c r="C394" s="15" t="inlineStr">
        <is>
          <t>266032653443</t>
        </is>
      </c>
      <c r="D394" s="16" t="n">
        <v>46290.53278935186</v>
      </c>
      <c r="E394" s="17" t="n">
        <v>46290</v>
      </c>
      <c r="F394" s="14" t="inlineStr">
        <is>
          <t>Fri</t>
        </is>
      </c>
      <c r="G394" s="14" t="inlineStr">
        <is>
          <t>South West</t>
        </is>
      </c>
      <c r="H394" s="14" t="inlineStr">
        <is>
          <t>BHU</t>
        </is>
      </c>
      <c r="I394" s="14" t="inlineStr">
        <is>
          <t>BHU - ID - NUR SHAHIRAH</t>
        </is>
      </c>
      <c r="J394" s="14" t="inlineStr">
        <is>
          <t>ID (named driver)</t>
        </is>
      </c>
      <c r="K394" s="14" t="inlineStr">
        <is>
          <t>91855396</t>
        </is>
      </c>
      <c r="L394" s="14" t="n">
        <v>1</v>
      </c>
      <c r="M394" s="14" t="inlineStr">
        <is>
          <t>LM</t>
        </is>
      </c>
      <c r="N394" s="14" t="inlineStr">
        <is>
          <t>Deliver to Wrong Address</t>
        </is>
      </c>
      <c r="O394" s="14" t="inlineStr"/>
      <c r="P394" s="14" t="inlineStr"/>
      <c r="Q394" s="14" t="inlineStr"/>
      <c r="R394" s="14" t="inlineStr">
        <is>
          <t>POD show driver drop the parcel to the wrong address.</t>
        </is>
      </c>
      <c r="S394" s="14" t="inlineStr">
        <is>
          <t>Adid</t>
        </is>
      </c>
      <c r="T394" s="14">
        <f>COUNTIF($B$2:$B$499,B394)</f>
        <v/>
      </c>
      <c r="U394" s="14">
        <f>COUNTIF($I$2:$I$499,I394)</f>
        <v/>
      </c>
      <c r="V394" s="14">
        <f>IF(ISNA(MATCH(B394,'Metabase Lookup'!$A:$A,0)),"Not found",IF(INDEX('Metabase Lookup'!$B:$B,MATCH(B394,'Metabase Lookup'!$A:$A,0))="","Pending",INDEX('Metabase Lookup'!$B:$B,MATCH(B394,'Metabase Lookup'!$A:$A,0))))</f>
        <v/>
      </c>
      <c r="W394" s="14">
        <f>IF(ISNA(MATCH(B394,'Metabase Lookup'!$A:$A,0)),"Not found",IF(INDEX('Metabase Lookup'!$C:$C,MATCH(B394,'Metabase Lookup'!$A:$A,0))="","Pending",INDEX('Metabase Lookup'!$C:$C,MATCH(B394,'Metabase Lookup'!$A:$A,0))))</f>
        <v/>
      </c>
      <c r="X394" s="14">
        <f>IF(ISNA(MATCH(B394,'Metabase Lookup'!$A:$A,0)),"",IF(INDEX('Metabase Lookup'!$D:$D,MATCH(B394,'Metabase Lookup'!$A:$A,0))="","",INDEX('Metabase Lookup'!$D:$D,MATCH(B394,'Metabase Lookup'!$A:$A,0))))</f>
        <v/>
      </c>
      <c r="Y394" s="14">
        <f>IF(ISNUMBER(W394),IF(W394&gt;0,"Yes","No"),"Pending")</f>
        <v/>
      </c>
      <c r="Z394" s="14" t="inlineStr"/>
    </row>
    <row r="395">
      <c r="A395" s="14" t="n">
        <v>394</v>
      </c>
      <c r="B395" s="14" t="inlineStr">
        <is>
          <t>NVMYQISZR00440341A</t>
        </is>
      </c>
      <c r="C395" s="15" t="inlineStr">
        <is>
          <t>269072687362</t>
        </is>
      </c>
      <c r="D395" s="16" t="n">
        <v>46290.54135416666</v>
      </c>
      <c r="E395" s="17" t="n">
        <v>46290</v>
      </c>
      <c r="F395" s="14" t="inlineStr">
        <is>
          <t>Fri</t>
        </is>
      </c>
      <c r="G395" s="14" t="inlineStr">
        <is>
          <t>KV</t>
        </is>
      </c>
      <c r="H395" s="14" t="inlineStr">
        <is>
          <t>NSJ</t>
        </is>
      </c>
      <c r="I395" s="14" t="inlineStr">
        <is>
          <t>OPS - NSJ</t>
        </is>
      </c>
      <c r="J395" s="14" t="inlineStr">
        <is>
          <t>OPS (generic hub account)</t>
        </is>
      </c>
      <c r="K395" s="14" t="inlineStr">
        <is>
          <t>91874449</t>
        </is>
      </c>
      <c r="L395" s="14" t="n">
        <v>1</v>
      </c>
      <c r="M395" s="14" t="inlineStr">
        <is>
          <t>LM</t>
        </is>
      </c>
      <c r="N395" s="14" t="inlineStr">
        <is>
          <t>Fake Fail</t>
        </is>
      </c>
      <c r="O395" s="14" t="inlineStr">
        <is>
          <t>No call / call log missing</t>
        </is>
      </c>
      <c r="P395" s="14" t="inlineStr">
        <is>
          <t>No</t>
        </is>
      </c>
      <c r="Q395" s="14" t="inlineStr">
        <is>
          <t>No</t>
        </is>
      </c>
      <c r="R395" s="14" t="inlineStr">
        <is>
          <t>No call</t>
        </is>
      </c>
      <c r="S395" s="14" t="inlineStr">
        <is>
          <t>Syafiq</t>
        </is>
      </c>
      <c r="T395" s="14">
        <f>COUNTIF($B$2:$B$499,B395)</f>
        <v/>
      </c>
      <c r="U395" s="14">
        <f>COUNTIF($I$2:$I$499,I395)</f>
        <v/>
      </c>
      <c r="V395" s="14">
        <f>IF(ISNA(MATCH(B395,'Metabase Lookup'!$A:$A,0)),"Not found",IF(INDEX('Metabase Lookup'!$B:$B,MATCH(B395,'Metabase Lookup'!$A:$A,0))="","Pending",INDEX('Metabase Lookup'!$B:$B,MATCH(B395,'Metabase Lookup'!$A:$A,0))))</f>
        <v/>
      </c>
      <c r="W395" s="14">
        <f>IF(ISNA(MATCH(B395,'Metabase Lookup'!$A:$A,0)),"Not found",IF(INDEX('Metabase Lookup'!$C:$C,MATCH(B395,'Metabase Lookup'!$A:$A,0))="","Pending",INDEX('Metabase Lookup'!$C:$C,MATCH(B395,'Metabase Lookup'!$A:$A,0))))</f>
        <v/>
      </c>
      <c r="X395" s="14">
        <f>IF(ISNA(MATCH(B395,'Metabase Lookup'!$A:$A,0)),"",IF(INDEX('Metabase Lookup'!$D:$D,MATCH(B395,'Metabase Lookup'!$A:$A,0))="","",INDEX('Metabase Lookup'!$D:$D,MATCH(B395,'Metabase Lookup'!$A:$A,0))))</f>
        <v/>
      </c>
      <c r="Y395" s="14">
        <f>IF(ISNUMBER(W395),IF(W395&gt;0,"Yes","No"),"Pending")</f>
        <v/>
      </c>
      <c r="Z395" s="14" t="inlineStr">
        <is>
          <t>TID had stray spaces/line breaks (cleaned); Driver not identified (OPS account)</t>
        </is>
      </c>
    </row>
    <row r="396">
      <c r="A396" s="14" t="n">
        <v>395</v>
      </c>
      <c r="B396" s="14" t="inlineStr">
        <is>
          <t>TNGDV2609176911637730</t>
        </is>
      </c>
      <c r="C396" s="15" t="inlineStr">
        <is>
          <t>268662664989</t>
        </is>
      </c>
      <c r="D396" s="16" t="n">
        <v>46290.5622337963</v>
      </c>
      <c r="E396" s="17" t="n">
        <v>46290</v>
      </c>
      <c r="F396" s="14" t="inlineStr">
        <is>
          <t>Fri</t>
        </is>
      </c>
      <c r="G396" s="14" t="inlineStr">
        <is>
          <t>KV</t>
        </is>
      </c>
      <c r="H396" s="14" t="inlineStr">
        <is>
          <t>KEP</t>
        </is>
      </c>
      <c r="I396" s="14" t="inlineStr">
        <is>
          <t>KEP - ID - RAYAN</t>
        </is>
      </c>
      <c r="J396" s="14" t="inlineStr">
        <is>
          <t>ID (named driver)</t>
        </is>
      </c>
      <c r="K396" s="14" t="inlineStr">
        <is>
          <t>91862254</t>
        </is>
      </c>
      <c r="L396" s="14" t="n">
        <v>1</v>
      </c>
      <c r="M396" s="14" t="inlineStr">
        <is>
          <t>LM</t>
        </is>
      </c>
      <c r="N396" s="14" t="inlineStr">
        <is>
          <t>Deliver to Wrong Address</t>
        </is>
      </c>
      <c r="O396" s="14" t="inlineStr"/>
      <c r="P396" s="14" t="inlineStr"/>
      <c r="Q396" s="14" t="inlineStr"/>
      <c r="R396" s="14" t="inlineStr">
        <is>
          <t>parcel was delivered to the wrong address. status reverted - parcel will be redelivered to the correct address</t>
        </is>
      </c>
      <c r="S396" s="14" t="inlineStr">
        <is>
          <t>Putri</t>
        </is>
      </c>
      <c r="T396" s="14">
        <f>COUNTIF($B$2:$B$499,B396)</f>
        <v/>
      </c>
      <c r="U396" s="14">
        <f>COUNTIF($I$2:$I$499,I396)</f>
        <v/>
      </c>
      <c r="V396" s="14">
        <f>IF(ISNA(MATCH(B396,'Metabase Lookup'!$A:$A,0)),"Not found",IF(INDEX('Metabase Lookup'!$B:$B,MATCH(B396,'Metabase Lookup'!$A:$A,0))="","Pending",INDEX('Metabase Lookup'!$B:$B,MATCH(B396,'Metabase Lookup'!$A:$A,0))))</f>
        <v/>
      </c>
      <c r="W396" s="14">
        <f>IF(ISNA(MATCH(B396,'Metabase Lookup'!$A:$A,0)),"Not found",IF(INDEX('Metabase Lookup'!$C:$C,MATCH(B396,'Metabase Lookup'!$A:$A,0))="","Pending",INDEX('Metabase Lookup'!$C:$C,MATCH(B396,'Metabase Lookup'!$A:$A,0))))</f>
        <v/>
      </c>
      <c r="X396" s="14">
        <f>IF(ISNA(MATCH(B396,'Metabase Lookup'!$A:$A,0)),"",IF(INDEX('Metabase Lookup'!$D:$D,MATCH(B396,'Metabase Lookup'!$A:$A,0))="","",INDEX('Metabase Lookup'!$D:$D,MATCH(B396,'Metabase Lookup'!$A:$A,0))))</f>
        <v/>
      </c>
      <c r="Y396" s="14">
        <f>IF(ISNUMBER(W396),IF(W396&gt;0,"Yes","No"),"Pending")</f>
        <v/>
      </c>
      <c r="Z396" s="14" t="inlineStr"/>
    </row>
    <row r="397">
      <c r="A397" s="14" t="n">
        <v>396</v>
      </c>
      <c r="B397" s="14" t="inlineStr">
        <is>
          <t>NVMYAXVEL000112073</t>
        </is>
      </c>
      <c r="C397" s="15" t="inlineStr">
        <is>
          <t>261562687069</t>
        </is>
      </c>
      <c r="D397" s="16" t="n">
        <v>46290.56270833333</v>
      </c>
      <c r="E397" s="17" t="n">
        <v>46290</v>
      </c>
      <c r="F397" s="14" t="inlineStr">
        <is>
          <t>Fri</t>
        </is>
      </c>
      <c r="G397" s="14" t="inlineStr">
        <is>
          <t>KV</t>
        </is>
      </c>
      <c r="H397" s="14" t="inlineStr">
        <is>
          <t>DSA</t>
        </is>
      </c>
      <c r="I397" s="14" t="inlineStr">
        <is>
          <t>OPS - DSA</t>
        </is>
      </c>
      <c r="J397" s="14" t="inlineStr">
        <is>
          <t>OPS (generic hub account)</t>
        </is>
      </c>
      <c r="K397" s="14" t="inlineStr">
        <is>
          <t>91871753, 91881252</t>
        </is>
      </c>
      <c r="L397" s="14" t="n">
        <v>2</v>
      </c>
      <c r="M397" s="14" t="inlineStr">
        <is>
          <t>LM</t>
        </is>
      </c>
      <c r="N397" s="14" t="inlineStr">
        <is>
          <t>Fake Fail</t>
        </is>
      </c>
      <c r="O397" s="14" t="inlineStr">
        <is>
          <t>No call / call log missing</t>
        </is>
      </c>
      <c r="P397" s="14" t="inlineStr">
        <is>
          <t>No</t>
        </is>
      </c>
      <c r="Q397" s="14" t="inlineStr">
        <is>
          <t>No</t>
        </is>
      </c>
      <c r="R397" s="14" t="inlineStr">
        <is>
          <t>no call log provide</t>
        </is>
      </c>
      <c r="S397" s="14" t="inlineStr">
        <is>
          <t>Hartini</t>
        </is>
      </c>
      <c r="T397" s="14">
        <f>COUNTIF($B$2:$B$499,B397)</f>
        <v/>
      </c>
      <c r="U397" s="14">
        <f>COUNTIF($I$2:$I$499,I397)</f>
        <v/>
      </c>
      <c r="V397" s="14">
        <f>IF(ISNA(MATCH(B397,'Metabase Lookup'!$A:$A,0)),"Not found",IF(INDEX('Metabase Lookup'!$B:$B,MATCH(B397,'Metabase Lookup'!$A:$A,0))="","Pending",INDEX('Metabase Lookup'!$B:$B,MATCH(B397,'Metabase Lookup'!$A:$A,0))))</f>
        <v/>
      </c>
      <c r="W397" s="14">
        <f>IF(ISNA(MATCH(B397,'Metabase Lookup'!$A:$A,0)),"Not found",IF(INDEX('Metabase Lookup'!$C:$C,MATCH(B397,'Metabase Lookup'!$A:$A,0))="","Pending",INDEX('Metabase Lookup'!$C:$C,MATCH(B397,'Metabase Lookup'!$A:$A,0))))</f>
        <v/>
      </c>
      <c r="X397" s="14">
        <f>IF(ISNA(MATCH(B397,'Metabase Lookup'!$A:$A,0)),"",IF(INDEX('Metabase Lookup'!$D:$D,MATCH(B397,'Metabase Lookup'!$A:$A,0))="","",INDEX('Metabase Lookup'!$D:$D,MATCH(B397,'Metabase Lookup'!$A:$A,0))))</f>
        <v/>
      </c>
      <c r="Y397" s="14">
        <f>IF(ISNUMBER(W397),IF(W397&gt;0,"Yes","No"),"Pending")</f>
        <v/>
      </c>
      <c r="Z397" s="14" t="inlineStr">
        <is>
          <t>Multiple route IDs; Driver not identified (OPS account)</t>
        </is>
      </c>
    </row>
    <row r="398">
      <c r="A398" s="14" t="n">
        <v>397</v>
      </c>
      <c r="B398" s="14" t="inlineStr">
        <is>
          <t>AJDHU1549235139594887168</t>
        </is>
      </c>
      <c r="C398" s="15" t="inlineStr">
        <is>
          <t>268892654941</t>
        </is>
      </c>
      <c r="D398" s="16" t="n">
        <v>46290.56271990741</v>
      </c>
      <c r="E398" s="17" t="n">
        <v>46290</v>
      </c>
      <c r="F398" s="14" t="inlineStr">
        <is>
          <t>Fri</t>
        </is>
      </c>
      <c r="G398" s="14" t="inlineStr">
        <is>
          <t>North East</t>
        </is>
      </c>
      <c r="H398" s="14" t="inlineStr">
        <is>
          <t>BCK</t>
        </is>
      </c>
      <c r="I398" s="14" t="inlineStr">
        <is>
          <t>BCK - HR - AMIRUL</t>
        </is>
      </c>
      <c r="J398" s="14" t="inlineStr">
        <is>
          <t>HR (named)</t>
        </is>
      </c>
      <c r="K398" s="14" t="inlineStr">
        <is>
          <t>91833979</t>
        </is>
      </c>
      <c r="L398" s="14" t="n">
        <v>1</v>
      </c>
      <c r="M398" s="14" t="inlineStr">
        <is>
          <t>LM</t>
        </is>
      </c>
      <c r="N398" s="14" t="inlineStr">
        <is>
          <t>Deliver to Wrong Address</t>
        </is>
      </c>
      <c r="O398" s="14" t="inlineStr"/>
      <c r="P398" s="14" t="inlineStr"/>
      <c r="Q398" s="14" t="inlineStr"/>
      <c r="R398" s="14" t="inlineStr">
        <is>
          <t>Completed 2026-09-18 but delivered to the wrong address. Done retrieve and cust already received after complaint lodge</t>
        </is>
      </c>
      <c r="S398" s="14" t="inlineStr">
        <is>
          <t>Syaza</t>
        </is>
      </c>
      <c r="T398" s="14">
        <f>COUNTIF($B$2:$B$499,B398)</f>
        <v/>
      </c>
      <c r="U398" s="14">
        <f>COUNTIF($I$2:$I$499,I398)</f>
        <v/>
      </c>
      <c r="V398" s="14">
        <f>IF(ISNA(MATCH(B398,'Metabase Lookup'!$A:$A,0)),"Not found",IF(INDEX('Metabase Lookup'!$B:$B,MATCH(B398,'Metabase Lookup'!$A:$A,0))="","Pending",INDEX('Metabase Lookup'!$B:$B,MATCH(B398,'Metabase Lookup'!$A:$A,0))))</f>
        <v/>
      </c>
      <c r="W398" s="14">
        <f>IF(ISNA(MATCH(B398,'Metabase Lookup'!$A:$A,0)),"Not found",IF(INDEX('Metabase Lookup'!$C:$C,MATCH(B398,'Metabase Lookup'!$A:$A,0))="","Pending",INDEX('Metabase Lookup'!$C:$C,MATCH(B398,'Metabase Lookup'!$A:$A,0))))</f>
        <v/>
      </c>
      <c r="X398" s="14">
        <f>IF(ISNA(MATCH(B398,'Metabase Lookup'!$A:$A,0)),"",IF(INDEX('Metabase Lookup'!$D:$D,MATCH(B398,'Metabase Lookup'!$A:$A,0))="","",INDEX('Metabase Lookup'!$D:$D,MATCH(B398,'Metabase Lookup'!$A:$A,0))))</f>
        <v/>
      </c>
      <c r="Y398" s="14">
        <f>IF(ISNUMBER(W398),IF(W398&gt;0,"Yes","No"),"Pending")</f>
        <v/>
      </c>
      <c r="Z398" s="14" t="inlineStr"/>
    </row>
    <row r="399">
      <c r="A399" s="14" t="n">
        <v>398</v>
      </c>
      <c r="B399" s="14" t="inlineStr">
        <is>
          <t>NVMYMASYE000000003</t>
        </is>
      </c>
      <c r="C399" s="15" t="inlineStr">
        <is>
          <t>264212686192</t>
        </is>
      </c>
      <c r="D399" s="16" t="n">
        <v>46290.56313657408</v>
      </c>
      <c r="E399" s="17" t="n">
        <v>46290</v>
      </c>
      <c r="F399" s="14" t="inlineStr">
        <is>
          <t>Fri</t>
        </is>
      </c>
      <c r="G399" s="14" t="inlineStr">
        <is>
          <t>North West</t>
        </is>
      </c>
      <c r="H399" s="14" t="inlineStr">
        <is>
          <t>SLM</t>
        </is>
      </c>
      <c r="I399" s="14" t="inlineStr">
        <is>
          <t>SLM - HD - AFIQ DANIAL</t>
        </is>
      </c>
      <c r="J399" s="14" t="inlineStr">
        <is>
          <t>HD (named)</t>
        </is>
      </c>
      <c r="K399" s="14" t="inlineStr">
        <is>
          <t>91885057</t>
        </is>
      </c>
      <c r="L399" s="14" t="n">
        <v>1</v>
      </c>
      <c r="M399" s="14" t="inlineStr">
        <is>
          <t>LM</t>
        </is>
      </c>
      <c r="N399" s="14" t="inlineStr">
        <is>
          <t>Fake Fail</t>
        </is>
      </c>
      <c r="O399" s="14" t="inlineStr">
        <is>
          <t>Customer disputes attempt</t>
        </is>
      </c>
      <c r="P399" s="14" t="inlineStr">
        <is>
          <t>No</t>
        </is>
      </c>
      <c r="Q399" s="14" t="inlineStr">
        <is>
          <t>No</t>
        </is>
      </c>
      <c r="R399" s="14" t="inlineStr">
        <is>
          <t>Invalid delivery attempt. POD invalid: Customer did not reject</t>
        </is>
      </c>
      <c r="S399" s="14" t="inlineStr">
        <is>
          <t>Putri</t>
        </is>
      </c>
      <c r="T399" s="14">
        <f>COUNTIF($B$2:$B$499,B399)</f>
        <v/>
      </c>
      <c r="U399" s="14">
        <f>COUNTIF($I$2:$I$499,I399)</f>
        <v/>
      </c>
      <c r="V399" s="14">
        <f>IF(ISNA(MATCH(B399,'Metabase Lookup'!$A:$A,0)),"Not found",IF(INDEX('Metabase Lookup'!$B:$B,MATCH(B399,'Metabase Lookup'!$A:$A,0))="","Pending",INDEX('Metabase Lookup'!$B:$B,MATCH(B399,'Metabase Lookup'!$A:$A,0))))</f>
        <v/>
      </c>
      <c r="W399" s="14">
        <f>IF(ISNA(MATCH(B399,'Metabase Lookup'!$A:$A,0)),"Not found",IF(INDEX('Metabase Lookup'!$C:$C,MATCH(B399,'Metabase Lookup'!$A:$A,0))="","Pending",INDEX('Metabase Lookup'!$C:$C,MATCH(B399,'Metabase Lookup'!$A:$A,0))))</f>
        <v/>
      </c>
      <c r="X399" s="14">
        <f>IF(ISNA(MATCH(B399,'Metabase Lookup'!$A:$A,0)),"",IF(INDEX('Metabase Lookup'!$D:$D,MATCH(B399,'Metabase Lookup'!$A:$A,0))="","",INDEX('Metabase Lookup'!$D:$D,MATCH(B399,'Metabase Lookup'!$A:$A,0))))</f>
        <v/>
      </c>
      <c r="Y399" s="14">
        <f>IF(ISNUMBER(W399),IF(W399&gt;0,"Yes","No"),"Pending")</f>
        <v/>
      </c>
      <c r="Z399" s="14" t="inlineStr"/>
    </row>
    <row r="400">
      <c r="A400" s="14" t="n">
        <v>399</v>
      </c>
      <c r="B400" s="14" t="inlineStr">
        <is>
          <t>WESRS1551197386171473920</t>
        </is>
      </c>
      <c r="C400" s="15" t="inlineStr">
        <is>
          <t>265312665531</t>
        </is>
      </c>
      <c r="D400" s="16" t="n">
        <v>46290.58106481482</v>
      </c>
      <c r="E400" s="17" t="n">
        <v>46290</v>
      </c>
      <c r="F400" s="14" t="inlineStr">
        <is>
          <t>Fri</t>
        </is>
      </c>
      <c r="G400" s="14" t="inlineStr">
        <is>
          <t>KV</t>
        </is>
      </c>
      <c r="H400" s="14" t="inlineStr">
        <is>
          <t>RWG</t>
        </is>
      </c>
      <c r="I400" s="14" t="inlineStr">
        <is>
          <t>RWG - ID - NUR ATIQAH</t>
        </is>
      </c>
      <c r="J400" s="14" t="inlineStr">
        <is>
          <t>ID (named driver)</t>
        </is>
      </c>
      <c r="K400" s="14" t="inlineStr">
        <is>
          <t>91862279</t>
        </is>
      </c>
      <c r="L400" s="14" t="n">
        <v>1</v>
      </c>
      <c r="M400" s="14" t="inlineStr">
        <is>
          <t>LM</t>
        </is>
      </c>
      <c r="N400" s="14" t="inlineStr">
        <is>
          <t>Fake Success</t>
        </is>
      </c>
      <c r="O400" s="14" t="inlineStr"/>
      <c r="P400" s="14" t="inlineStr"/>
      <c r="Q400" s="14" t="inlineStr"/>
      <c r="R400" s="14" t="inlineStr">
        <is>
          <t>Completed 2026-09-22 but cust not received. Done retrieve and cust received it a day after complaint raised</t>
        </is>
      </c>
      <c r="S400" s="14" t="inlineStr">
        <is>
          <t>Syaza</t>
        </is>
      </c>
      <c r="T400" s="14">
        <f>COUNTIF($B$2:$B$499,B400)</f>
        <v/>
      </c>
      <c r="U400" s="14">
        <f>COUNTIF($I$2:$I$499,I400)</f>
        <v/>
      </c>
      <c r="V400" s="14">
        <f>IF(ISNA(MATCH(B400,'Metabase Lookup'!$A:$A,0)),"Not found",IF(INDEX('Metabase Lookup'!$B:$B,MATCH(B400,'Metabase Lookup'!$A:$A,0))="","Pending",INDEX('Metabase Lookup'!$B:$B,MATCH(B400,'Metabase Lookup'!$A:$A,0))))</f>
        <v/>
      </c>
      <c r="W400" s="14">
        <f>IF(ISNA(MATCH(B400,'Metabase Lookup'!$A:$A,0)),"Not found",IF(INDEX('Metabase Lookup'!$C:$C,MATCH(B400,'Metabase Lookup'!$A:$A,0))="","Pending",INDEX('Metabase Lookup'!$C:$C,MATCH(B400,'Metabase Lookup'!$A:$A,0))))</f>
        <v/>
      </c>
      <c r="X400" s="14">
        <f>IF(ISNA(MATCH(B400,'Metabase Lookup'!$A:$A,0)),"",IF(INDEX('Metabase Lookup'!$D:$D,MATCH(B400,'Metabase Lookup'!$A:$A,0))="","",INDEX('Metabase Lookup'!$D:$D,MATCH(B400,'Metabase Lookup'!$A:$A,0))))</f>
        <v/>
      </c>
      <c r="Y400" s="14">
        <f>IF(ISNUMBER(W400),IF(W400&gt;0,"Yes","No"),"Pending")</f>
        <v/>
      </c>
      <c r="Z400" s="14" t="inlineStr"/>
    </row>
    <row r="401">
      <c r="A401" s="14" t="n">
        <v>400</v>
      </c>
      <c r="B401" s="14" t="inlineStr">
        <is>
          <t>TNGDV2609196956179110</t>
        </is>
      </c>
      <c r="C401" s="15" t="inlineStr">
        <is>
          <t>269532688067</t>
        </is>
      </c>
      <c r="D401" s="16" t="n">
        <v>46290.5862037037</v>
      </c>
      <c r="E401" s="17" t="n">
        <v>46290</v>
      </c>
      <c r="F401" s="14" t="inlineStr">
        <is>
          <t>Fri</t>
        </is>
      </c>
      <c r="G401" s="14" t="inlineStr">
        <is>
          <t>Southern</t>
        </is>
      </c>
      <c r="H401" s="14" t="inlineStr">
        <is>
          <t>GLG</t>
        </is>
      </c>
      <c r="I401" s="14" t="inlineStr">
        <is>
          <t>GLG - OPS - ENGKU | GLG - ID - AHMAD ARSYHAD</t>
        </is>
      </c>
      <c r="J401" s="14" t="inlineStr">
        <is>
          <t>Multiple drivers</t>
        </is>
      </c>
      <c r="K401" s="14" t="inlineStr">
        <is>
          <t>91877170, 91884056</t>
        </is>
      </c>
      <c r="L401" s="14" t="n">
        <v>2</v>
      </c>
      <c r="M401" s="14" t="inlineStr">
        <is>
          <t>LM</t>
        </is>
      </c>
      <c r="N401" s="14" t="inlineStr">
        <is>
          <t>Fake Fail</t>
        </is>
      </c>
      <c r="O401" s="14" t="inlineStr">
        <is>
          <t>Customer disputes attempt</t>
        </is>
      </c>
      <c r="P401" s="14" t="inlineStr">
        <is>
          <t>No</t>
        </is>
      </c>
      <c r="Q401" s="14" t="inlineStr">
        <is>
          <t>No</t>
        </is>
      </c>
      <c r="R401" s="14" t="inlineStr">
        <is>
          <t>cust did not receive any call</t>
        </is>
      </c>
      <c r="S401" s="14" t="inlineStr">
        <is>
          <t>Hartini</t>
        </is>
      </c>
      <c r="T401" s="14">
        <f>COUNTIF($B$2:$B$499,B401)</f>
        <v/>
      </c>
      <c r="U401" s="14">
        <f>COUNTIF($I$2:$I$499,I401)</f>
        <v/>
      </c>
      <c r="V401" s="14">
        <f>IF(ISNA(MATCH(B401,'Metabase Lookup'!$A:$A,0)),"Not found",IF(INDEX('Metabase Lookup'!$B:$B,MATCH(B401,'Metabase Lookup'!$A:$A,0))="","Pending",INDEX('Metabase Lookup'!$B:$B,MATCH(B401,'Metabase Lookup'!$A:$A,0))))</f>
        <v/>
      </c>
      <c r="W401" s="14">
        <f>IF(ISNA(MATCH(B401,'Metabase Lookup'!$A:$A,0)),"Not found",IF(INDEX('Metabase Lookup'!$C:$C,MATCH(B401,'Metabase Lookup'!$A:$A,0))="","Pending",INDEX('Metabase Lookup'!$C:$C,MATCH(B401,'Metabase Lookup'!$A:$A,0))))</f>
        <v/>
      </c>
      <c r="X401" s="14">
        <f>IF(ISNA(MATCH(B401,'Metabase Lookup'!$A:$A,0)),"",IF(INDEX('Metabase Lookup'!$D:$D,MATCH(B401,'Metabase Lookup'!$A:$A,0))="","",INDEX('Metabase Lookup'!$D:$D,MATCH(B401,'Metabase Lookup'!$A:$A,0))))</f>
        <v/>
      </c>
      <c r="Y401" s="14">
        <f>IF(ISNUMBER(W401),IF(W401&gt;0,"Yes","No"),"Pending")</f>
        <v/>
      </c>
      <c r="Z401" s="14" t="inlineStr">
        <is>
          <t>Multiple drivers in one row; Multiple route IDs</t>
        </is>
      </c>
    </row>
    <row r="402">
      <c r="A402" s="14" t="n">
        <v>401</v>
      </c>
      <c r="B402" s="14" t="inlineStr">
        <is>
          <t>TNGDV2609126912414340</t>
        </is>
      </c>
      <c r="C402" s="15" t="inlineStr">
        <is>
          <t>267182666888</t>
        </is>
      </c>
      <c r="D402" s="16" t="n">
        <v>46290.5899074074</v>
      </c>
      <c r="E402" s="17" t="n">
        <v>46290</v>
      </c>
      <c r="F402" s="14" t="inlineStr">
        <is>
          <t>Fri</t>
        </is>
      </c>
      <c r="G402" s="14" t="inlineStr">
        <is>
          <t>KV</t>
        </is>
      </c>
      <c r="H402" s="14" t="inlineStr">
        <is>
          <t>CJY</t>
        </is>
      </c>
      <c r="I402" s="14" t="inlineStr">
        <is>
          <t>CJY - ID - RICHARD DASS</t>
        </is>
      </c>
      <c r="J402" s="14" t="inlineStr">
        <is>
          <t>ID (named driver)</t>
        </is>
      </c>
      <c r="K402" s="14" t="inlineStr">
        <is>
          <t>91826660</t>
        </is>
      </c>
      <c r="L402" s="14" t="n">
        <v>1</v>
      </c>
      <c r="M402" s="14" t="inlineStr">
        <is>
          <t>LM</t>
        </is>
      </c>
      <c r="N402" s="14" t="inlineStr">
        <is>
          <t>Deliver to Wrong Address</t>
        </is>
      </c>
      <c r="O402" s="14" t="inlineStr"/>
      <c r="P402" s="14" t="inlineStr"/>
      <c r="Q402" s="14" t="inlineStr"/>
      <c r="R402" s="14" t="inlineStr">
        <is>
          <t>Completed 2026-09-17 but cust not received. Done retrieve, parcel with Ninja Van and resume for delivery</t>
        </is>
      </c>
      <c r="S402" s="14" t="inlineStr">
        <is>
          <t>Syaza</t>
        </is>
      </c>
      <c r="T402" s="14">
        <f>COUNTIF($B$2:$B$499,B402)</f>
        <v/>
      </c>
      <c r="U402" s="14">
        <f>COUNTIF($I$2:$I$499,I402)</f>
        <v/>
      </c>
      <c r="V402" s="14">
        <f>IF(ISNA(MATCH(B402,'Metabase Lookup'!$A:$A,0)),"Not found",IF(INDEX('Metabase Lookup'!$B:$B,MATCH(B402,'Metabase Lookup'!$A:$A,0))="","Pending",INDEX('Metabase Lookup'!$B:$B,MATCH(B402,'Metabase Lookup'!$A:$A,0))))</f>
        <v/>
      </c>
      <c r="W402" s="14">
        <f>IF(ISNA(MATCH(B402,'Metabase Lookup'!$A:$A,0)),"Not found",IF(INDEX('Metabase Lookup'!$C:$C,MATCH(B402,'Metabase Lookup'!$A:$A,0))="","Pending",INDEX('Metabase Lookup'!$C:$C,MATCH(B402,'Metabase Lookup'!$A:$A,0))))</f>
        <v/>
      </c>
      <c r="X402" s="14">
        <f>IF(ISNA(MATCH(B402,'Metabase Lookup'!$A:$A,0)),"",IF(INDEX('Metabase Lookup'!$D:$D,MATCH(B402,'Metabase Lookup'!$A:$A,0))="","",INDEX('Metabase Lookup'!$D:$D,MATCH(B402,'Metabase Lookup'!$A:$A,0))))</f>
        <v/>
      </c>
      <c r="Y402" s="14">
        <f>IF(ISNUMBER(W402),IF(W402&gt;0,"Yes","No"),"Pending")</f>
        <v/>
      </c>
      <c r="Z402" s="14" t="inlineStr"/>
    </row>
    <row r="403">
      <c r="A403" s="14" t="n">
        <v>402</v>
      </c>
      <c r="B403" s="14" t="inlineStr">
        <is>
          <t>AEMYA000637229</t>
        </is>
      </c>
      <c r="C403" s="15" t="inlineStr">
        <is>
          <t>269172685142</t>
        </is>
      </c>
      <c r="D403" s="16" t="n">
        <v>46290.59018518519</v>
      </c>
      <c r="E403" s="17" t="n">
        <v>46290</v>
      </c>
      <c r="F403" s="14" t="inlineStr">
        <is>
          <t>Fri</t>
        </is>
      </c>
      <c r="G403" s="14" t="inlineStr">
        <is>
          <t>KV</t>
        </is>
      </c>
      <c r="H403" s="14" t="inlineStr">
        <is>
          <t>SUN</t>
        </is>
      </c>
      <c r="I403" s="14" t="inlineStr">
        <is>
          <t>SUN - IR - AISYAH</t>
        </is>
      </c>
      <c r="J403" s="14" t="inlineStr">
        <is>
          <t>IR (named)</t>
        </is>
      </c>
      <c r="K403" s="14" t="inlineStr">
        <is>
          <t>91879934</t>
        </is>
      </c>
      <c r="L403" s="14" t="n">
        <v>1</v>
      </c>
      <c r="M403" s="14" t="inlineStr">
        <is>
          <t>LM</t>
        </is>
      </c>
      <c r="N403" s="14" t="inlineStr">
        <is>
          <t>Fake Fail</t>
        </is>
      </c>
      <c r="O403" s="14" t="inlineStr">
        <is>
          <t>Invalid location / site photo</t>
        </is>
      </c>
      <c r="P403" s="14" t="inlineStr">
        <is>
          <t>Yes</t>
        </is>
      </c>
      <c r="Q403" s="14" t="inlineStr">
        <is>
          <t>No</t>
        </is>
      </c>
      <c r="R403" s="14" t="inlineStr">
        <is>
          <t>Cust claim pod is not cust place</t>
        </is>
      </c>
      <c r="S403" s="14" t="inlineStr">
        <is>
          <t>Hartini</t>
        </is>
      </c>
      <c r="T403" s="14">
        <f>COUNTIF($B$2:$B$499,B403)</f>
        <v/>
      </c>
      <c r="U403" s="14">
        <f>COUNTIF($I$2:$I$499,I403)</f>
        <v/>
      </c>
      <c r="V403" s="14">
        <f>IF(ISNA(MATCH(B403,'Metabase Lookup'!$A:$A,0)),"Not found",IF(INDEX('Metabase Lookup'!$B:$B,MATCH(B403,'Metabase Lookup'!$A:$A,0))="","Pending",INDEX('Metabase Lookup'!$B:$B,MATCH(B403,'Metabase Lookup'!$A:$A,0))))</f>
        <v/>
      </c>
      <c r="W403" s="14">
        <f>IF(ISNA(MATCH(B403,'Metabase Lookup'!$A:$A,0)),"Not found",IF(INDEX('Metabase Lookup'!$C:$C,MATCH(B403,'Metabase Lookup'!$A:$A,0))="","Pending",INDEX('Metabase Lookup'!$C:$C,MATCH(B403,'Metabase Lookup'!$A:$A,0))))</f>
        <v/>
      </c>
      <c r="X403" s="14">
        <f>IF(ISNA(MATCH(B403,'Metabase Lookup'!$A:$A,0)),"",IF(INDEX('Metabase Lookup'!$D:$D,MATCH(B403,'Metabase Lookup'!$A:$A,0))="","",INDEX('Metabase Lookup'!$D:$D,MATCH(B403,'Metabase Lookup'!$A:$A,0))))</f>
        <v/>
      </c>
      <c r="Y403" s="14">
        <f>IF(ISNUMBER(W403),IF(W403&gt;0,"Yes","No"),"Pending")</f>
        <v/>
      </c>
      <c r="Z403" s="14" t="inlineStr"/>
    </row>
    <row r="404">
      <c r="A404" s="14" t="n">
        <v>403</v>
      </c>
      <c r="B404" s="14" t="inlineStr">
        <is>
          <t>NVMYMAOPT000056705</t>
        </is>
      </c>
      <c r="C404" s="15" t="inlineStr">
        <is>
          <t>261522684438</t>
        </is>
      </c>
      <c r="D404" s="16" t="n">
        <v>46290.59403935185</v>
      </c>
      <c r="E404" s="17" t="n">
        <v>46290</v>
      </c>
      <c r="F404" s="14" t="inlineStr">
        <is>
          <t>Fri</t>
        </is>
      </c>
      <c r="G404" s="14" t="inlineStr">
        <is>
          <t>Southern</t>
        </is>
      </c>
      <c r="H404" s="14" t="inlineStr">
        <is>
          <t>PSG</t>
        </is>
      </c>
      <c r="I404" s="14" t="inlineStr">
        <is>
          <t>PSG - OPS</t>
        </is>
      </c>
      <c r="J404" s="14" t="inlineStr">
        <is>
          <t>OPS (generic hub account)</t>
        </is>
      </c>
      <c r="K404" s="14" t="inlineStr">
        <is>
          <t>91875748</t>
        </is>
      </c>
      <c r="L404" s="14" t="n">
        <v>1</v>
      </c>
      <c r="M404" s="14" t="inlineStr">
        <is>
          <t>LM</t>
        </is>
      </c>
      <c r="N404" s="14" t="inlineStr">
        <is>
          <t>Fake Fail</t>
        </is>
      </c>
      <c r="O404" s="14" t="inlineStr">
        <is>
          <t>Customer disputes attempt</t>
        </is>
      </c>
      <c r="P404" s="14" t="inlineStr">
        <is>
          <t>No</t>
        </is>
      </c>
      <c r="Q404" s="14" t="inlineStr">
        <is>
          <t>No</t>
        </is>
      </c>
      <c r="R404" s="14" t="inlineStr">
        <is>
          <t>cust did not receive any call</t>
        </is>
      </c>
      <c r="S404" s="14" t="inlineStr">
        <is>
          <t>Hartini</t>
        </is>
      </c>
      <c r="T404" s="14">
        <f>COUNTIF($B$2:$B$499,B404)</f>
        <v/>
      </c>
      <c r="U404" s="14">
        <f>COUNTIF($I$2:$I$499,I404)</f>
        <v/>
      </c>
      <c r="V404" s="14">
        <f>IF(ISNA(MATCH(B404,'Metabase Lookup'!$A:$A,0)),"Not found",IF(INDEX('Metabase Lookup'!$B:$B,MATCH(B404,'Metabase Lookup'!$A:$A,0))="","Pending",INDEX('Metabase Lookup'!$B:$B,MATCH(B404,'Metabase Lookup'!$A:$A,0))))</f>
        <v/>
      </c>
      <c r="W404" s="14">
        <f>IF(ISNA(MATCH(B404,'Metabase Lookup'!$A:$A,0)),"Not found",IF(INDEX('Metabase Lookup'!$C:$C,MATCH(B404,'Metabase Lookup'!$A:$A,0))="","Pending",INDEX('Metabase Lookup'!$C:$C,MATCH(B404,'Metabase Lookup'!$A:$A,0))))</f>
        <v/>
      </c>
      <c r="X404" s="14">
        <f>IF(ISNA(MATCH(B404,'Metabase Lookup'!$A:$A,0)),"",IF(INDEX('Metabase Lookup'!$D:$D,MATCH(B404,'Metabase Lookup'!$A:$A,0))="","",INDEX('Metabase Lookup'!$D:$D,MATCH(B404,'Metabase Lookup'!$A:$A,0))))</f>
        <v/>
      </c>
      <c r="Y404" s="14">
        <f>IF(ISNUMBER(W404),IF(W404&gt;0,"Yes","No"),"Pending")</f>
        <v/>
      </c>
      <c r="Z404" s="14" t="inlineStr">
        <is>
          <t>Possible double entry (&lt;60 min); Driver not identified (OPS account)</t>
        </is>
      </c>
    </row>
    <row r="405">
      <c r="A405" s="14" t="n">
        <v>404</v>
      </c>
      <c r="B405" s="14" t="inlineStr">
        <is>
          <t>NVMYMAOPT000056705</t>
        </is>
      </c>
      <c r="C405" s="15" t="inlineStr">
        <is>
          <t>261522684438</t>
        </is>
      </c>
      <c r="D405" s="16" t="n">
        <v>46290.59504629629</v>
      </c>
      <c r="E405" s="17" t="n">
        <v>46290</v>
      </c>
      <c r="F405" s="14" t="inlineStr">
        <is>
          <t>Fri</t>
        </is>
      </c>
      <c r="G405" s="14" t="inlineStr">
        <is>
          <t>Southern</t>
        </is>
      </c>
      <c r="H405" s="14" t="inlineStr">
        <is>
          <t>PSG</t>
        </is>
      </c>
      <c r="I405" s="14" t="inlineStr">
        <is>
          <t>firdaus asri1</t>
        </is>
      </c>
      <c r="J405" s="14" t="inlineStr">
        <is>
          <t>Name only (no hub/code)</t>
        </is>
      </c>
      <c r="K405" s="14" t="inlineStr">
        <is>
          <t>91884344</t>
        </is>
      </c>
      <c r="L405" s="14" t="n">
        <v>1</v>
      </c>
      <c r="M405" s="14" t="inlineStr">
        <is>
          <t>LM</t>
        </is>
      </c>
      <c r="N405" s="14" t="inlineStr">
        <is>
          <t>Pull Out Route (POR)</t>
        </is>
      </c>
      <c r="O405" s="14" t="inlineStr"/>
      <c r="P405" s="14" t="inlineStr"/>
      <c r="Q405" s="14" t="inlineStr"/>
      <c r="R405" s="14" t="inlineStr">
        <is>
          <t>pull out route on 2026-09-25 09:16:54 by firdaus asri1</t>
        </is>
      </c>
      <c r="S405" s="14" t="inlineStr">
        <is>
          <t>Hartini</t>
        </is>
      </c>
      <c r="T405" s="14">
        <f>COUNTIF($B$2:$B$499,B405)</f>
        <v/>
      </c>
      <c r="U405" s="14">
        <f>COUNTIF($I$2:$I$499,I405)</f>
        <v/>
      </c>
      <c r="V405" s="14">
        <f>IF(ISNA(MATCH(B405,'Metabase Lookup'!$A:$A,0)),"Not found",IF(INDEX('Metabase Lookup'!$B:$B,MATCH(B405,'Metabase Lookup'!$A:$A,0))="","Pending",INDEX('Metabase Lookup'!$B:$B,MATCH(B405,'Metabase Lookup'!$A:$A,0))))</f>
        <v/>
      </c>
      <c r="W405" s="14">
        <f>IF(ISNA(MATCH(B405,'Metabase Lookup'!$A:$A,0)),"Not found",IF(INDEX('Metabase Lookup'!$C:$C,MATCH(B405,'Metabase Lookup'!$A:$A,0))="","Pending",INDEX('Metabase Lookup'!$C:$C,MATCH(B405,'Metabase Lookup'!$A:$A,0))))</f>
        <v/>
      </c>
      <c r="X405" s="14">
        <f>IF(ISNA(MATCH(B405,'Metabase Lookup'!$A:$A,0)),"",IF(INDEX('Metabase Lookup'!$D:$D,MATCH(B405,'Metabase Lookup'!$A:$A,0))="","",INDEX('Metabase Lookup'!$D:$D,MATCH(B405,'Metabase Lookup'!$A:$A,0))))</f>
        <v/>
      </c>
      <c r="Y405" s="14">
        <f>IF(ISNUMBER(W405),IF(W405&gt;0,"Yes","No"),"Pending")</f>
        <v/>
      </c>
      <c r="Z405" s="14" t="inlineStr">
        <is>
          <t>Possible double entry (&lt;60 min)</t>
        </is>
      </c>
    </row>
    <row r="406">
      <c r="A406" s="14" t="n">
        <v>405</v>
      </c>
      <c r="B406" s="14" t="inlineStr">
        <is>
          <t>TNGE326020018325386770</t>
        </is>
      </c>
      <c r="C406" s="15" t="inlineStr">
        <is>
          <t>262482666225</t>
        </is>
      </c>
      <c r="D406" s="16" t="n">
        <v>46290.59613425926</v>
      </c>
      <c r="E406" s="17" t="n">
        <v>46290</v>
      </c>
      <c r="F406" s="14" t="inlineStr">
        <is>
          <t>Fri</t>
        </is>
      </c>
      <c r="G406" s="14" t="inlineStr">
        <is>
          <t>Northern</t>
        </is>
      </c>
      <c r="H406" s="14" t="inlineStr">
        <is>
          <t>SIM</t>
        </is>
      </c>
      <c r="I406" s="14" t="inlineStr">
        <is>
          <t>SIM - ID - IMRANNN</t>
        </is>
      </c>
      <c r="J406" s="14" t="inlineStr">
        <is>
          <t>ID (named driver)</t>
        </is>
      </c>
      <c r="K406" s="14" t="inlineStr">
        <is>
          <t>91851407</t>
        </is>
      </c>
      <c r="L406" s="14" t="n">
        <v>1</v>
      </c>
      <c r="M406" s="14" t="inlineStr">
        <is>
          <t>LM</t>
        </is>
      </c>
      <c r="N406" s="14" t="inlineStr">
        <is>
          <t>Deliver to Wrong Address</t>
        </is>
      </c>
      <c r="O406" s="14" t="inlineStr"/>
      <c r="P406" s="14" t="inlineStr"/>
      <c r="Q406" s="14" t="inlineStr"/>
      <c r="R406" s="14" t="inlineStr">
        <is>
          <t>Completed 2026-09-20 but cust not received. Done retrieve and cust received after complaint lodge</t>
        </is>
      </c>
      <c r="S406" s="14" t="inlineStr">
        <is>
          <t>Syaza</t>
        </is>
      </c>
      <c r="T406" s="14">
        <f>COUNTIF($B$2:$B$499,B406)</f>
        <v/>
      </c>
      <c r="U406" s="14">
        <f>COUNTIF($I$2:$I$499,I406)</f>
        <v/>
      </c>
      <c r="V406" s="14">
        <f>IF(ISNA(MATCH(B406,'Metabase Lookup'!$A:$A,0)),"Not found",IF(INDEX('Metabase Lookup'!$B:$B,MATCH(B406,'Metabase Lookup'!$A:$A,0))="","Pending",INDEX('Metabase Lookup'!$B:$B,MATCH(B406,'Metabase Lookup'!$A:$A,0))))</f>
        <v/>
      </c>
      <c r="W406" s="14">
        <f>IF(ISNA(MATCH(B406,'Metabase Lookup'!$A:$A,0)),"Not found",IF(INDEX('Metabase Lookup'!$C:$C,MATCH(B406,'Metabase Lookup'!$A:$A,0))="","Pending",INDEX('Metabase Lookup'!$C:$C,MATCH(B406,'Metabase Lookup'!$A:$A,0))))</f>
        <v/>
      </c>
      <c r="X406" s="14">
        <f>IF(ISNA(MATCH(B406,'Metabase Lookup'!$A:$A,0)),"",IF(INDEX('Metabase Lookup'!$D:$D,MATCH(B406,'Metabase Lookup'!$A:$A,0))="","",INDEX('Metabase Lookup'!$D:$D,MATCH(B406,'Metabase Lookup'!$A:$A,0))))</f>
        <v/>
      </c>
      <c r="Y406" s="14">
        <f>IF(ISNUMBER(W406),IF(W406&gt;0,"Yes","No"),"Pending")</f>
        <v/>
      </c>
      <c r="Z406" s="14" t="inlineStr"/>
    </row>
    <row r="407">
      <c r="A407" s="14" t="n">
        <v>406</v>
      </c>
      <c r="B407" s="14" t="inlineStr">
        <is>
          <t>HAFDA1551311816403288064</t>
        </is>
      </c>
      <c r="C407" s="15" t="inlineStr">
        <is>
          <t>260022682371</t>
        </is>
      </c>
      <c r="D407" s="16" t="n">
        <v>46290.59712962963</v>
      </c>
      <c r="E407" s="17" t="n">
        <v>46290</v>
      </c>
      <c r="F407" s="14" t="inlineStr">
        <is>
          <t>Fri</t>
        </is>
      </c>
      <c r="G407" s="14" t="inlineStr">
        <is>
          <t>Southern</t>
        </is>
      </c>
      <c r="H407" s="14" t="inlineStr">
        <is>
          <t>GLG</t>
        </is>
      </c>
      <c r="I407" s="14" t="inlineStr">
        <is>
          <t>GLG - OPS - ENGKU</t>
        </is>
      </c>
      <c r="J407" s="14" t="inlineStr">
        <is>
          <t>OPS (generic hub account)</t>
        </is>
      </c>
      <c r="K407" s="14" t="inlineStr">
        <is>
          <t>91868637</t>
        </is>
      </c>
      <c r="L407" s="14" t="n">
        <v>1</v>
      </c>
      <c r="M407" s="14" t="inlineStr">
        <is>
          <t>LM</t>
        </is>
      </c>
      <c r="N407" s="14" t="inlineStr">
        <is>
          <t>Fake Fail</t>
        </is>
      </c>
      <c r="O407" s="14" t="inlineStr">
        <is>
          <t>Customer disputes attempt</t>
        </is>
      </c>
      <c r="P407" s="14" t="inlineStr">
        <is>
          <t>No</t>
        </is>
      </c>
      <c r="Q407" s="14" t="inlineStr">
        <is>
          <t>No</t>
        </is>
      </c>
      <c r="R407" s="14" t="inlineStr">
        <is>
          <t>cust did not receive the any call</t>
        </is>
      </c>
      <c r="S407" s="14" t="inlineStr">
        <is>
          <t>Hartini</t>
        </is>
      </c>
      <c r="T407" s="14">
        <f>COUNTIF($B$2:$B$499,B407)</f>
        <v/>
      </c>
      <c r="U407" s="14">
        <f>COUNTIF($I$2:$I$499,I407)</f>
        <v/>
      </c>
      <c r="V407" s="14">
        <f>IF(ISNA(MATCH(B407,'Metabase Lookup'!$A:$A,0)),"Not found",IF(INDEX('Metabase Lookup'!$B:$B,MATCH(B407,'Metabase Lookup'!$A:$A,0))="","Pending",INDEX('Metabase Lookup'!$B:$B,MATCH(B407,'Metabase Lookup'!$A:$A,0))))</f>
        <v/>
      </c>
      <c r="W407" s="14">
        <f>IF(ISNA(MATCH(B407,'Metabase Lookup'!$A:$A,0)),"Not found",IF(INDEX('Metabase Lookup'!$C:$C,MATCH(B407,'Metabase Lookup'!$A:$A,0))="","Pending",INDEX('Metabase Lookup'!$C:$C,MATCH(B407,'Metabase Lookup'!$A:$A,0))))</f>
        <v/>
      </c>
      <c r="X407" s="14">
        <f>IF(ISNA(MATCH(B407,'Metabase Lookup'!$A:$A,0)),"",IF(INDEX('Metabase Lookup'!$D:$D,MATCH(B407,'Metabase Lookup'!$A:$A,0))="","",INDEX('Metabase Lookup'!$D:$D,MATCH(B407,'Metabase Lookup'!$A:$A,0))))</f>
        <v/>
      </c>
      <c r="Y407" s="14">
        <f>IF(ISNUMBER(W407),IF(W407&gt;0,"Yes","No"),"Pending")</f>
        <v/>
      </c>
      <c r="Z407" s="14" t="inlineStr">
        <is>
          <t>Driver not identified (OPS account)</t>
        </is>
      </c>
    </row>
    <row r="408">
      <c r="A408" s="14" t="n">
        <v>407</v>
      </c>
      <c r="B408" s="14" t="inlineStr">
        <is>
          <t>NVMYVNTRL00095212A</t>
        </is>
      </c>
      <c r="C408" s="15" t="inlineStr">
        <is>
          <t>263722661414</t>
        </is>
      </c>
      <c r="D408" s="16" t="n">
        <v>46290.60201388889</v>
      </c>
      <c r="E408" s="17" t="n">
        <v>46290</v>
      </c>
      <c r="F408" s="14" t="inlineStr">
        <is>
          <t>Fri</t>
        </is>
      </c>
      <c r="G408" s="14" t="inlineStr">
        <is>
          <t>KV</t>
        </is>
      </c>
      <c r="H408" s="14" t="inlineStr">
        <is>
          <t>CJY</t>
        </is>
      </c>
      <c r="I408" s="14" t="inlineStr">
        <is>
          <t>CJY - ID - RAUDHA</t>
        </is>
      </c>
      <c r="J408" s="14" t="inlineStr">
        <is>
          <t>ID (named driver)</t>
        </is>
      </c>
      <c r="K408" s="14" t="inlineStr">
        <is>
          <t>91843758</t>
        </is>
      </c>
      <c r="L408" s="14" t="n">
        <v>1</v>
      </c>
      <c r="M408" s="14" t="inlineStr">
        <is>
          <t>LM</t>
        </is>
      </c>
      <c r="N408" s="14" t="inlineStr">
        <is>
          <t>Deliver to Wrong Address</t>
        </is>
      </c>
      <c r="O408" s="14" t="inlineStr"/>
      <c r="P408" s="14" t="inlineStr"/>
      <c r="Q408" s="14" t="inlineStr"/>
      <c r="R408" s="14" t="inlineStr">
        <is>
          <t>Completed 2026-09-19 but delivered to the wrong location. done retrieve and send to the correct address</t>
        </is>
      </c>
      <c r="S408" s="14" t="inlineStr">
        <is>
          <t>Syaza</t>
        </is>
      </c>
      <c r="T408" s="14">
        <f>COUNTIF($B$2:$B$499,B408)</f>
        <v/>
      </c>
      <c r="U408" s="14">
        <f>COUNTIF($I$2:$I$499,I408)</f>
        <v/>
      </c>
      <c r="V408" s="14">
        <f>IF(ISNA(MATCH(B408,'Metabase Lookup'!$A:$A,0)),"Not found",IF(INDEX('Metabase Lookup'!$B:$B,MATCH(B408,'Metabase Lookup'!$A:$A,0))="","Pending",INDEX('Metabase Lookup'!$B:$B,MATCH(B408,'Metabase Lookup'!$A:$A,0))))</f>
        <v/>
      </c>
      <c r="W408" s="14">
        <f>IF(ISNA(MATCH(B408,'Metabase Lookup'!$A:$A,0)),"Not found",IF(INDEX('Metabase Lookup'!$C:$C,MATCH(B408,'Metabase Lookup'!$A:$A,0))="","Pending",INDEX('Metabase Lookup'!$C:$C,MATCH(B408,'Metabase Lookup'!$A:$A,0))))</f>
        <v/>
      </c>
      <c r="X408" s="14">
        <f>IF(ISNA(MATCH(B408,'Metabase Lookup'!$A:$A,0)),"",IF(INDEX('Metabase Lookup'!$D:$D,MATCH(B408,'Metabase Lookup'!$A:$A,0))="","",INDEX('Metabase Lookup'!$D:$D,MATCH(B408,'Metabase Lookup'!$A:$A,0))))</f>
        <v/>
      </c>
      <c r="Y408" s="14">
        <f>IF(ISNUMBER(W408),IF(W408&gt;0,"Yes","No"),"Pending")</f>
        <v/>
      </c>
      <c r="Z408" s="14" t="inlineStr"/>
    </row>
    <row r="409">
      <c r="A409" s="14" t="n">
        <v>408</v>
      </c>
      <c r="B409" s="14" t="inlineStr">
        <is>
          <t>NVMYFRSTG000015878</t>
        </is>
      </c>
      <c r="C409" s="15" t="inlineStr">
        <is>
          <t>263072667672</t>
        </is>
      </c>
      <c r="D409" s="16" t="n">
        <v>46290.60790509259</v>
      </c>
      <c r="E409" s="17" t="n">
        <v>46290</v>
      </c>
      <c r="F409" s="14" t="inlineStr">
        <is>
          <t>Fri</t>
        </is>
      </c>
      <c r="G409" s="14" t="inlineStr">
        <is>
          <t>KV</t>
        </is>
      </c>
      <c r="H409" s="14" t="inlineStr">
        <is>
          <t>SZB</t>
        </is>
      </c>
      <c r="I409" s="14" t="inlineStr">
        <is>
          <t>SZB - ID - KHAIRUL PUTRA</t>
        </is>
      </c>
      <c r="J409" s="14" t="inlineStr">
        <is>
          <t>ID (named driver)</t>
        </is>
      </c>
      <c r="K409" s="14" t="inlineStr">
        <is>
          <t>91843431</t>
        </is>
      </c>
      <c r="L409" s="14" t="n">
        <v>1</v>
      </c>
      <c r="M409" s="14" t="inlineStr">
        <is>
          <t>LM</t>
        </is>
      </c>
      <c r="N409" s="14" t="inlineStr">
        <is>
          <t>Fake Success</t>
        </is>
      </c>
      <c r="O409" s="14" t="inlineStr"/>
      <c r="P409" s="14" t="inlineStr"/>
      <c r="Q409" s="14" t="inlineStr"/>
      <c r="R409" s="14" t="inlineStr">
        <is>
          <t>Pod invalid (parcel is not belong to the customer). Done retrieve and customer already received it after complaint lodge</t>
        </is>
      </c>
      <c r="S409" s="14" t="inlineStr">
        <is>
          <t>Syaza</t>
        </is>
      </c>
      <c r="T409" s="14">
        <f>COUNTIF($B$2:$B$499,B409)</f>
        <v/>
      </c>
      <c r="U409" s="14">
        <f>COUNTIF($I$2:$I$499,I409)</f>
        <v/>
      </c>
      <c r="V409" s="14">
        <f>IF(ISNA(MATCH(B409,'Metabase Lookup'!$A:$A,0)),"Not found",IF(INDEX('Metabase Lookup'!$B:$B,MATCH(B409,'Metabase Lookup'!$A:$A,0))="","Pending",INDEX('Metabase Lookup'!$B:$B,MATCH(B409,'Metabase Lookup'!$A:$A,0))))</f>
        <v/>
      </c>
      <c r="W409" s="14">
        <f>IF(ISNA(MATCH(B409,'Metabase Lookup'!$A:$A,0)),"Not found",IF(INDEX('Metabase Lookup'!$C:$C,MATCH(B409,'Metabase Lookup'!$A:$A,0))="","Pending",INDEX('Metabase Lookup'!$C:$C,MATCH(B409,'Metabase Lookup'!$A:$A,0))))</f>
        <v/>
      </c>
      <c r="X409" s="14">
        <f>IF(ISNA(MATCH(B409,'Metabase Lookup'!$A:$A,0)),"",IF(INDEX('Metabase Lookup'!$D:$D,MATCH(B409,'Metabase Lookup'!$A:$A,0))="","",INDEX('Metabase Lookup'!$D:$D,MATCH(B409,'Metabase Lookup'!$A:$A,0))))</f>
        <v/>
      </c>
      <c r="Y409" s="14">
        <f>IF(ISNUMBER(W409),IF(W409&gt;0,"Yes","No"),"Pending")</f>
        <v/>
      </c>
      <c r="Z409" s="14" t="inlineStr"/>
    </row>
    <row r="410">
      <c r="A410" s="14" t="n">
        <v>409</v>
      </c>
      <c r="B410" s="14" t="inlineStr">
        <is>
          <t>NVMYFUMSB002601441-004</t>
        </is>
      </c>
      <c r="C410" s="15" t="inlineStr">
        <is>
          <t>263812680647</t>
        </is>
      </c>
      <c r="D410" s="16" t="n">
        <v>46290.61863425926</v>
      </c>
      <c r="E410" s="17" t="n">
        <v>46290</v>
      </c>
      <c r="F410" s="14" t="inlineStr">
        <is>
          <t>Fri</t>
        </is>
      </c>
      <c r="G410" s="14" t="inlineStr">
        <is>
          <t>Northern</t>
        </is>
      </c>
      <c r="H410" s="14" t="inlineStr">
        <is>
          <t>GEO</t>
        </is>
      </c>
      <c r="I410" s="14" t="inlineStr">
        <is>
          <t>GEO - OPS - PULAU TIKUS</t>
        </is>
      </c>
      <c r="J410" s="14" t="inlineStr">
        <is>
          <t>OPS (generic hub account)</t>
        </is>
      </c>
      <c r="K410" s="14" t="inlineStr">
        <is>
          <t>91877435</t>
        </is>
      </c>
      <c r="L410" s="14" t="n">
        <v>1</v>
      </c>
      <c r="M410" s="14" t="inlineStr">
        <is>
          <t>LM</t>
        </is>
      </c>
      <c r="N410" s="14" t="inlineStr">
        <is>
          <t>Fake Fail</t>
        </is>
      </c>
      <c r="O410" s="14" t="inlineStr">
        <is>
          <t>No call / call log missing</t>
        </is>
      </c>
      <c r="P410" s="14" t="inlineStr">
        <is>
          <t>No</t>
        </is>
      </c>
      <c r="Q410" s="14" t="inlineStr">
        <is>
          <t>No</t>
        </is>
      </c>
      <c r="R410" s="14" t="inlineStr">
        <is>
          <t>Invalid delivery attempt. POD invalid: No call log</t>
        </is>
      </c>
      <c r="S410" s="14" t="inlineStr">
        <is>
          <t>Putri</t>
        </is>
      </c>
      <c r="T410" s="14">
        <f>COUNTIF($B$2:$B$499,B410)</f>
        <v/>
      </c>
      <c r="U410" s="14">
        <f>COUNTIF($I$2:$I$499,I410)</f>
        <v/>
      </c>
      <c r="V410" s="14">
        <f>IF(ISNA(MATCH(B410,'Metabase Lookup'!$A:$A,0)),"Not found",IF(INDEX('Metabase Lookup'!$B:$B,MATCH(B410,'Metabase Lookup'!$A:$A,0))="","Pending",INDEX('Metabase Lookup'!$B:$B,MATCH(B410,'Metabase Lookup'!$A:$A,0))))</f>
        <v/>
      </c>
      <c r="W410" s="14">
        <f>IF(ISNA(MATCH(B410,'Metabase Lookup'!$A:$A,0)),"Not found",IF(INDEX('Metabase Lookup'!$C:$C,MATCH(B410,'Metabase Lookup'!$A:$A,0))="","Pending",INDEX('Metabase Lookup'!$C:$C,MATCH(B410,'Metabase Lookup'!$A:$A,0))))</f>
        <v/>
      </c>
      <c r="X410" s="14">
        <f>IF(ISNA(MATCH(B410,'Metabase Lookup'!$A:$A,0)),"",IF(INDEX('Metabase Lookup'!$D:$D,MATCH(B410,'Metabase Lookup'!$A:$A,0))="","",INDEX('Metabase Lookup'!$D:$D,MATCH(B410,'Metabase Lookup'!$A:$A,0))))</f>
        <v/>
      </c>
      <c r="Y410" s="14">
        <f>IF(ISNUMBER(W410),IF(W410&gt;0,"Yes","No"),"Pending")</f>
        <v/>
      </c>
      <c r="Z410" s="14" t="inlineStr">
        <is>
          <t>TID had stray spaces/line breaks (cleaned); Driver not identified (OPS account)</t>
        </is>
      </c>
    </row>
    <row r="411">
      <c r="A411" s="14" t="n">
        <v>410</v>
      </c>
      <c r="B411" s="14" t="inlineStr">
        <is>
          <t>NVMY21533000009049</t>
        </is>
      </c>
      <c r="C411" s="15" t="inlineStr">
        <is>
          <t>263602679361</t>
        </is>
      </c>
      <c r="D411" s="16" t="n">
        <v>46290.62127314815</v>
      </c>
      <c r="E411" s="17" t="n">
        <v>46290</v>
      </c>
      <c r="F411" s="14" t="inlineStr">
        <is>
          <t>Fri</t>
        </is>
      </c>
      <c r="G411" s="14" t="inlineStr">
        <is>
          <t>Southern</t>
        </is>
      </c>
      <c r="H411" s="14" t="inlineStr">
        <is>
          <t>PTN</t>
        </is>
      </c>
      <c r="I411" s="14" t="inlineStr">
        <is>
          <t>PTN - ID - MASRIYAH</t>
        </is>
      </c>
      <c r="J411" s="14" t="inlineStr">
        <is>
          <t>ID (named driver)</t>
        </is>
      </c>
      <c r="K411" s="14" t="inlineStr">
        <is>
          <t>91868321</t>
        </is>
      </c>
      <c r="L411" s="14" t="n">
        <v>1</v>
      </c>
      <c r="M411" s="14" t="inlineStr">
        <is>
          <t>LM</t>
        </is>
      </c>
      <c r="N411" s="14" t="inlineStr">
        <is>
          <t>Deliver to Wrong Address</t>
        </is>
      </c>
      <c r="O411" s="14" t="inlineStr"/>
      <c r="P411" s="14" t="inlineStr"/>
      <c r="Q411" s="14" t="inlineStr"/>
      <c r="R411" s="14" t="inlineStr">
        <is>
          <t>completed 2026-09-22 but cust not received. Customer received after complaint lodge</t>
        </is>
      </c>
      <c r="S411" s="14" t="inlineStr">
        <is>
          <t>Syaza</t>
        </is>
      </c>
      <c r="T411" s="14">
        <f>COUNTIF($B$2:$B$499,B411)</f>
        <v/>
      </c>
      <c r="U411" s="14">
        <f>COUNTIF($I$2:$I$499,I411)</f>
        <v/>
      </c>
      <c r="V411" s="14">
        <f>IF(ISNA(MATCH(B411,'Metabase Lookup'!$A:$A,0)),"Not found",IF(INDEX('Metabase Lookup'!$B:$B,MATCH(B411,'Metabase Lookup'!$A:$A,0))="","Pending",INDEX('Metabase Lookup'!$B:$B,MATCH(B411,'Metabase Lookup'!$A:$A,0))))</f>
        <v/>
      </c>
      <c r="W411" s="14">
        <f>IF(ISNA(MATCH(B411,'Metabase Lookup'!$A:$A,0)),"Not found",IF(INDEX('Metabase Lookup'!$C:$C,MATCH(B411,'Metabase Lookup'!$A:$A,0))="","Pending",INDEX('Metabase Lookup'!$C:$C,MATCH(B411,'Metabase Lookup'!$A:$A,0))))</f>
        <v/>
      </c>
      <c r="X411" s="14">
        <f>IF(ISNA(MATCH(B411,'Metabase Lookup'!$A:$A,0)),"",IF(INDEX('Metabase Lookup'!$D:$D,MATCH(B411,'Metabase Lookup'!$A:$A,0))="","",INDEX('Metabase Lookup'!$D:$D,MATCH(B411,'Metabase Lookup'!$A:$A,0))))</f>
        <v/>
      </c>
      <c r="Y411" s="14">
        <f>IF(ISNUMBER(W411),IF(W411&gt;0,"Yes","No"),"Pending")</f>
        <v/>
      </c>
      <c r="Z411" s="14" t="inlineStr"/>
    </row>
    <row r="412">
      <c r="A412" s="14" t="n">
        <v>411</v>
      </c>
      <c r="B412" s="14" t="inlineStr">
        <is>
          <t>UMIDI1551484761843580928</t>
        </is>
      </c>
      <c r="C412" s="15" t="inlineStr">
        <is>
          <t>265162681208</t>
        </is>
      </c>
      <c r="D412" s="16" t="n">
        <v>46290.62996527777</v>
      </c>
      <c r="E412" s="17" t="n">
        <v>46290</v>
      </c>
      <c r="F412" s="14" t="inlineStr">
        <is>
          <t>Fri</t>
        </is>
      </c>
      <c r="G412" s="14" t="inlineStr">
        <is>
          <t>Southern</t>
        </is>
      </c>
      <c r="H412" s="14" t="inlineStr">
        <is>
          <t>KEM</t>
        </is>
      </c>
      <c r="I412" s="14" t="inlineStr">
        <is>
          <t>OPS - KEM | PSG - FM - Muhamamad Zahierudin</t>
        </is>
      </c>
      <c r="J412" s="14" t="inlineStr">
        <is>
          <t>Multiple drivers</t>
        </is>
      </c>
      <c r="K412" s="14" t="inlineStr">
        <is>
          <t>91873959, 91886131</t>
        </is>
      </c>
      <c r="L412" s="14" t="n">
        <v>2</v>
      </c>
      <c r="M412" s="14" t="inlineStr">
        <is>
          <t>LM</t>
        </is>
      </c>
      <c r="N412" s="14" t="inlineStr">
        <is>
          <t>Fake Fail</t>
        </is>
      </c>
      <c r="O412" s="14" t="inlineStr">
        <is>
          <t>Call not connected / no response</t>
        </is>
      </c>
      <c r="P412" s="14" t="inlineStr">
        <is>
          <t>No</t>
        </is>
      </c>
      <c r="Q412" s="14" t="inlineStr">
        <is>
          <t>No</t>
        </is>
      </c>
      <c r="R412" s="14" t="inlineStr">
        <is>
          <t>Call log is not connected and Whatsapp is blocked</t>
        </is>
      </c>
      <c r="S412" s="14" t="inlineStr">
        <is>
          <t>Izzni</t>
        </is>
      </c>
      <c r="T412" s="14">
        <f>COUNTIF($B$2:$B$499,B412)</f>
        <v/>
      </c>
      <c r="U412" s="14">
        <f>COUNTIF($I$2:$I$499,I412)</f>
        <v/>
      </c>
      <c r="V412" s="14">
        <f>IF(ISNA(MATCH(B412,'Metabase Lookup'!$A:$A,0)),"Not found",IF(INDEX('Metabase Lookup'!$B:$B,MATCH(B412,'Metabase Lookup'!$A:$A,0))="","Pending",INDEX('Metabase Lookup'!$B:$B,MATCH(B412,'Metabase Lookup'!$A:$A,0))))</f>
        <v/>
      </c>
      <c r="W412" s="14">
        <f>IF(ISNA(MATCH(B412,'Metabase Lookup'!$A:$A,0)),"Not found",IF(INDEX('Metabase Lookup'!$C:$C,MATCH(B412,'Metabase Lookup'!$A:$A,0))="","Pending",INDEX('Metabase Lookup'!$C:$C,MATCH(B412,'Metabase Lookup'!$A:$A,0))))</f>
        <v/>
      </c>
      <c r="X412" s="14">
        <f>IF(ISNA(MATCH(B412,'Metabase Lookup'!$A:$A,0)),"",IF(INDEX('Metabase Lookup'!$D:$D,MATCH(B412,'Metabase Lookup'!$A:$A,0))="","",INDEX('Metabase Lookup'!$D:$D,MATCH(B412,'Metabase Lookup'!$A:$A,0))))</f>
        <v/>
      </c>
      <c r="Y412" s="14">
        <f>IF(ISNUMBER(W412),IF(W412&gt;0,"Yes","No"),"Pending")</f>
        <v/>
      </c>
      <c r="Z412" s="14" t="inlineStr">
        <is>
          <t>Multiple drivers in one row; Multiple route IDs</t>
        </is>
      </c>
    </row>
    <row r="413">
      <c r="A413" s="14" t="n">
        <v>412</v>
      </c>
      <c r="B413" s="14" t="inlineStr">
        <is>
          <t>NVMYNINJA002524173</t>
        </is>
      </c>
      <c r="C413" s="15" t="inlineStr">
        <is>
          <t>260092686542</t>
        </is>
      </c>
      <c r="D413" s="16" t="n">
        <v>46290.63210648148</v>
      </c>
      <c r="E413" s="17" t="n">
        <v>46290</v>
      </c>
      <c r="F413" s="14" t="inlineStr">
        <is>
          <t>Fri</t>
        </is>
      </c>
      <c r="G413" s="14" t="inlineStr">
        <is>
          <t>Northern</t>
        </is>
      </c>
      <c r="H413" s="14" t="inlineStr">
        <is>
          <t>FLM</t>
        </is>
      </c>
      <c r="I413" s="14" t="inlineStr">
        <is>
          <t>Aufa Zainal</t>
        </is>
      </c>
      <c r="J413" s="14" t="inlineStr">
        <is>
          <t>Name only (no hub/code)</t>
        </is>
      </c>
      <c r="K413" s="14" t="inlineStr">
        <is>
          <t>91877468</t>
        </is>
      </c>
      <c r="L413" s="14" t="n">
        <v>1</v>
      </c>
      <c r="M413" s="14" t="inlineStr">
        <is>
          <t>LM</t>
        </is>
      </c>
      <c r="N413" s="14" t="inlineStr">
        <is>
          <t>Pull Out Route (POR)</t>
        </is>
      </c>
      <c r="O413" s="14" t="inlineStr"/>
      <c r="P413" s="14" t="inlineStr"/>
      <c r="Q413" s="14" t="inlineStr"/>
      <c r="R413" s="14" t="inlineStr">
        <is>
          <t>POR after 3 hours driver assign</t>
        </is>
      </c>
      <c r="S413" s="14" t="inlineStr">
        <is>
          <t>Syafiq</t>
        </is>
      </c>
      <c r="T413" s="14">
        <f>COUNTIF($B$2:$B$499,B413)</f>
        <v/>
      </c>
      <c r="U413" s="14">
        <f>COUNTIF($I$2:$I$499,I413)</f>
        <v/>
      </c>
      <c r="V413" s="14">
        <f>IF(ISNA(MATCH(B413,'Metabase Lookup'!$A:$A,0)),"Not found",IF(INDEX('Metabase Lookup'!$B:$B,MATCH(B413,'Metabase Lookup'!$A:$A,0))="","Pending",INDEX('Metabase Lookup'!$B:$B,MATCH(B413,'Metabase Lookup'!$A:$A,0))))</f>
        <v/>
      </c>
      <c r="W413" s="14">
        <f>IF(ISNA(MATCH(B413,'Metabase Lookup'!$A:$A,0)),"Not found",IF(INDEX('Metabase Lookup'!$C:$C,MATCH(B413,'Metabase Lookup'!$A:$A,0))="","Pending",INDEX('Metabase Lookup'!$C:$C,MATCH(B413,'Metabase Lookup'!$A:$A,0))))</f>
        <v/>
      </c>
      <c r="X413" s="14">
        <f>IF(ISNA(MATCH(B413,'Metabase Lookup'!$A:$A,0)),"",IF(INDEX('Metabase Lookup'!$D:$D,MATCH(B413,'Metabase Lookup'!$A:$A,0))="","",INDEX('Metabase Lookup'!$D:$D,MATCH(B413,'Metabase Lookup'!$A:$A,0))))</f>
        <v/>
      </c>
      <c r="Y413" s="14">
        <f>IF(ISNUMBER(W413),IF(W413&gt;0,"Yes","No"),"Pending")</f>
        <v/>
      </c>
      <c r="Z413" s="14" t="inlineStr"/>
    </row>
    <row r="414">
      <c r="A414" s="14" t="n">
        <v>413</v>
      </c>
      <c r="B414" s="14" t="inlineStr">
        <is>
          <t>NVMYMAURE000005570</t>
        </is>
      </c>
      <c r="C414" s="15" t="inlineStr">
        <is>
          <t>263352659928</t>
        </is>
      </c>
      <c r="D414" s="16" t="n">
        <v>46290.63929398148</v>
      </c>
      <c r="E414" s="17" t="n">
        <v>46290</v>
      </c>
      <c r="F414" s="14" t="inlineStr">
        <is>
          <t>Fri</t>
        </is>
      </c>
      <c r="G414" s="14" t="inlineStr">
        <is>
          <t>East MY</t>
        </is>
      </c>
      <c r="H414" s="14" t="inlineStr">
        <is>
          <t>KCH</t>
        </is>
      </c>
      <c r="I414" s="14" t="inlineStr">
        <is>
          <t>KCH - ID - AFEQ DANIAL</t>
        </is>
      </c>
      <c r="J414" s="14" t="inlineStr">
        <is>
          <t>ID (named driver)</t>
        </is>
      </c>
      <c r="K414" s="14" t="inlineStr">
        <is>
          <t>91884883</t>
        </is>
      </c>
      <c r="L414" s="14" t="n">
        <v>1</v>
      </c>
      <c r="M414" s="14" t="inlineStr">
        <is>
          <t>LM</t>
        </is>
      </c>
      <c r="N414" s="14" t="inlineStr">
        <is>
          <t>Fake Fail</t>
        </is>
      </c>
      <c r="O414" s="14" t="inlineStr">
        <is>
          <t>Invalid POD (no detail)</t>
        </is>
      </c>
      <c r="P414" s="14" t="inlineStr">
        <is>
          <t>No</t>
        </is>
      </c>
      <c r="Q414" s="14" t="inlineStr">
        <is>
          <t>No</t>
        </is>
      </c>
      <c r="R414" s="14" t="inlineStr">
        <is>
          <t>driver provide invalid POD for failed delivery reason</t>
        </is>
      </c>
      <c r="S414" s="14" t="inlineStr">
        <is>
          <t>Aimenn Aiyad</t>
        </is>
      </c>
      <c r="T414" s="14">
        <f>COUNTIF($B$2:$B$499,B414)</f>
        <v/>
      </c>
      <c r="U414" s="14">
        <f>COUNTIF($I$2:$I$499,I414)</f>
        <v/>
      </c>
      <c r="V414" s="14">
        <f>IF(ISNA(MATCH(B414,'Metabase Lookup'!$A:$A,0)),"Not found",IF(INDEX('Metabase Lookup'!$B:$B,MATCH(B414,'Metabase Lookup'!$A:$A,0))="","Pending",INDEX('Metabase Lookup'!$B:$B,MATCH(B414,'Metabase Lookup'!$A:$A,0))))</f>
        <v/>
      </c>
      <c r="W414" s="14">
        <f>IF(ISNA(MATCH(B414,'Metabase Lookup'!$A:$A,0)),"Not found",IF(INDEX('Metabase Lookup'!$C:$C,MATCH(B414,'Metabase Lookup'!$A:$A,0))="","Pending",INDEX('Metabase Lookup'!$C:$C,MATCH(B414,'Metabase Lookup'!$A:$A,0))))</f>
        <v/>
      </c>
      <c r="X414" s="14">
        <f>IF(ISNA(MATCH(B414,'Metabase Lookup'!$A:$A,0)),"",IF(INDEX('Metabase Lookup'!$D:$D,MATCH(B414,'Metabase Lookup'!$A:$A,0))="","",INDEX('Metabase Lookup'!$D:$D,MATCH(B414,'Metabase Lookup'!$A:$A,0))))</f>
        <v/>
      </c>
      <c r="Y414" s="14">
        <f>IF(ISNUMBER(W414),IF(W414&gt;0,"Yes","No"),"Pending")</f>
        <v/>
      </c>
      <c r="Z414" s="14" t="inlineStr"/>
    </row>
    <row r="415">
      <c r="A415" s="14" t="n">
        <v>414</v>
      </c>
      <c r="B415" s="14" t="inlineStr">
        <is>
          <t>NVMYTSHSN000010671</t>
        </is>
      </c>
      <c r="C415" s="15" t="inlineStr">
        <is>
          <t>264582662591</t>
        </is>
      </c>
      <c r="D415" s="16" t="n">
        <v>46290.64015046296</v>
      </c>
      <c r="E415" s="17" t="n">
        <v>46290</v>
      </c>
      <c r="F415" s="14" t="inlineStr">
        <is>
          <t>Fri</t>
        </is>
      </c>
      <c r="G415" s="14" t="inlineStr">
        <is>
          <t>North East</t>
        </is>
      </c>
      <c r="H415" s="14" t="inlineStr">
        <is>
          <t>GUA</t>
        </is>
      </c>
      <c r="I415" s="14" t="inlineStr">
        <is>
          <t>GUA - ID - ASYRAF</t>
        </is>
      </c>
      <c r="J415" s="14" t="inlineStr">
        <is>
          <t>ID (named driver)</t>
        </is>
      </c>
      <c r="K415" s="14" t="inlineStr">
        <is>
          <t>91825832</t>
        </is>
      </c>
      <c r="L415" s="14" t="n">
        <v>1</v>
      </c>
      <c r="M415" s="14" t="inlineStr">
        <is>
          <t>LM</t>
        </is>
      </c>
      <c r="N415" s="14" t="inlineStr">
        <is>
          <t>Deliver to Wrong Address</t>
        </is>
      </c>
      <c r="O415" s="14" t="inlineStr"/>
      <c r="P415" s="14" t="inlineStr"/>
      <c r="Q415" s="14" t="inlineStr"/>
      <c r="R415" s="14" t="inlineStr">
        <is>
          <t>Completed 2026-09-17 but delivered to the wrong house. Done retrieve and cust received it after complaint lodge</t>
        </is>
      </c>
      <c r="S415" s="14" t="inlineStr">
        <is>
          <t>Syaza</t>
        </is>
      </c>
      <c r="T415" s="14">
        <f>COUNTIF($B$2:$B$499,B415)</f>
        <v/>
      </c>
      <c r="U415" s="14">
        <f>COUNTIF($I$2:$I$499,I415)</f>
        <v/>
      </c>
      <c r="V415" s="14">
        <f>IF(ISNA(MATCH(B415,'Metabase Lookup'!$A:$A,0)),"Not found",IF(INDEX('Metabase Lookup'!$B:$B,MATCH(B415,'Metabase Lookup'!$A:$A,0))="","Pending",INDEX('Metabase Lookup'!$B:$B,MATCH(B415,'Metabase Lookup'!$A:$A,0))))</f>
        <v/>
      </c>
      <c r="W415" s="14">
        <f>IF(ISNA(MATCH(B415,'Metabase Lookup'!$A:$A,0)),"Not found",IF(INDEX('Metabase Lookup'!$C:$C,MATCH(B415,'Metabase Lookup'!$A:$A,0))="","Pending",INDEX('Metabase Lookup'!$C:$C,MATCH(B415,'Metabase Lookup'!$A:$A,0))))</f>
        <v/>
      </c>
      <c r="X415" s="14">
        <f>IF(ISNA(MATCH(B415,'Metabase Lookup'!$A:$A,0)),"",IF(INDEX('Metabase Lookup'!$D:$D,MATCH(B415,'Metabase Lookup'!$A:$A,0))="","",INDEX('Metabase Lookup'!$D:$D,MATCH(B415,'Metabase Lookup'!$A:$A,0))))</f>
        <v/>
      </c>
      <c r="Y415" s="14">
        <f>IF(ISNUMBER(W415),IF(W415&gt;0,"Yes","No"),"Pending")</f>
        <v/>
      </c>
      <c r="Z415" s="14" t="inlineStr"/>
    </row>
    <row r="416">
      <c r="A416" s="14" t="n">
        <v>415</v>
      </c>
      <c r="B416" s="14" t="inlineStr">
        <is>
          <t>SIASG1549237398332002304</t>
        </is>
      </c>
      <c r="C416" s="15" t="inlineStr">
        <is>
          <t>269102688901</t>
        </is>
      </c>
      <c r="D416" s="16" t="n">
        <v>46290.64362268519</v>
      </c>
      <c r="E416" s="17" t="n">
        <v>46290</v>
      </c>
      <c r="F416" s="14" t="inlineStr">
        <is>
          <t>Fri</t>
        </is>
      </c>
      <c r="G416" s="14" t="inlineStr">
        <is>
          <t>Southern</t>
        </is>
      </c>
      <c r="H416" s="14" t="inlineStr">
        <is>
          <t>BAY</t>
        </is>
      </c>
      <c r="I416" s="14" t="inlineStr">
        <is>
          <t>BAY - ID - NICOLE</t>
        </is>
      </c>
      <c r="J416" s="14" t="inlineStr">
        <is>
          <t>ID (named driver)</t>
        </is>
      </c>
      <c r="K416" s="14" t="inlineStr">
        <is>
          <t>91863367, 91855802</t>
        </is>
      </c>
      <c r="L416" s="14" t="n">
        <v>2</v>
      </c>
      <c r="M416" s="14" t="inlineStr">
        <is>
          <t>LM</t>
        </is>
      </c>
      <c r="N416" s="14" t="inlineStr">
        <is>
          <t>Fake Fail</t>
        </is>
      </c>
      <c r="O416" s="14" t="inlineStr">
        <is>
          <t>Customer disputes attempt</t>
        </is>
      </c>
      <c r="P416" s="14" t="inlineStr">
        <is>
          <t>No</t>
        </is>
      </c>
      <c r="Q416" s="14" t="inlineStr">
        <is>
          <t>No</t>
        </is>
      </c>
      <c r="R416" s="14" t="inlineStr">
        <is>
          <t>Customer not received call</t>
        </is>
      </c>
      <c r="S416" s="14" t="inlineStr">
        <is>
          <t>Syafiq</t>
        </is>
      </c>
      <c r="T416" s="14">
        <f>COUNTIF($B$2:$B$499,B416)</f>
        <v/>
      </c>
      <c r="U416" s="14">
        <f>COUNTIF($I$2:$I$499,I416)</f>
        <v/>
      </c>
      <c r="V416" s="14">
        <f>IF(ISNA(MATCH(B416,'Metabase Lookup'!$A:$A,0)),"Not found",IF(INDEX('Metabase Lookup'!$B:$B,MATCH(B416,'Metabase Lookup'!$A:$A,0))="","Pending",INDEX('Metabase Lookup'!$B:$B,MATCH(B416,'Metabase Lookup'!$A:$A,0))))</f>
        <v/>
      </c>
      <c r="W416" s="14">
        <f>IF(ISNA(MATCH(B416,'Metabase Lookup'!$A:$A,0)),"Not found",IF(INDEX('Metabase Lookup'!$C:$C,MATCH(B416,'Metabase Lookup'!$A:$A,0))="","Pending",INDEX('Metabase Lookup'!$C:$C,MATCH(B416,'Metabase Lookup'!$A:$A,0))))</f>
        <v/>
      </c>
      <c r="X416" s="14">
        <f>IF(ISNA(MATCH(B416,'Metabase Lookup'!$A:$A,0)),"",IF(INDEX('Metabase Lookup'!$D:$D,MATCH(B416,'Metabase Lookup'!$A:$A,0))="","",INDEX('Metabase Lookup'!$D:$D,MATCH(B416,'Metabase Lookup'!$A:$A,0))))</f>
        <v/>
      </c>
      <c r="Y416" s="14">
        <f>IF(ISNUMBER(W416),IF(W416&gt;0,"Yes","No"),"Pending")</f>
        <v/>
      </c>
      <c r="Z416" s="14" t="inlineStr">
        <is>
          <t>Multiple route IDs; TID had stray spaces/line breaks (cleaned)</t>
        </is>
      </c>
    </row>
    <row r="417">
      <c r="A417" s="14" t="n">
        <v>416</v>
      </c>
      <c r="B417" s="14" t="inlineStr">
        <is>
          <t>HAWAS1551423395595153408</t>
        </is>
      </c>
      <c r="C417" s="15" t="inlineStr">
        <is>
          <t>263332688856</t>
        </is>
      </c>
      <c r="D417" s="16" t="n">
        <v>46290.64542824074</v>
      </c>
      <c r="E417" s="17" t="n">
        <v>46290</v>
      </c>
      <c r="F417" s="14" t="inlineStr">
        <is>
          <t>Fri</t>
        </is>
      </c>
      <c r="G417" s="14" t="inlineStr">
        <is>
          <t>Southern</t>
        </is>
      </c>
      <c r="H417" s="14" t="inlineStr">
        <is>
          <t>BPT</t>
        </is>
      </c>
      <c r="I417" s="14" t="inlineStr">
        <is>
          <t>BPT - ID - ZULHILMI S</t>
        </is>
      </c>
      <c r="J417" s="14" t="inlineStr">
        <is>
          <t>ID (named driver)</t>
        </is>
      </c>
      <c r="K417" s="14" t="inlineStr">
        <is>
          <t>91890105, 91881207</t>
        </is>
      </c>
      <c r="L417" s="14" t="n">
        <v>2</v>
      </c>
      <c r="M417" s="14" t="inlineStr">
        <is>
          <t>LM</t>
        </is>
      </c>
      <c r="N417" s="14" t="inlineStr">
        <is>
          <t>Fake Fail</t>
        </is>
      </c>
      <c r="O417" s="14" t="inlineStr">
        <is>
          <t>No call / call log missing</t>
        </is>
      </c>
      <c r="P417" s="14" t="inlineStr">
        <is>
          <t>No</t>
        </is>
      </c>
      <c r="Q417" s="14" t="inlineStr">
        <is>
          <t>No</t>
        </is>
      </c>
      <c r="R417" s="14" t="inlineStr">
        <is>
          <t>Invalid delivery attempt. POD invalid: NO calls or whatsapp from to the customer</t>
        </is>
      </c>
      <c r="S417" s="14" t="inlineStr">
        <is>
          <t>Putri</t>
        </is>
      </c>
      <c r="T417" s="14">
        <f>COUNTIF($B$2:$B$499,B417)</f>
        <v/>
      </c>
      <c r="U417" s="14">
        <f>COUNTIF($I$2:$I$499,I417)</f>
        <v/>
      </c>
      <c r="V417" s="14">
        <f>IF(ISNA(MATCH(B417,'Metabase Lookup'!$A:$A,0)),"Not found",IF(INDEX('Metabase Lookup'!$B:$B,MATCH(B417,'Metabase Lookup'!$A:$A,0))="","Pending",INDEX('Metabase Lookup'!$B:$B,MATCH(B417,'Metabase Lookup'!$A:$A,0))))</f>
        <v/>
      </c>
      <c r="W417" s="14">
        <f>IF(ISNA(MATCH(B417,'Metabase Lookup'!$A:$A,0)),"Not found",IF(INDEX('Metabase Lookup'!$C:$C,MATCH(B417,'Metabase Lookup'!$A:$A,0))="","Pending",INDEX('Metabase Lookup'!$C:$C,MATCH(B417,'Metabase Lookup'!$A:$A,0))))</f>
        <v/>
      </c>
      <c r="X417" s="14">
        <f>IF(ISNA(MATCH(B417,'Metabase Lookup'!$A:$A,0)),"",IF(INDEX('Metabase Lookup'!$D:$D,MATCH(B417,'Metabase Lookup'!$A:$A,0))="","",INDEX('Metabase Lookup'!$D:$D,MATCH(B417,'Metabase Lookup'!$A:$A,0))))</f>
        <v/>
      </c>
      <c r="Y417" s="14">
        <f>IF(ISNUMBER(W417),IF(W417&gt;0,"Yes","No"),"Pending")</f>
        <v/>
      </c>
      <c r="Z417" s="14" t="inlineStr">
        <is>
          <t>TID logged more than once; Multiple route IDs</t>
        </is>
      </c>
    </row>
    <row r="418">
      <c r="A418" s="14" t="n">
        <v>417</v>
      </c>
      <c r="B418" s="14" t="inlineStr">
        <is>
          <t>NVMYJNNEE000FE2FE2</t>
        </is>
      </c>
      <c r="C418" s="15" t="inlineStr">
        <is>
          <t>264312682547</t>
        </is>
      </c>
      <c r="D418" s="16" t="n">
        <v>46290.64635416667</v>
      </c>
      <c r="E418" s="17" t="n">
        <v>46290</v>
      </c>
      <c r="F418" s="14" t="inlineStr">
        <is>
          <t>Fri</t>
        </is>
      </c>
      <c r="G418" s="14" t="inlineStr">
        <is>
          <t>East MY</t>
        </is>
      </c>
      <c r="H418" s="14" t="inlineStr">
        <is>
          <t>BKW</t>
        </is>
      </c>
      <c r="I418" s="14" t="inlineStr">
        <is>
          <t>BKW - ID - KENNETH</t>
        </is>
      </c>
      <c r="J418" s="14" t="inlineStr">
        <is>
          <t>ID (named driver)</t>
        </is>
      </c>
      <c r="K418" s="14" t="inlineStr">
        <is>
          <t>91859984</t>
        </is>
      </c>
      <c r="L418" s="14" t="n">
        <v>1</v>
      </c>
      <c r="M418" s="14" t="inlineStr">
        <is>
          <t>LM</t>
        </is>
      </c>
      <c r="N418" s="14" t="inlineStr">
        <is>
          <t>Fake Fail</t>
        </is>
      </c>
      <c r="O418" s="14" t="inlineStr">
        <is>
          <t>Customer disputes attempt</t>
        </is>
      </c>
      <c r="P418" s="14" t="inlineStr">
        <is>
          <t>No</t>
        </is>
      </c>
      <c r="Q418" s="14" t="inlineStr">
        <is>
          <t>No</t>
        </is>
      </c>
      <c r="R418" s="14" t="inlineStr">
        <is>
          <t>Customer not received call</t>
        </is>
      </c>
      <c r="S418" s="14" t="inlineStr">
        <is>
          <t>Syafiq</t>
        </is>
      </c>
      <c r="T418" s="14">
        <f>COUNTIF($B$2:$B$499,B418)</f>
        <v/>
      </c>
      <c r="U418" s="14">
        <f>COUNTIF($I$2:$I$499,I418)</f>
        <v/>
      </c>
      <c r="V418" s="14">
        <f>IF(ISNA(MATCH(B418,'Metabase Lookup'!$A:$A,0)),"Not found",IF(INDEX('Metabase Lookup'!$B:$B,MATCH(B418,'Metabase Lookup'!$A:$A,0))="","Pending",INDEX('Metabase Lookup'!$B:$B,MATCH(B418,'Metabase Lookup'!$A:$A,0))))</f>
        <v/>
      </c>
      <c r="W418" s="14">
        <f>IF(ISNA(MATCH(B418,'Metabase Lookup'!$A:$A,0)),"Not found",IF(INDEX('Metabase Lookup'!$C:$C,MATCH(B418,'Metabase Lookup'!$A:$A,0))="","Pending",INDEX('Metabase Lookup'!$C:$C,MATCH(B418,'Metabase Lookup'!$A:$A,0))))</f>
        <v/>
      </c>
      <c r="X418" s="14">
        <f>IF(ISNA(MATCH(B418,'Metabase Lookup'!$A:$A,0)),"",IF(INDEX('Metabase Lookup'!$D:$D,MATCH(B418,'Metabase Lookup'!$A:$A,0))="","",INDEX('Metabase Lookup'!$D:$D,MATCH(B418,'Metabase Lookup'!$A:$A,0))))</f>
        <v/>
      </c>
      <c r="Y418" s="14">
        <f>IF(ISNUMBER(W418),IF(W418&gt;0,"Yes","No"),"Pending")</f>
        <v/>
      </c>
      <c r="Z418" s="14" t="inlineStr"/>
    </row>
    <row r="419">
      <c r="A419" s="14" t="n">
        <v>418</v>
      </c>
      <c r="B419" s="14" t="inlineStr">
        <is>
          <t>OASIS1551935707836563456</t>
        </is>
      </c>
      <c r="C419" s="15" t="inlineStr">
        <is>
          <t>261932689647</t>
        </is>
      </c>
      <c r="D419" s="16" t="n">
        <v>46290.64895833333</v>
      </c>
      <c r="E419" s="17" t="n">
        <v>46290</v>
      </c>
      <c r="F419" s="14" t="inlineStr">
        <is>
          <t>Fri</t>
        </is>
      </c>
      <c r="G419" s="14" t="inlineStr">
        <is>
          <t>KV</t>
        </is>
      </c>
      <c r="H419" s="14" t="inlineStr">
        <is>
          <t>OUG</t>
        </is>
      </c>
      <c r="I419" s="14" t="inlineStr">
        <is>
          <t>OUG - ID - INTAN SYERINA</t>
        </is>
      </c>
      <c r="J419" s="14" t="inlineStr">
        <is>
          <t>ID (named driver)</t>
        </is>
      </c>
      <c r="K419" s="14" t="inlineStr">
        <is>
          <t>91883098</t>
        </is>
      </c>
      <c r="L419" s="14" t="n">
        <v>1</v>
      </c>
      <c r="M419" s="14" t="inlineStr">
        <is>
          <t>LM</t>
        </is>
      </c>
      <c r="N419" s="14" t="inlineStr">
        <is>
          <t>Fake Fail</t>
        </is>
      </c>
      <c r="O419" s="14" t="inlineStr">
        <is>
          <t>Customer disputes attempt</t>
        </is>
      </c>
      <c r="P419" s="14" t="inlineStr">
        <is>
          <t>No</t>
        </is>
      </c>
      <c r="Q419" s="14" t="inlineStr">
        <is>
          <t>No</t>
        </is>
      </c>
      <c r="R419" s="14" t="inlineStr">
        <is>
          <t>Customer not received call</t>
        </is>
      </c>
      <c r="S419" s="14" t="inlineStr">
        <is>
          <t>Syafiq</t>
        </is>
      </c>
      <c r="T419" s="14">
        <f>COUNTIF($B$2:$B$499,B419)</f>
        <v/>
      </c>
      <c r="U419" s="14">
        <f>COUNTIF($I$2:$I$499,I419)</f>
        <v/>
      </c>
      <c r="V419" s="14">
        <f>IF(ISNA(MATCH(B419,'Metabase Lookup'!$A:$A,0)),"Not found",IF(INDEX('Metabase Lookup'!$B:$B,MATCH(B419,'Metabase Lookup'!$A:$A,0))="","Pending",INDEX('Metabase Lookup'!$B:$B,MATCH(B419,'Metabase Lookup'!$A:$A,0))))</f>
        <v/>
      </c>
      <c r="W419" s="14">
        <f>IF(ISNA(MATCH(B419,'Metabase Lookup'!$A:$A,0)),"Not found",IF(INDEX('Metabase Lookup'!$C:$C,MATCH(B419,'Metabase Lookup'!$A:$A,0))="","Pending",INDEX('Metabase Lookup'!$C:$C,MATCH(B419,'Metabase Lookup'!$A:$A,0))))</f>
        <v/>
      </c>
      <c r="X419" s="14">
        <f>IF(ISNA(MATCH(B419,'Metabase Lookup'!$A:$A,0)),"",IF(INDEX('Metabase Lookup'!$D:$D,MATCH(B419,'Metabase Lookup'!$A:$A,0))="","",INDEX('Metabase Lookup'!$D:$D,MATCH(B419,'Metabase Lookup'!$A:$A,0))))</f>
        <v/>
      </c>
      <c r="Y419" s="14">
        <f>IF(ISNUMBER(W419),IF(W419&gt;0,"Yes","No"),"Pending")</f>
        <v/>
      </c>
      <c r="Z419" s="14" t="inlineStr"/>
    </row>
    <row r="420">
      <c r="A420" s="14" t="n">
        <v>419</v>
      </c>
      <c r="B420" s="14" t="inlineStr">
        <is>
          <t>MAILBP63218</t>
        </is>
      </c>
      <c r="C420" s="15" t="inlineStr">
        <is>
          <t>267172684826</t>
        </is>
      </c>
      <c r="D420" s="16" t="n">
        <v>46290.66144675926</v>
      </c>
      <c r="E420" s="17" t="n">
        <v>46290</v>
      </c>
      <c r="F420" s="14" t="inlineStr">
        <is>
          <t>Fri</t>
        </is>
      </c>
      <c r="G420" s="14" t="inlineStr">
        <is>
          <t>Southern</t>
        </is>
      </c>
      <c r="H420" s="14" t="inlineStr">
        <is>
          <t>BPT</t>
        </is>
      </c>
      <c r="I420" s="14" t="inlineStr">
        <is>
          <t>OPS - BPT</t>
        </is>
      </c>
      <c r="J420" s="14" t="inlineStr">
        <is>
          <t>OPS (generic hub account)</t>
        </is>
      </c>
      <c r="K420" s="14" t="inlineStr">
        <is>
          <t>91874233</t>
        </is>
      </c>
      <c r="L420" s="14" t="n">
        <v>1</v>
      </c>
      <c r="M420" s="14" t="inlineStr">
        <is>
          <t>LM</t>
        </is>
      </c>
      <c r="N420" s="14" t="inlineStr">
        <is>
          <t>Fake Fail</t>
        </is>
      </c>
      <c r="O420" s="14" t="inlineStr">
        <is>
          <t>No call / call log missing</t>
        </is>
      </c>
      <c r="P420" s="14" t="inlineStr">
        <is>
          <t>Yes</t>
        </is>
      </c>
      <c r="Q420" s="14" t="inlineStr">
        <is>
          <t>Yes</t>
        </is>
      </c>
      <c r="R420" s="14" t="inlineStr">
        <is>
          <t>failed by ops no contact no location</t>
        </is>
      </c>
      <c r="S420" s="14" t="inlineStr">
        <is>
          <t>Ninja Hadif</t>
        </is>
      </c>
      <c r="T420" s="14">
        <f>COUNTIF($B$2:$B$499,B420)</f>
        <v/>
      </c>
      <c r="U420" s="14">
        <f>COUNTIF($I$2:$I$499,I420)</f>
        <v/>
      </c>
      <c r="V420" s="14">
        <f>IF(ISNA(MATCH(B420,'Metabase Lookup'!$A:$A,0)),"Not found",IF(INDEX('Metabase Lookup'!$B:$B,MATCH(B420,'Metabase Lookup'!$A:$A,0))="","Pending",INDEX('Metabase Lookup'!$B:$B,MATCH(B420,'Metabase Lookup'!$A:$A,0))))</f>
        <v/>
      </c>
      <c r="W420" s="14">
        <f>IF(ISNA(MATCH(B420,'Metabase Lookup'!$A:$A,0)),"Not found",IF(INDEX('Metabase Lookup'!$C:$C,MATCH(B420,'Metabase Lookup'!$A:$A,0))="","Pending",INDEX('Metabase Lookup'!$C:$C,MATCH(B420,'Metabase Lookup'!$A:$A,0))))</f>
        <v/>
      </c>
      <c r="X420" s="14">
        <f>IF(ISNA(MATCH(B420,'Metabase Lookup'!$A:$A,0)),"",IF(INDEX('Metabase Lookup'!$D:$D,MATCH(B420,'Metabase Lookup'!$A:$A,0))="","",INDEX('Metabase Lookup'!$D:$D,MATCH(B420,'Metabase Lookup'!$A:$A,0))))</f>
        <v/>
      </c>
      <c r="Y420" s="14">
        <f>IF(ISNUMBER(W420),IF(W420&gt;0,"Yes","No"),"Pending")</f>
        <v/>
      </c>
      <c r="Z420" s="14" t="inlineStr">
        <is>
          <t>Driver not identified (OPS account)</t>
        </is>
      </c>
    </row>
    <row r="421">
      <c r="A421" s="14" t="n">
        <v>420</v>
      </c>
      <c r="B421" s="14" t="inlineStr">
        <is>
          <t>MYNJV70088895918</t>
        </is>
      </c>
      <c r="C421" s="15" t="inlineStr">
        <is>
          <t>269082689887</t>
        </is>
      </c>
      <c r="D421" s="16" t="n">
        <v>46290.67136574074</v>
      </c>
      <c r="E421" s="17" t="n">
        <v>46290</v>
      </c>
      <c r="F421" s="14" t="inlineStr">
        <is>
          <t>Fri</t>
        </is>
      </c>
      <c r="G421" s="14" t="inlineStr">
        <is>
          <t>Southern</t>
        </is>
      </c>
      <c r="H421" s="14" t="inlineStr">
        <is>
          <t>TRM</t>
        </is>
      </c>
      <c r="I421" s="14" t="inlineStr">
        <is>
          <t>TRM - ID - SHAHEERA ZULKAFLI</t>
        </is>
      </c>
      <c r="J421" s="14" t="inlineStr">
        <is>
          <t>ID (named driver)</t>
        </is>
      </c>
      <c r="K421" s="14" t="inlineStr">
        <is>
          <t>91892282</t>
        </is>
      </c>
      <c r="L421" s="14" t="n">
        <v>1</v>
      </c>
      <c r="M421" s="14" t="inlineStr">
        <is>
          <t>LM</t>
        </is>
      </c>
      <c r="N421" s="14" t="inlineStr">
        <is>
          <t>Deliver to Wrong Address</t>
        </is>
      </c>
      <c r="O421" s="14" t="inlineStr"/>
      <c r="P421" s="14" t="inlineStr"/>
      <c r="Q421" s="14" t="inlineStr"/>
      <c r="R421" s="14" t="inlineStr">
        <is>
          <t>Cx complaint Completed but not received POD is at the wrong place Cx claimed the driver sent the parcel to the wrong Jalan Driver nvr call Cx already retrieved the parcel at the wrong place</t>
        </is>
      </c>
      <c r="S421" s="14" t="inlineStr">
        <is>
          <t>Syafiq</t>
        </is>
      </c>
      <c r="T421" s="14">
        <f>COUNTIF($B$2:$B$499,B421)</f>
        <v/>
      </c>
      <c r="U421" s="14">
        <f>COUNTIF($I$2:$I$499,I421)</f>
        <v/>
      </c>
      <c r="V421" s="14">
        <f>IF(ISNA(MATCH(B421,'Metabase Lookup'!$A:$A,0)),"Not found",IF(INDEX('Metabase Lookup'!$B:$B,MATCH(B421,'Metabase Lookup'!$A:$A,0))="","Pending",INDEX('Metabase Lookup'!$B:$B,MATCH(B421,'Metabase Lookup'!$A:$A,0))))</f>
        <v/>
      </c>
      <c r="W421" s="14">
        <f>IF(ISNA(MATCH(B421,'Metabase Lookup'!$A:$A,0)),"Not found",IF(INDEX('Metabase Lookup'!$C:$C,MATCH(B421,'Metabase Lookup'!$A:$A,0))="","Pending",INDEX('Metabase Lookup'!$C:$C,MATCH(B421,'Metabase Lookup'!$A:$A,0))))</f>
        <v/>
      </c>
      <c r="X421" s="14">
        <f>IF(ISNA(MATCH(B421,'Metabase Lookup'!$A:$A,0)),"",IF(INDEX('Metabase Lookup'!$D:$D,MATCH(B421,'Metabase Lookup'!$A:$A,0))="","",INDEX('Metabase Lookup'!$D:$D,MATCH(B421,'Metabase Lookup'!$A:$A,0))))</f>
        <v/>
      </c>
      <c r="Y421" s="14">
        <f>IF(ISNUMBER(W421),IF(W421&gt;0,"Yes","No"),"Pending")</f>
        <v/>
      </c>
      <c r="Z421" s="14" t="inlineStr">
        <is>
          <t>TID had stray spaces/line breaks (cleaned)</t>
        </is>
      </c>
    </row>
    <row r="422">
      <c r="A422" s="14" t="n">
        <v>421</v>
      </c>
      <c r="B422" s="14" t="inlineStr">
        <is>
          <t>NVMYGRITM000000975</t>
        </is>
      </c>
      <c r="C422" s="15" t="inlineStr">
        <is>
          <t>267882673374</t>
        </is>
      </c>
      <c r="D422" s="16" t="n">
        <v>46290.67204861111</v>
      </c>
      <c r="E422" s="17" t="n">
        <v>46290</v>
      </c>
      <c r="F422" s="14" t="inlineStr">
        <is>
          <t>Fri</t>
        </is>
      </c>
      <c r="G422" s="14" t="inlineStr">
        <is>
          <t>Northern</t>
        </is>
      </c>
      <c r="H422" s="14" t="inlineStr">
        <is>
          <t>BWH</t>
        </is>
      </c>
      <c r="I422" s="14" t="inlineStr">
        <is>
          <t>BWH - HR - FAIZ IZHAM</t>
        </is>
      </c>
      <c r="J422" s="14" t="inlineStr">
        <is>
          <t>HR (named)</t>
        </is>
      </c>
      <c r="K422" s="14" t="inlineStr">
        <is>
          <t>264352688032</t>
        </is>
      </c>
      <c r="L422" s="14" t="n">
        <v>1</v>
      </c>
      <c r="M422" s="14" t="inlineStr">
        <is>
          <t>LM</t>
        </is>
      </c>
      <c r="N422" s="14" t="inlineStr">
        <is>
          <t>Fake Success</t>
        </is>
      </c>
      <c r="O422" s="14" t="inlineStr"/>
      <c r="P422" s="14" t="inlineStr"/>
      <c r="Q422" s="14" t="inlineStr"/>
      <c r="R422" s="14" t="inlineStr">
        <is>
          <t>POD invalid - shipper received today 25/9/2026</t>
        </is>
      </c>
      <c r="S422" s="14" t="inlineStr">
        <is>
          <t>Putri</t>
        </is>
      </c>
      <c r="T422" s="14">
        <f>COUNTIF($B$2:$B$499,B422)</f>
        <v/>
      </c>
      <c r="U422" s="14">
        <f>COUNTIF($I$2:$I$499,I422)</f>
        <v/>
      </c>
      <c r="V422" s="14">
        <f>IF(ISNA(MATCH(B422,'Metabase Lookup'!$A:$A,0)),"Not found",IF(INDEX('Metabase Lookup'!$B:$B,MATCH(B422,'Metabase Lookup'!$A:$A,0))="","Pending",INDEX('Metabase Lookup'!$B:$B,MATCH(B422,'Metabase Lookup'!$A:$A,0))))</f>
        <v/>
      </c>
      <c r="W422" s="14">
        <f>IF(ISNA(MATCH(B422,'Metabase Lookup'!$A:$A,0)),"Not found",IF(INDEX('Metabase Lookup'!$C:$C,MATCH(B422,'Metabase Lookup'!$A:$A,0))="","Pending",INDEX('Metabase Lookup'!$C:$C,MATCH(B422,'Metabase Lookup'!$A:$A,0))))</f>
        <v/>
      </c>
      <c r="X422" s="14">
        <f>IF(ISNA(MATCH(B422,'Metabase Lookup'!$A:$A,0)),"",IF(INDEX('Metabase Lookup'!$D:$D,MATCH(B422,'Metabase Lookup'!$A:$A,0))="","",INDEX('Metabase Lookup'!$D:$D,MATCH(B422,'Metabase Lookup'!$A:$A,0))))</f>
        <v/>
      </c>
      <c r="Y422" s="14">
        <f>IF(ISNUMBER(W422),IF(W422&gt;0,"Yes","No"),"Pending")</f>
        <v/>
      </c>
      <c r="Z422" s="14" t="inlineStr"/>
    </row>
    <row r="423">
      <c r="A423" s="14" t="n">
        <v>422</v>
      </c>
      <c r="B423" s="14" t="inlineStr">
        <is>
          <t>AMNV005962832</t>
        </is>
      </c>
      <c r="C423" s="15" t="inlineStr">
        <is>
          <t>264702677305</t>
        </is>
      </c>
      <c r="D423" s="16" t="n">
        <v>46290.67481481482</v>
      </c>
      <c r="E423" s="17" t="n">
        <v>46290</v>
      </c>
      <c r="F423" s="14" t="inlineStr">
        <is>
          <t>Fri</t>
        </is>
      </c>
      <c r="G423" s="14" t="inlineStr">
        <is>
          <t>North East</t>
        </is>
      </c>
      <c r="H423" s="14" t="inlineStr">
        <is>
          <t>KBR</t>
        </is>
      </c>
      <c r="I423" s="14" t="inlineStr">
        <is>
          <t>KBR - ID - ZULHAIRI</t>
        </is>
      </c>
      <c r="J423" s="14" t="inlineStr">
        <is>
          <t>ID (named driver)</t>
        </is>
      </c>
      <c r="K423" s="14" t="inlineStr">
        <is>
          <t>91827930</t>
        </is>
      </c>
      <c r="L423" s="14" t="n">
        <v>1</v>
      </c>
      <c r="M423" s="14" t="inlineStr">
        <is>
          <t>LM</t>
        </is>
      </c>
      <c r="N423" s="14" t="inlineStr">
        <is>
          <t>Fake Success</t>
        </is>
      </c>
      <c r="O423" s="14" t="inlineStr"/>
      <c r="P423" s="14" t="inlineStr"/>
      <c r="Q423" s="14" t="inlineStr"/>
      <c r="R423" s="14" t="inlineStr">
        <is>
          <t>Pod invalid (no call log/no WS reply)</t>
        </is>
      </c>
      <c r="S423" s="14" t="inlineStr">
        <is>
          <t>Syaza</t>
        </is>
      </c>
      <c r="T423" s="14">
        <f>COUNTIF($B$2:$B$499,B423)</f>
        <v/>
      </c>
      <c r="U423" s="14">
        <f>COUNTIF($I$2:$I$499,I423)</f>
        <v/>
      </c>
      <c r="V423" s="14">
        <f>IF(ISNA(MATCH(B423,'Metabase Lookup'!$A:$A,0)),"Not found",IF(INDEX('Metabase Lookup'!$B:$B,MATCH(B423,'Metabase Lookup'!$A:$A,0))="","Pending",INDEX('Metabase Lookup'!$B:$B,MATCH(B423,'Metabase Lookup'!$A:$A,0))))</f>
        <v/>
      </c>
      <c r="W423" s="14">
        <f>IF(ISNA(MATCH(B423,'Metabase Lookup'!$A:$A,0)),"Not found",IF(INDEX('Metabase Lookup'!$C:$C,MATCH(B423,'Metabase Lookup'!$A:$A,0))="","Pending",INDEX('Metabase Lookup'!$C:$C,MATCH(B423,'Metabase Lookup'!$A:$A,0))))</f>
        <v/>
      </c>
      <c r="X423" s="14">
        <f>IF(ISNA(MATCH(B423,'Metabase Lookup'!$A:$A,0)),"",IF(INDEX('Metabase Lookup'!$D:$D,MATCH(B423,'Metabase Lookup'!$A:$A,0))="","",INDEX('Metabase Lookup'!$D:$D,MATCH(B423,'Metabase Lookup'!$A:$A,0))))</f>
        <v/>
      </c>
      <c r="Y423" s="14">
        <f>IF(ISNUMBER(W423),IF(W423&gt;0,"Yes","No"),"Pending")</f>
        <v/>
      </c>
      <c r="Z423" s="14" t="inlineStr"/>
    </row>
    <row r="424">
      <c r="A424" s="14" t="n">
        <v>423</v>
      </c>
      <c r="B424" s="14" t="inlineStr">
        <is>
          <t>STLMY1550748596491894784</t>
        </is>
      </c>
      <c r="C424" s="15" t="inlineStr">
        <is>
          <t>263592666386</t>
        </is>
      </c>
      <c r="D424" s="16" t="n">
        <v>46290.69074074074</v>
      </c>
      <c r="E424" s="17" t="n">
        <v>46290</v>
      </c>
      <c r="F424" s="14" t="inlineStr">
        <is>
          <t>Fri</t>
        </is>
      </c>
      <c r="G424" s="14" t="inlineStr">
        <is>
          <t>South West</t>
        </is>
      </c>
      <c r="H424" s="14" t="inlineStr">
        <is>
          <t>MTG</t>
        </is>
      </c>
      <c r="I424" s="14" t="inlineStr">
        <is>
          <t>MTG - ID - ALI ABDULLAH</t>
        </is>
      </c>
      <c r="J424" s="14" t="inlineStr">
        <is>
          <t>ID (named driver)</t>
        </is>
      </c>
      <c r="K424" s="14" t="inlineStr">
        <is>
          <t>91864895</t>
        </is>
      </c>
      <c r="L424" s="14" t="n">
        <v>1</v>
      </c>
      <c r="M424" s="14" t="inlineStr">
        <is>
          <t>LM</t>
        </is>
      </c>
      <c r="N424" s="14" t="inlineStr">
        <is>
          <t>Parcel Dumping</t>
        </is>
      </c>
      <c r="O424" s="14" t="inlineStr"/>
      <c r="P424" s="14" t="inlineStr"/>
      <c r="Q424" s="14" t="inlineStr"/>
      <c r="R424" s="14" t="inlineStr">
        <is>
          <t>driver drop the parcel inside boxplus without notify and customer acknowledgement</t>
        </is>
      </c>
      <c r="S424" s="14" t="inlineStr">
        <is>
          <t>Aimenn Aiyad</t>
        </is>
      </c>
      <c r="T424" s="14">
        <f>COUNTIF($B$2:$B$499,B424)</f>
        <v/>
      </c>
      <c r="U424" s="14">
        <f>COUNTIF($I$2:$I$499,I424)</f>
        <v/>
      </c>
      <c r="V424" s="14">
        <f>IF(ISNA(MATCH(B424,'Metabase Lookup'!$A:$A,0)),"Not found",IF(INDEX('Metabase Lookup'!$B:$B,MATCH(B424,'Metabase Lookup'!$A:$A,0))="","Pending",INDEX('Metabase Lookup'!$B:$B,MATCH(B424,'Metabase Lookup'!$A:$A,0))))</f>
        <v/>
      </c>
      <c r="W424" s="14">
        <f>IF(ISNA(MATCH(B424,'Metabase Lookup'!$A:$A,0)),"Not found",IF(INDEX('Metabase Lookup'!$C:$C,MATCH(B424,'Metabase Lookup'!$A:$A,0))="","Pending",INDEX('Metabase Lookup'!$C:$C,MATCH(B424,'Metabase Lookup'!$A:$A,0))))</f>
        <v/>
      </c>
      <c r="X424" s="14">
        <f>IF(ISNA(MATCH(B424,'Metabase Lookup'!$A:$A,0)),"",IF(INDEX('Metabase Lookup'!$D:$D,MATCH(B424,'Metabase Lookup'!$A:$A,0))="","",INDEX('Metabase Lookup'!$D:$D,MATCH(B424,'Metabase Lookup'!$A:$A,0))))</f>
        <v/>
      </c>
      <c r="Y424" s="14">
        <f>IF(ISNUMBER(W424),IF(W424&gt;0,"Yes","No"),"Pending")</f>
        <v/>
      </c>
      <c r="Z424" s="14" t="inlineStr">
        <is>
          <t>TID had stray spaces/line breaks (cleaned)</t>
        </is>
      </c>
    </row>
    <row r="425">
      <c r="A425" s="14" t="n">
        <v>424</v>
      </c>
      <c r="B425" s="14" t="inlineStr">
        <is>
          <t>MYNJV70061605738</t>
        </is>
      </c>
      <c r="C425" s="15" t="inlineStr">
        <is>
          <t>267172684826</t>
        </is>
      </c>
      <c r="D425" s="16" t="n">
        <v>46290.69403935185</v>
      </c>
      <c r="E425" s="17" t="n">
        <v>46290</v>
      </c>
      <c r="F425" s="14" t="inlineStr">
        <is>
          <t>Fri</t>
        </is>
      </c>
      <c r="G425" s="14" t="inlineStr">
        <is>
          <t>Southern</t>
        </is>
      </c>
      <c r="H425" s="14" t="inlineStr">
        <is>
          <t>KEM</t>
        </is>
      </c>
      <c r="I425" s="14" t="inlineStr">
        <is>
          <t>OPS - KEM | BHU - FM - Mohammad Fahmi</t>
        </is>
      </c>
      <c r="J425" s="14" t="inlineStr">
        <is>
          <t>Multiple drivers</t>
        </is>
      </c>
      <c r="K425" s="14" t="inlineStr">
        <is>
          <t>91865702, 91894655</t>
        </is>
      </c>
      <c r="L425" s="14" t="n">
        <v>2</v>
      </c>
      <c r="M425" s="14" t="inlineStr">
        <is>
          <t>LM</t>
        </is>
      </c>
      <c r="N425" s="14" t="inlineStr">
        <is>
          <t>Fake Fail</t>
        </is>
      </c>
      <c r="O425" s="14" t="inlineStr">
        <is>
          <t>No call / call log missing</t>
        </is>
      </c>
      <c r="P425" s="14" t="inlineStr">
        <is>
          <t>Yes</t>
        </is>
      </c>
      <c r="Q425" s="14" t="inlineStr">
        <is>
          <t>No</t>
        </is>
      </c>
      <c r="R425" s="14" t="inlineStr">
        <is>
          <t>POD invalid, no location no call</t>
        </is>
      </c>
      <c r="S425" s="14" t="inlineStr">
        <is>
          <t>Ninja Hadif</t>
        </is>
      </c>
      <c r="T425" s="14">
        <f>COUNTIF($B$2:$B$499,B425)</f>
        <v/>
      </c>
      <c r="U425" s="14">
        <f>COUNTIF($I$2:$I$499,I425)</f>
        <v/>
      </c>
      <c r="V425" s="14">
        <f>IF(ISNA(MATCH(B425,'Metabase Lookup'!$A:$A,0)),"Not found",IF(INDEX('Metabase Lookup'!$B:$B,MATCH(B425,'Metabase Lookup'!$A:$A,0))="","Pending",INDEX('Metabase Lookup'!$B:$B,MATCH(B425,'Metabase Lookup'!$A:$A,0))))</f>
        <v/>
      </c>
      <c r="W425" s="14">
        <f>IF(ISNA(MATCH(B425,'Metabase Lookup'!$A:$A,0)),"Not found",IF(INDEX('Metabase Lookup'!$C:$C,MATCH(B425,'Metabase Lookup'!$A:$A,0))="","Pending",INDEX('Metabase Lookup'!$C:$C,MATCH(B425,'Metabase Lookup'!$A:$A,0))))</f>
        <v/>
      </c>
      <c r="X425" s="14">
        <f>IF(ISNA(MATCH(B425,'Metabase Lookup'!$A:$A,0)),"",IF(INDEX('Metabase Lookup'!$D:$D,MATCH(B425,'Metabase Lookup'!$A:$A,0))="","",INDEX('Metabase Lookup'!$D:$D,MATCH(B425,'Metabase Lookup'!$A:$A,0))))</f>
        <v/>
      </c>
      <c r="Y425" s="14">
        <f>IF(ISNUMBER(W425),IF(W425&gt;0,"Yes","No"),"Pending")</f>
        <v/>
      </c>
      <c r="Z425" s="14" t="inlineStr">
        <is>
          <t>Multiple drivers in one row; Multiple route IDs</t>
        </is>
      </c>
    </row>
    <row r="426">
      <c r="A426" s="14" t="n">
        <v>425</v>
      </c>
      <c r="B426" s="14" t="inlineStr">
        <is>
          <t>NVMYYIJIA000002856</t>
        </is>
      </c>
      <c r="C426" s="15" t="inlineStr">
        <is>
          <t>260232671230</t>
        </is>
      </c>
      <c r="D426" s="16" t="n">
        <v>46290.6941087963</v>
      </c>
      <c r="E426" s="17" t="n">
        <v>46290</v>
      </c>
      <c r="F426" s="14" t="inlineStr">
        <is>
          <t>Fri</t>
        </is>
      </c>
      <c r="G426" s="14" t="inlineStr">
        <is>
          <t>North West</t>
        </is>
      </c>
      <c r="H426" s="14" t="inlineStr">
        <is>
          <t>SLM</t>
        </is>
      </c>
      <c r="I426" s="14" t="inlineStr">
        <is>
          <t>KHAIRUL AMRY</t>
        </is>
      </c>
      <c r="J426" s="14" t="inlineStr">
        <is>
          <t>Name only (no hub/code)</t>
        </is>
      </c>
      <c r="K426" s="14" t="inlineStr">
        <is>
          <t>91848996</t>
        </is>
      </c>
      <c r="L426" s="14" t="n">
        <v>1</v>
      </c>
      <c r="M426" s="14" t="inlineStr">
        <is>
          <t>LM</t>
        </is>
      </c>
      <c r="N426" s="14" t="inlineStr">
        <is>
          <t>Lost Item</t>
        </is>
      </c>
      <c r="O426" s="14" t="inlineStr"/>
      <c r="P426" s="14" t="inlineStr"/>
      <c r="Q426" s="14" t="inlineStr"/>
      <c r="R426" s="14" t="inlineStr">
        <is>
          <t>Parcel delivered 2026-09-20 but cust not received. Parcel declare lost</t>
        </is>
      </c>
      <c r="S426" s="14" t="inlineStr">
        <is>
          <t>Syaza</t>
        </is>
      </c>
      <c r="T426" s="14">
        <f>COUNTIF($B$2:$B$499,B426)</f>
        <v/>
      </c>
      <c r="U426" s="14">
        <f>COUNTIF($I$2:$I$499,I426)</f>
        <v/>
      </c>
      <c r="V426" s="14">
        <f>IF(ISNA(MATCH(B426,'Metabase Lookup'!$A:$A,0)),"Not found",IF(INDEX('Metabase Lookup'!$B:$B,MATCH(B426,'Metabase Lookup'!$A:$A,0))="","Pending",INDEX('Metabase Lookup'!$B:$B,MATCH(B426,'Metabase Lookup'!$A:$A,0))))</f>
        <v/>
      </c>
      <c r="W426" s="14">
        <f>IF(ISNA(MATCH(B426,'Metabase Lookup'!$A:$A,0)),"Not found",IF(INDEX('Metabase Lookup'!$C:$C,MATCH(B426,'Metabase Lookup'!$A:$A,0))="","Pending",INDEX('Metabase Lookup'!$C:$C,MATCH(B426,'Metabase Lookup'!$A:$A,0))))</f>
        <v/>
      </c>
      <c r="X426" s="14">
        <f>IF(ISNA(MATCH(B426,'Metabase Lookup'!$A:$A,0)),"",IF(INDEX('Metabase Lookup'!$D:$D,MATCH(B426,'Metabase Lookup'!$A:$A,0))="","",INDEX('Metabase Lookup'!$D:$D,MATCH(B426,'Metabase Lookup'!$A:$A,0))))</f>
        <v/>
      </c>
      <c r="Y426" s="14">
        <f>IF(ISNUMBER(W426),IF(W426&gt;0,"Yes","No"),"Pending")</f>
        <v/>
      </c>
      <c r="Z426" s="14" t="inlineStr"/>
    </row>
    <row r="427">
      <c r="A427" s="14" t="n">
        <v>426</v>
      </c>
      <c r="B427" s="14" t="inlineStr">
        <is>
          <t>TNGDV2609176979102830</t>
        </is>
      </c>
      <c r="C427" s="15" t="inlineStr">
        <is>
          <t>260872676408</t>
        </is>
      </c>
      <c r="D427" s="16" t="n">
        <v>46290.70256944445</v>
      </c>
      <c r="E427" s="17" t="n">
        <v>46290</v>
      </c>
      <c r="F427" s="14" t="inlineStr">
        <is>
          <t>Fri</t>
        </is>
      </c>
      <c r="G427" s="14" t="inlineStr">
        <is>
          <t>North West</t>
        </is>
      </c>
      <c r="H427" s="14" t="inlineStr">
        <is>
          <t>IPH</t>
        </is>
      </c>
      <c r="I427" s="14" t="inlineStr">
        <is>
          <t>IPH - HR - HARITH SYUKRILLAH</t>
        </is>
      </c>
      <c r="J427" s="14" t="inlineStr">
        <is>
          <t>HR (named)</t>
        </is>
      </c>
      <c r="K427" s="14" t="inlineStr">
        <is>
          <t>91864689</t>
        </is>
      </c>
      <c r="L427" s="14" t="n">
        <v>1</v>
      </c>
      <c r="M427" s="14" t="inlineStr">
        <is>
          <t>LM</t>
        </is>
      </c>
      <c r="N427" s="14" t="inlineStr">
        <is>
          <t>Deliver to Wrong Address</t>
        </is>
      </c>
      <c r="O427" s="14" t="inlineStr"/>
      <c r="P427" s="14" t="inlineStr"/>
      <c r="Q427" s="14" t="inlineStr"/>
      <c r="R427" s="14" t="inlineStr">
        <is>
          <t>Driver delivered the parcel to the wrong address. After the complaint was raised, the driver retrieved it and redelivered it to the correct address</t>
        </is>
      </c>
      <c r="S427" s="14" t="inlineStr">
        <is>
          <t>Huzair</t>
        </is>
      </c>
      <c r="T427" s="14">
        <f>COUNTIF($B$2:$B$499,B427)</f>
        <v/>
      </c>
      <c r="U427" s="14">
        <f>COUNTIF($I$2:$I$499,I427)</f>
        <v/>
      </c>
      <c r="V427" s="14">
        <f>IF(ISNA(MATCH(B427,'Metabase Lookup'!$A:$A,0)),"Not found",IF(INDEX('Metabase Lookup'!$B:$B,MATCH(B427,'Metabase Lookup'!$A:$A,0))="","Pending",INDEX('Metabase Lookup'!$B:$B,MATCH(B427,'Metabase Lookup'!$A:$A,0))))</f>
        <v/>
      </c>
      <c r="W427" s="14">
        <f>IF(ISNA(MATCH(B427,'Metabase Lookup'!$A:$A,0)),"Not found",IF(INDEX('Metabase Lookup'!$C:$C,MATCH(B427,'Metabase Lookup'!$A:$A,0))="","Pending",INDEX('Metabase Lookup'!$C:$C,MATCH(B427,'Metabase Lookup'!$A:$A,0))))</f>
        <v/>
      </c>
      <c r="X427" s="14">
        <f>IF(ISNA(MATCH(B427,'Metabase Lookup'!$A:$A,0)),"",IF(INDEX('Metabase Lookup'!$D:$D,MATCH(B427,'Metabase Lookup'!$A:$A,0))="","",INDEX('Metabase Lookup'!$D:$D,MATCH(B427,'Metabase Lookup'!$A:$A,0))))</f>
        <v/>
      </c>
      <c r="Y427" s="14">
        <f>IF(ISNUMBER(W427),IF(W427&gt;0,"Yes","No"),"Pending")</f>
        <v/>
      </c>
      <c r="Z427" s="14" t="inlineStr"/>
    </row>
    <row r="428">
      <c r="A428" s="14" t="n">
        <v>427</v>
      </c>
      <c r="B428" s="14" t="inlineStr">
        <is>
          <t>NVMYNINJA002525573</t>
        </is>
      </c>
      <c r="C428" s="15" t="inlineStr">
        <is>
          <t>267572686736</t>
        </is>
      </c>
      <c r="D428" s="16" t="n">
        <v>46290.70575231482</v>
      </c>
      <c r="E428" s="17" t="n">
        <v>46290</v>
      </c>
      <c r="F428" s="14" t="inlineStr">
        <is>
          <t>Fri</t>
        </is>
      </c>
      <c r="G428" s="14" t="inlineStr">
        <is>
          <t>Southern</t>
        </is>
      </c>
      <c r="H428" s="14" t="inlineStr">
        <is>
          <t>GLG</t>
        </is>
      </c>
      <c r="I428" s="14" t="inlineStr">
        <is>
          <t>GLG - OPS - ENGKU</t>
        </is>
      </c>
      <c r="J428" s="14" t="inlineStr">
        <is>
          <t>OPS (generic hub account)</t>
        </is>
      </c>
      <c r="K428" s="14" t="inlineStr">
        <is>
          <t>91886198</t>
        </is>
      </c>
      <c r="L428" s="14" t="n">
        <v>1</v>
      </c>
      <c r="M428" s="14" t="inlineStr">
        <is>
          <t>LM</t>
        </is>
      </c>
      <c r="N428" s="14" t="inlineStr">
        <is>
          <t>Fake Fail</t>
        </is>
      </c>
      <c r="O428" s="14" t="inlineStr">
        <is>
          <t>Customer disputes attempt</t>
        </is>
      </c>
      <c r="P428" s="14" t="inlineStr">
        <is>
          <t>No</t>
        </is>
      </c>
      <c r="Q428" s="14" t="inlineStr">
        <is>
          <t>No</t>
        </is>
      </c>
      <c r="R428" s="14" t="inlineStr">
        <is>
          <t>customer did not receive any call</t>
        </is>
      </c>
      <c r="S428" s="14" t="inlineStr">
        <is>
          <t>Hartini</t>
        </is>
      </c>
      <c r="T428" s="14">
        <f>COUNTIF($B$2:$B$499,B428)</f>
        <v/>
      </c>
      <c r="U428" s="14">
        <f>COUNTIF($I$2:$I$499,I428)</f>
        <v/>
      </c>
      <c r="V428" s="14">
        <f>IF(ISNA(MATCH(B428,'Metabase Lookup'!$A:$A,0)),"Not found",IF(INDEX('Metabase Lookup'!$B:$B,MATCH(B428,'Metabase Lookup'!$A:$A,0))="","Pending",INDEX('Metabase Lookup'!$B:$B,MATCH(B428,'Metabase Lookup'!$A:$A,0))))</f>
        <v/>
      </c>
      <c r="W428" s="14">
        <f>IF(ISNA(MATCH(B428,'Metabase Lookup'!$A:$A,0)),"Not found",IF(INDEX('Metabase Lookup'!$C:$C,MATCH(B428,'Metabase Lookup'!$A:$A,0))="","Pending",INDEX('Metabase Lookup'!$C:$C,MATCH(B428,'Metabase Lookup'!$A:$A,0))))</f>
        <v/>
      </c>
      <c r="X428" s="14">
        <f>IF(ISNA(MATCH(B428,'Metabase Lookup'!$A:$A,0)),"",IF(INDEX('Metabase Lookup'!$D:$D,MATCH(B428,'Metabase Lookup'!$A:$A,0))="","",INDEX('Metabase Lookup'!$D:$D,MATCH(B428,'Metabase Lookup'!$A:$A,0))))</f>
        <v/>
      </c>
      <c r="Y428" s="14">
        <f>IF(ISNUMBER(W428),IF(W428&gt;0,"Yes","No"),"Pending")</f>
        <v/>
      </c>
      <c r="Z428" s="14" t="inlineStr">
        <is>
          <t>Driver not identified (OPS account)</t>
        </is>
      </c>
    </row>
    <row r="429">
      <c r="A429" s="14" t="n">
        <v>428</v>
      </c>
      <c r="B429" s="14" t="inlineStr">
        <is>
          <t>NVMYNINJA002524588</t>
        </is>
      </c>
      <c r="C429" s="15" t="inlineStr">
        <is>
          <t>267312689529</t>
        </is>
      </c>
      <c r="D429" s="16" t="n">
        <v>46290.70702546297</v>
      </c>
      <c r="E429" s="17" t="n">
        <v>46290</v>
      </c>
      <c r="F429" s="14" t="inlineStr">
        <is>
          <t>Fri</t>
        </is>
      </c>
      <c r="G429" s="14" t="inlineStr">
        <is>
          <t>Northern</t>
        </is>
      </c>
      <c r="H429" s="14" t="inlineStr">
        <is>
          <t>BWH</t>
        </is>
      </c>
      <c r="I429" s="14" t="inlineStr">
        <is>
          <t>BWH - OPS - SELF COLLECT</t>
        </is>
      </c>
      <c r="J429" s="14" t="inlineStr">
        <is>
          <t>OPS (generic hub account)</t>
        </is>
      </c>
      <c r="K429" s="14" t="inlineStr">
        <is>
          <t>91873412, 91894743</t>
        </is>
      </c>
      <c r="L429" s="14" t="n">
        <v>2</v>
      </c>
      <c r="M429" s="14" t="inlineStr">
        <is>
          <t>LM</t>
        </is>
      </c>
      <c r="N429" s="14" t="inlineStr">
        <is>
          <t>Fake Fail</t>
        </is>
      </c>
      <c r="O429" s="14" t="inlineStr">
        <is>
          <t>Invalid POD (no detail)</t>
        </is>
      </c>
      <c r="P429" s="14" t="inlineStr">
        <is>
          <t>No</t>
        </is>
      </c>
      <c r="Q429" s="14" t="inlineStr">
        <is>
          <t>Yes</t>
        </is>
      </c>
      <c r="R429" s="14" t="inlineStr">
        <is>
          <t>invalid POD, failed under ops</t>
        </is>
      </c>
      <c r="S429" s="14" t="inlineStr">
        <is>
          <t>Yana</t>
        </is>
      </c>
      <c r="T429" s="14">
        <f>COUNTIF($B$2:$B$499,B429)</f>
        <v/>
      </c>
      <c r="U429" s="14">
        <f>COUNTIF($I$2:$I$499,I429)</f>
        <v/>
      </c>
      <c r="V429" s="14">
        <f>IF(ISNA(MATCH(B429,'Metabase Lookup'!$A:$A,0)),"Not found",IF(INDEX('Metabase Lookup'!$B:$B,MATCH(B429,'Metabase Lookup'!$A:$A,0))="","Pending",INDEX('Metabase Lookup'!$B:$B,MATCH(B429,'Metabase Lookup'!$A:$A,0))))</f>
        <v/>
      </c>
      <c r="W429" s="14">
        <f>IF(ISNA(MATCH(B429,'Metabase Lookup'!$A:$A,0)),"Not found",IF(INDEX('Metabase Lookup'!$C:$C,MATCH(B429,'Metabase Lookup'!$A:$A,0))="","Pending",INDEX('Metabase Lookup'!$C:$C,MATCH(B429,'Metabase Lookup'!$A:$A,0))))</f>
        <v/>
      </c>
      <c r="X429" s="14">
        <f>IF(ISNA(MATCH(B429,'Metabase Lookup'!$A:$A,0)),"",IF(INDEX('Metabase Lookup'!$D:$D,MATCH(B429,'Metabase Lookup'!$A:$A,0))="","",INDEX('Metabase Lookup'!$D:$D,MATCH(B429,'Metabase Lookup'!$A:$A,0))))</f>
        <v/>
      </c>
      <c r="Y429" s="14">
        <f>IF(ISNUMBER(W429),IF(W429&gt;0,"Yes","No"),"Pending")</f>
        <v/>
      </c>
      <c r="Z429" s="14" t="inlineStr">
        <is>
          <t>Multiple route IDs; Driver not identified (OPS account)</t>
        </is>
      </c>
    </row>
    <row r="430">
      <c r="A430" s="14" t="n">
        <v>429</v>
      </c>
      <c r="B430" s="14" t="inlineStr">
        <is>
          <t>TNGDV2609136921142710</t>
        </is>
      </c>
      <c r="C430" s="15" t="inlineStr">
        <is>
          <t>267102684946</t>
        </is>
      </c>
      <c r="D430" s="16" t="n">
        <v>46290.7081712963</v>
      </c>
      <c r="E430" s="17" t="n">
        <v>46290</v>
      </c>
      <c r="F430" s="14" t="inlineStr">
        <is>
          <t>Fri</t>
        </is>
      </c>
      <c r="G430" s="14" t="inlineStr">
        <is>
          <t>Northern</t>
        </is>
      </c>
      <c r="H430" s="14" t="inlineStr">
        <is>
          <t>GEO</t>
        </is>
      </c>
      <c r="I430" s="14" t="inlineStr">
        <is>
          <t>GEO - ID - AFI</t>
        </is>
      </c>
      <c r="J430" s="14" t="inlineStr">
        <is>
          <t>ID (named driver)</t>
        </is>
      </c>
      <c r="K430" s="14" t="inlineStr">
        <is>
          <t>91833923, 91865052, 91883881</t>
        </is>
      </c>
      <c r="L430" s="14" t="n">
        <v>3</v>
      </c>
      <c r="M430" s="14" t="inlineStr">
        <is>
          <t>LM</t>
        </is>
      </c>
      <c r="N430" s="14" t="inlineStr">
        <is>
          <t>Fake Fail</t>
        </is>
      </c>
      <c r="O430" s="14" t="inlineStr">
        <is>
          <t>Customer disputes attempt</t>
        </is>
      </c>
      <c r="P430" s="14" t="inlineStr">
        <is>
          <t>No</t>
        </is>
      </c>
      <c r="Q430" s="14" t="inlineStr">
        <is>
          <t>No</t>
        </is>
      </c>
      <c r="R430" s="14" t="inlineStr">
        <is>
          <t>POD invalid - customer not received</t>
        </is>
      </c>
      <c r="S430" s="14" t="inlineStr">
        <is>
          <t>Syafiq</t>
        </is>
      </c>
      <c r="T430" s="14">
        <f>COUNTIF($B$2:$B$499,B430)</f>
        <v/>
      </c>
      <c r="U430" s="14">
        <f>COUNTIF($I$2:$I$499,I430)</f>
        <v/>
      </c>
      <c r="V430" s="14">
        <f>IF(ISNA(MATCH(B430,'Metabase Lookup'!$A:$A,0)),"Not found",IF(INDEX('Metabase Lookup'!$B:$B,MATCH(B430,'Metabase Lookup'!$A:$A,0))="","Pending",INDEX('Metabase Lookup'!$B:$B,MATCH(B430,'Metabase Lookup'!$A:$A,0))))</f>
        <v/>
      </c>
      <c r="W430" s="14">
        <f>IF(ISNA(MATCH(B430,'Metabase Lookup'!$A:$A,0)),"Not found",IF(INDEX('Metabase Lookup'!$C:$C,MATCH(B430,'Metabase Lookup'!$A:$A,0))="","Pending",INDEX('Metabase Lookup'!$C:$C,MATCH(B430,'Metabase Lookup'!$A:$A,0))))</f>
        <v/>
      </c>
      <c r="X430" s="14">
        <f>IF(ISNA(MATCH(B430,'Metabase Lookup'!$A:$A,0)),"",IF(INDEX('Metabase Lookup'!$D:$D,MATCH(B430,'Metabase Lookup'!$A:$A,0))="","",INDEX('Metabase Lookup'!$D:$D,MATCH(B430,'Metabase Lookup'!$A:$A,0))))</f>
        <v/>
      </c>
      <c r="Y430" s="14">
        <f>IF(ISNUMBER(W430),IF(W430&gt;0,"Yes","No"),"Pending")</f>
        <v/>
      </c>
      <c r="Z430" s="14" t="inlineStr">
        <is>
          <t>Multiple route IDs; TID had stray spaces/line breaks (cleaned)</t>
        </is>
      </c>
    </row>
    <row r="431">
      <c r="A431" s="14" t="n">
        <v>430</v>
      </c>
      <c r="B431" s="14" t="inlineStr">
        <is>
          <t>AJDHU1551787456464850944</t>
        </is>
      </c>
      <c r="C431" s="15" t="inlineStr">
        <is>
          <t>269032686165</t>
        </is>
      </c>
      <c r="D431" s="16" t="n">
        <v>46290.70863425926</v>
      </c>
      <c r="E431" s="17" t="n">
        <v>46290</v>
      </c>
      <c r="F431" s="14" t="inlineStr">
        <is>
          <t>Fri</t>
        </is>
      </c>
      <c r="G431" s="14" t="inlineStr">
        <is>
          <t>KV</t>
        </is>
      </c>
      <c r="H431" s="14" t="inlineStr">
        <is>
          <t>STL</t>
        </is>
      </c>
      <c r="I431" s="14" t="inlineStr">
        <is>
          <t>adif mohdafiqiqbal</t>
        </is>
      </c>
      <c r="J431" s="14" t="inlineStr">
        <is>
          <t>Name only (no hub/code)</t>
        </is>
      </c>
      <c r="K431" s="14" t="inlineStr">
        <is>
          <t>91877398</t>
        </is>
      </c>
      <c r="L431" s="14" t="n">
        <v>1</v>
      </c>
      <c r="M431" s="14" t="inlineStr">
        <is>
          <t>LM</t>
        </is>
      </c>
      <c r="N431" s="14" t="inlineStr">
        <is>
          <t>Pull Out Route (POR)</t>
        </is>
      </c>
      <c r="O431" s="14" t="inlineStr"/>
      <c r="P431" s="14" t="inlineStr"/>
      <c r="Q431" s="14" t="inlineStr"/>
      <c r="R431" s="14" t="inlineStr">
        <is>
          <t>pull out route on 2026-09-25 07:25:00 by adif mohdafiqiqbal</t>
        </is>
      </c>
      <c r="S431" s="14" t="inlineStr">
        <is>
          <t>Hartini</t>
        </is>
      </c>
      <c r="T431" s="14">
        <f>COUNTIF($B$2:$B$499,B431)</f>
        <v/>
      </c>
      <c r="U431" s="14">
        <f>COUNTIF($I$2:$I$499,I431)</f>
        <v/>
      </c>
      <c r="V431" s="14">
        <f>IF(ISNA(MATCH(B431,'Metabase Lookup'!$A:$A,0)),"Not found",IF(INDEX('Metabase Lookup'!$B:$B,MATCH(B431,'Metabase Lookup'!$A:$A,0))="","Pending",INDEX('Metabase Lookup'!$B:$B,MATCH(B431,'Metabase Lookup'!$A:$A,0))))</f>
        <v/>
      </c>
      <c r="W431" s="14">
        <f>IF(ISNA(MATCH(B431,'Metabase Lookup'!$A:$A,0)),"Not found",IF(INDEX('Metabase Lookup'!$C:$C,MATCH(B431,'Metabase Lookup'!$A:$A,0))="","Pending",INDEX('Metabase Lookup'!$C:$C,MATCH(B431,'Metabase Lookup'!$A:$A,0))))</f>
        <v/>
      </c>
      <c r="X431" s="14">
        <f>IF(ISNA(MATCH(B431,'Metabase Lookup'!$A:$A,0)),"",IF(INDEX('Metabase Lookup'!$D:$D,MATCH(B431,'Metabase Lookup'!$A:$A,0))="","",INDEX('Metabase Lookup'!$D:$D,MATCH(B431,'Metabase Lookup'!$A:$A,0))))</f>
        <v/>
      </c>
      <c r="Y431" s="14">
        <f>IF(ISNUMBER(W431),IF(W431&gt;0,"Yes","No"),"Pending")</f>
        <v/>
      </c>
      <c r="Z431" s="14" t="inlineStr"/>
    </row>
    <row r="432">
      <c r="A432" s="14" t="n">
        <v>431</v>
      </c>
      <c r="B432" s="14" t="inlineStr">
        <is>
          <t>NVMYBNBMS000019184</t>
        </is>
      </c>
      <c r="C432" s="15" t="inlineStr">
        <is>
          <t>265912682381</t>
        </is>
      </c>
      <c r="D432" s="16" t="n">
        <v>46290.71140046296</v>
      </c>
      <c r="E432" s="17" t="n">
        <v>46290</v>
      </c>
      <c r="F432" s="14" t="inlineStr">
        <is>
          <t>Fri</t>
        </is>
      </c>
      <c r="G432" s="14" t="inlineStr">
        <is>
          <t>Northern</t>
        </is>
      </c>
      <c r="H432" s="14" t="inlineStr">
        <is>
          <t>BTS</t>
        </is>
      </c>
      <c r="I432" s="14" t="inlineStr">
        <is>
          <t>BTS - ID - SHAMSINAR</t>
        </is>
      </c>
      <c r="J432" s="14" t="inlineStr">
        <is>
          <t>ID (named driver)</t>
        </is>
      </c>
      <c r="K432" s="14" t="inlineStr">
        <is>
          <t>91886126</t>
        </is>
      </c>
      <c r="L432" s="14" t="n">
        <v>1</v>
      </c>
      <c r="M432" s="14" t="inlineStr">
        <is>
          <t>LM</t>
        </is>
      </c>
      <c r="N432" s="14" t="inlineStr">
        <is>
          <t>Deliver to Wrong Address</t>
        </is>
      </c>
      <c r="O432" s="14" t="inlineStr"/>
      <c r="P432" s="14" t="inlineStr"/>
      <c r="Q432" s="14" t="inlineStr"/>
      <c r="R432" s="14" t="inlineStr">
        <is>
          <t>Driver delivered the parcel to the wrong address. After the complaint was raised, the driver retrieved it and redelivered it to the correct address.</t>
        </is>
      </c>
      <c r="S432" s="14" t="inlineStr">
        <is>
          <t>Huzair</t>
        </is>
      </c>
      <c r="T432" s="14">
        <f>COUNTIF($B$2:$B$499,B432)</f>
        <v/>
      </c>
      <c r="U432" s="14">
        <f>COUNTIF($I$2:$I$499,I432)</f>
        <v/>
      </c>
      <c r="V432" s="14">
        <f>IF(ISNA(MATCH(B432,'Metabase Lookup'!$A:$A,0)),"Not found",IF(INDEX('Metabase Lookup'!$B:$B,MATCH(B432,'Metabase Lookup'!$A:$A,0))="","Pending",INDEX('Metabase Lookup'!$B:$B,MATCH(B432,'Metabase Lookup'!$A:$A,0))))</f>
        <v/>
      </c>
      <c r="W432" s="14">
        <f>IF(ISNA(MATCH(B432,'Metabase Lookup'!$A:$A,0)),"Not found",IF(INDEX('Metabase Lookup'!$C:$C,MATCH(B432,'Metabase Lookup'!$A:$A,0))="","Pending",INDEX('Metabase Lookup'!$C:$C,MATCH(B432,'Metabase Lookup'!$A:$A,0))))</f>
        <v/>
      </c>
      <c r="X432" s="14">
        <f>IF(ISNA(MATCH(B432,'Metabase Lookup'!$A:$A,0)),"",IF(INDEX('Metabase Lookup'!$D:$D,MATCH(B432,'Metabase Lookup'!$A:$A,0))="","",INDEX('Metabase Lookup'!$D:$D,MATCH(B432,'Metabase Lookup'!$A:$A,0))))</f>
        <v/>
      </c>
      <c r="Y432" s="14">
        <f>IF(ISNUMBER(W432),IF(W432&gt;0,"Yes","No"),"Pending")</f>
        <v/>
      </c>
      <c r="Z432" s="14" t="inlineStr"/>
    </row>
    <row r="433">
      <c r="A433" s="14" t="n">
        <v>432</v>
      </c>
      <c r="B433" s="14" t="inlineStr">
        <is>
          <t>MAILB1547537792528531456</t>
        </is>
      </c>
      <c r="C433" s="15" t="inlineStr">
        <is>
          <t>264922665064</t>
        </is>
      </c>
      <c r="D433" s="16" t="n">
        <v>46290.71291666666</v>
      </c>
      <c r="E433" s="17" t="n">
        <v>46290</v>
      </c>
      <c r="F433" s="14" t="inlineStr">
        <is>
          <t>Fri</t>
        </is>
      </c>
      <c r="G433" s="14" t="inlineStr">
        <is>
          <t>KV</t>
        </is>
      </c>
      <c r="H433" s="14" t="inlineStr">
        <is>
          <t>BRP</t>
        </is>
      </c>
      <c r="I433" s="14" t="inlineStr">
        <is>
          <t>SYED HILMAN</t>
        </is>
      </c>
      <c r="J433" s="14" t="inlineStr">
        <is>
          <t>Name only (no hub/code)</t>
        </is>
      </c>
      <c r="K433" s="14" t="inlineStr">
        <is>
          <t>91870778</t>
        </is>
      </c>
      <c r="L433" s="14" t="n">
        <v>1</v>
      </c>
      <c r="M433" s="14" t="inlineStr">
        <is>
          <t>LM</t>
        </is>
      </c>
      <c r="N433" s="14" t="inlineStr">
        <is>
          <t>Fake Success</t>
        </is>
      </c>
      <c r="O433" s="14" t="inlineStr"/>
      <c r="P433" s="14" t="inlineStr"/>
      <c r="Q433" s="14" t="inlineStr"/>
      <c r="R433" s="14" t="inlineStr">
        <is>
          <t>driver success the parcel before delivered to customer without consent</t>
        </is>
      </c>
      <c r="S433" s="14" t="inlineStr">
        <is>
          <t>Aimenn Aiyad</t>
        </is>
      </c>
      <c r="T433" s="14">
        <f>COUNTIF($B$2:$B$499,B433)</f>
        <v/>
      </c>
      <c r="U433" s="14">
        <f>COUNTIF($I$2:$I$499,I433)</f>
        <v/>
      </c>
      <c r="V433" s="14">
        <f>IF(ISNA(MATCH(B433,'Metabase Lookup'!$A:$A,0)),"Not found",IF(INDEX('Metabase Lookup'!$B:$B,MATCH(B433,'Metabase Lookup'!$A:$A,0))="","Pending",INDEX('Metabase Lookup'!$B:$B,MATCH(B433,'Metabase Lookup'!$A:$A,0))))</f>
        <v/>
      </c>
      <c r="W433" s="14">
        <f>IF(ISNA(MATCH(B433,'Metabase Lookup'!$A:$A,0)),"Not found",IF(INDEX('Metabase Lookup'!$C:$C,MATCH(B433,'Metabase Lookup'!$A:$A,0))="","Pending",INDEX('Metabase Lookup'!$C:$C,MATCH(B433,'Metabase Lookup'!$A:$A,0))))</f>
        <v/>
      </c>
      <c r="X433" s="14">
        <f>IF(ISNA(MATCH(B433,'Metabase Lookup'!$A:$A,0)),"",IF(INDEX('Metabase Lookup'!$D:$D,MATCH(B433,'Metabase Lookup'!$A:$A,0))="","",INDEX('Metabase Lookup'!$D:$D,MATCH(B433,'Metabase Lookup'!$A:$A,0))))</f>
        <v/>
      </c>
      <c r="Y433" s="14">
        <f>IF(ISNUMBER(W433),IF(W433&gt;0,"Yes","No"),"Pending")</f>
        <v/>
      </c>
      <c r="Z433" s="14" t="inlineStr">
        <is>
          <t>TID logged more than once</t>
        </is>
      </c>
    </row>
    <row r="434">
      <c r="A434" s="14" t="n">
        <v>433</v>
      </c>
      <c r="B434" s="14" t="inlineStr">
        <is>
          <t>NVMYHETUP000007729</t>
        </is>
      </c>
      <c r="C434" s="15" t="inlineStr">
        <is>
          <t>266452680116</t>
        </is>
      </c>
      <c r="D434" s="16" t="n">
        <v>46290.72855324074</v>
      </c>
      <c r="E434" s="17" t="n">
        <v>46290</v>
      </c>
      <c r="F434" s="14" t="inlineStr">
        <is>
          <t>Fri</t>
        </is>
      </c>
      <c r="G434" s="14" t="inlineStr">
        <is>
          <t>KV</t>
        </is>
      </c>
      <c r="H434" s="14" t="inlineStr">
        <is>
          <t>SUN</t>
        </is>
      </c>
      <c r="I434" s="14" t="inlineStr">
        <is>
          <t>SUN - OPS - ADAM</t>
        </is>
      </c>
      <c r="J434" s="14" t="inlineStr">
        <is>
          <t>OPS (generic hub account)</t>
        </is>
      </c>
      <c r="K434" s="14" t="inlineStr">
        <is>
          <t>91894872</t>
        </is>
      </c>
      <c r="L434" s="14" t="n">
        <v>1</v>
      </c>
      <c r="M434" s="14" t="inlineStr">
        <is>
          <t>LM</t>
        </is>
      </c>
      <c r="N434" s="14" t="inlineStr">
        <is>
          <t>Fake Fail</t>
        </is>
      </c>
      <c r="O434" s="14" t="inlineStr">
        <is>
          <t>Call not connected / no response</t>
        </is>
      </c>
      <c r="P434" s="14" t="inlineStr">
        <is>
          <t>Yes</t>
        </is>
      </c>
      <c r="Q434" s="14" t="inlineStr">
        <is>
          <t>No</t>
        </is>
      </c>
      <c r="R434" s="14" t="inlineStr">
        <is>
          <t>Invalid delivery attempt. POD invalid: Call log not connected, location invalid</t>
        </is>
      </c>
      <c r="S434" s="14" t="inlineStr">
        <is>
          <t>Putri</t>
        </is>
      </c>
      <c r="T434" s="14">
        <f>COUNTIF($B$2:$B$499,B434)</f>
        <v/>
      </c>
      <c r="U434" s="14">
        <f>COUNTIF($I$2:$I$499,I434)</f>
        <v/>
      </c>
      <c r="V434" s="14">
        <f>IF(ISNA(MATCH(B434,'Metabase Lookup'!$A:$A,0)),"Not found",IF(INDEX('Metabase Lookup'!$B:$B,MATCH(B434,'Metabase Lookup'!$A:$A,0))="","Pending",INDEX('Metabase Lookup'!$B:$B,MATCH(B434,'Metabase Lookup'!$A:$A,0))))</f>
        <v/>
      </c>
      <c r="W434" s="14">
        <f>IF(ISNA(MATCH(B434,'Metabase Lookup'!$A:$A,0)),"Not found",IF(INDEX('Metabase Lookup'!$C:$C,MATCH(B434,'Metabase Lookup'!$A:$A,0))="","Pending",INDEX('Metabase Lookup'!$C:$C,MATCH(B434,'Metabase Lookup'!$A:$A,0))))</f>
        <v/>
      </c>
      <c r="X434" s="14">
        <f>IF(ISNA(MATCH(B434,'Metabase Lookup'!$A:$A,0)),"",IF(INDEX('Metabase Lookup'!$D:$D,MATCH(B434,'Metabase Lookup'!$A:$A,0))="","",INDEX('Metabase Lookup'!$D:$D,MATCH(B434,'Metabase Lookup'!$A:$A,0))))</f>
        <v/>
      </c>
      <c r="Y434" s="14">
        <f>IF(ISNUMBER(W434),IF(W434&gt;0,"Yes","No"),"Pending")</f>
        <v/>
      </c>
      <c r="Z434" s="14" t="inlineStr">
        <is>
          <t>Driver not identified (OPS account)</t>
        </is>
      </c>
    </row>
    <row r="435">
      <c r="A435" s="14" t="n">
        <v>434</v>
      </c>
      <c r="B435" s="14" t="inlineStr">
        <is>
          <t>NVMYMYAZL000000045</t>
        </is>
      </c>
      <c r="C435" s="15" t="inlineStr">
        <is>
          <t>262222683324</t>
        </is>
      </c>
      <c r="D435" s="16" t="n">
        <v>46290.72962962963</v>
      </c>
      <c r="E435" s="17" t="n">
        <v>46290</v>
      </c>
      <c r="F435" s="14" t="inlineStr">
        <is>
          <t>Fri</t>
        </is>
      </c>
      <c r="G435" s="14" t="inlineStr">
        <is>
          <t>North West</t>
        </is>
      </c>
      <c r="H435" s="14" t="inlineStr">
        <is>
          <t>TIN</t>
        </is>
      </c>
      <c r="I435" s="14" t="inlineStr">
        <is>
          <t>OPS - HAFFISZIE</t>
        </is>
      </c>
      <c r="J435" s="14" t="inlineStr">
        <is>
          <t>OPS (generic hub account)</t>
        </is>
      </c>
      <c r="K435" s="14" t="inlineStr">
        <is>
          <t>91891708</t>
        </is>
      </c>
      <c r="L435" s="14" t="n">
        <v>1</v>
      </c>
      <c r="M435" s="14" t="inlineStr">
        <is>
          <t>LM</t>
        </is>
      </c>
      <c r="N435" s="14" t="inlineStr">
        <is>
          <t>Fake Fail</t>
        </is>
      </c>
      <c r="O435" s="14" t="inlineStr">
        <is>
          <t>Invalid POD (no detail)</t>
        </is>
      </c>
      <c r="P435" s="14" t="inlineStr">
        <is>
          <t>No</t>
        </is>
      </c>
      <c r="Q435" s="14" t="inlineStr">
        <is>
          <t>Yes</t>
        </is>
      </c>
      <c r="R435" s="14" t="inlineStr">
        <is>
          <t>invalid POD, failed under ops</t>
        </is>
      </c>
      <c r="S435" s="14" t="inlineStr">
        <is>
          <t>Yana</t>
        </is>
      </c>
      <c r="T435" s="14">
        <f>COUNTIF($B$2:$B$499,B435)</f>
        <v/>
      </c>
      <c r="U435" s="14">
        <f>COUNTIF($I$2:$I$499,I435)</f>
        <v/>
      </c>
      <c r="V435" s="14">
        <f>IF(ISNA(MATCH(B435,'Metabase Lookup'!$A:$A,0)),"Not found",IF(INDEX('Metabase Lookup'!$B:$B,MATCH(B435,'Metabase Lookup'!$A:$A,0))="","Pending",INDEX('Metabase Lookup'!$B:$B,MATCH(B435,'Metabase Lookup'!$A:$A,0))))</f>
        <v/>
      </c>
      <c r="W435" s="14">
        <f>IF(ISNA(MATCH(B435,'Metabase Lookup'!$A:$A,0)),"Not found",IF(INDEX('Metabase Lookup'!$C:$C,MATCH(B435,'Metabase Lookup'!$A:$A,0))="","Pending",INDEX('Metabase Lookup'!$C:$C,MATCH(B435,'Metabase Lookup'!$A:$A,0))))</f>
        <v/>
      </c>
      <c r="X435" s="14">
        <f>IF(ISNA(MATCH(B435,'Metabase Lookup'!$A:$A,0)),"",IF(INDEX('Metabase Lookup'!$D:$D,MATCH(B435,'Metabase Lookup'!$A:$A,0))="","",INDEX('Metabase Lookup'!$D:$D,MATCH(B435,'Metabase Lookup'!$A:$A,0))))</f>
        <v/>
      </c>
      <c r="Y435" s="14">
        <f>IF(ISNUMBER(W435),IF(W435&gt;0,"Yes","No"),"Pending")</f>
        <v/>
      </c>
      <c r="Z435" s="14" t="inlineStr">
        <is>
          <t>Driver not identified (OPS account)</t>
        </is>
      </c>
    </row>
    <row r="436">
      <c r="A436" s="14" t="n">
        <v>435</v>
      </c>
      <c r="B436" s="14" t="inlineStr">
        <is>
          <t>PYHCS1551483367557894144</t>
        </is>
      </c>
      <c r="C436" s="15" t="inlineStr">
        <is>
          <t>267842685039</t>
        </is>
      </c>
      <c r="D436" s="16" t="n">
        <v>46290.7315162037</v>
      </c>
      <c r="E436" s="17" t="n">
        <v>46290</v>
      </c>
      <c r="F436" s="14" t="inlineStr">
        <is>
          <t>Fri</t>
        </is>
      </c>
      <c r="G436" s="14" t="inlineStr">
        <is>
          <t>South West</t>
        </is>
      </c>
      <c r="H436" s="14" t="inlineStr">
        <is>
          <t>MTG</t>
        </is>
      </c>
      <c r="I436" s="14" t="inlineStr">
        <is>
          <t>MTG - ID - RENDRA</t>
        </is>
      </c>
      <c r="J436" s="14" t="inlineStr">
        <is>
          <t>ID (named driver)</t>
        </is>
      </c>
      <c r="K436" s="14" t="inlineStr">
        <is>
          <t>91864899</t>
        </is>
      </c>
      <c r="L436" s="14" t="n">
        <v>1</v>
      </c>
      <c r="M436" s="14" t="inlineStr">
        <is>
          <t>LM</t>
        </is>
      </c>
      <c r="N436" s="14" t="inlineStr">
        <is>
          <t>Lost Item</t>
        </is>
      </c>
      <c r="O436" s="14" t="inlineStr"/>
      <c r="P436" s="14" t="inlineStr"/>
      <c r="Q436" s="14" t="inlineStr"/>
      <c r="R436" s="14" t="inlineStr">
        <is>
          <t>Lost by the driver</t>
        </is>
      </c>
      <c r="S436" s="14" t="inlineStr">
        <is>
          <t>Huzair</t>
        </is>
      </c>
      <c r="T436" s="14">
        <f>COUNTIF($B$2:$B$499,B436)</f>
        <v/>
      </c>
      <c r="U436" s="14">
        <f>COUNTIF($I$2:$I$499,I436)</f>
        <v/>
      </c>
      <c r="V436" s="14">
        <f>IF(ISNA(MATCH(B436,'Metabase Lookup'!$A:$A,0)),"Not found",IF(INDEX('Metabase Lookup'!$B:$B,MATCH(B436,'Metabase Lookup'!$A:$A,0))="","Pending",INDEX('Metabase Lookup'!$B:$B,MATCH(B436,'Metabase Lookup'!$A:$A,0))))</f>
        <v/>
      </c>
      <c r="W436" s="14">
        <f>IF(ISNA(MATCH(B436,'Metabase Lookup'!$A:$A,0)),"Not found",IF(INDEX('Metabase Lookup'!$C:$C,MATCH(B436,'Metabase Lookup'!$A:$A,0))="","Pending",INDEX('Metabase Lookup'!$C:$C,MATCH(B436,'Metabase Lookup'!$A:$A,0))))</f>
        <v/>
      </c>
      <c r="X436" s="14">
        <f>IF(ISNA(MATCH(B436,'Metabase Lookup'!$A:$A,0)),"",IF(INDEX('Metabase Lookup'!$D:$D,MATCH(B436,'Metabase Lookup'!$A:$A,0))="","",INDEX('Metabase Lookup'!$D:$D,MATCH(B436,'Metabase Lookup'!$A:$A,0))))</f>
        <v/>
      </c>
      <c r="Y436" s="14">
        <f>IF(ISNUMBER(W436),IF(W436&gt;0,"Yes","No"),"Pending")</f>
        <v/>
      </c>
      <c r="Z436" s="14" t="inlineStr"/>
    </row>
    <row r="437">
      <c r="A437" s="14" t="n">
        <v>436</v>
      </c>
      <c r="B437" s="14" t="inlineStr">
        <is>
          <t>NVMYADI00000422193</t>
        </is>
      </c>
      <c r="C437" s="15" t="inlineStr">
        <is>
          <t>262812683346</t>
        </is>
      </c>
      <c r="D437" s="16" t="n">
        <v>46290.73275462963</v>
      </c>
      <c r="E437" s="17" t="n">
        <v>46290</v>
      </c>
      <c r="F437" s="14" t="inlineStr">
        <is>
          <t>Fri</t>
        </is>
      </c>
      <c r="G437" s="14" t="inlineStr">
        <is>
          <t>KV</t>
        </is>
      </c>
      <c r="H437" s="14" t="inlineStr">
        <is>
          <t>KMU</t>
        </is>
      </c>
      <c r="I437" s="14" t="inlineStr">
        <is>
          <t>KMU - ID - MUGILANRAJ</t>
        </is>
      </c>
      <c r="J437" s="14" t="inlineStr">
        <is>
          <t>ID (named driver)</t>
        </is>
      </c>
      <c r="K437" s="14" t="inlineStr">
        <is>
          <t>91858509, 91867105, 91875677, 91892717</t>
        </is>
      </c>
      <c r="L437" s="14" t="n">
        <v>4</v>
      </c>
      <c r="M437" s="14" t="inlineStr">
        <is>
          <t>LM</t>
        </is>
      </c>
      <c r="N437" s="14" t="inlineStr">
        <is>
          <t>Failed pick-up</t>
        </is>
      </c>
      <c r="O437" s="14" t="inlineStr"/>
      <c r="P437" s="14" t="inlineStr"/>
      <c r="Q437" s="14" t="inlineStr"/>
      <c r="R437" s="14" t="inlineStr">
        <is>
          <t>Invalid pickup POD - no location picture / use same POD</t>
        </is>
      </c>
      <c r="S437" s="14" t="inlineStr">
        <is>
          <t>Syafiq</t>
        </is>
      </c>
      <c r="T437" s="14">
        <f>COUNTIF($B$2:$B$499,B437)</f>
        <v/>
      </c>
      <c r="U437" s="14">
        <f>COUNTIF($I$2:$I$499,I437)</f>
        <v/>
      </c>
      <c r="V437" s="14">
        <f>IF(ISNA(MATCH(B437,'Metabase Lookup'!$A:$A,0)),"Not found",IF(INDEX('Metabase Lookup'!$B:$B,MATCH(B437,'Metabase Lookup'!$A:$A,0))="","Pending",INDEX('Metabase Lookup'!$B:$B,MATCH(B437,'Metabase Lookup'!$A:$A,0))))</f>
        <v/>
      </c>
      <c r="W437" s="14">
        <f>IF(ISNA(MATCH(B437,'Metabase Lookup'!$A:$A,0)),"Not found",IF(INDEX('Metabase Lookup'!$C:$C,MATCH(B437,'Metabase Lookup'!$A:$A,0))="","Pending",INDEX('Metabase Lookup'!$C:$C,MATCH(B437,'Metabase Lookup'!$A:$A,0))))</f>
        <v/>
      </c>
      <c r="X437" s="14">
        <f>IF(ISNA(MATCH(B437,'Metabase Lookup'!$A:$A,0)),"",IF(INDEX('Metabase Lookup'!$D:$D,MATCH(B437,'Metabase Lookup'!$A:$A,0))="","",INDEX('Metabase Lookup'!$D:$D,MATCH(B437,'Metabase Lookup'!$A:$A,0))))</f>
        <v/>
      </c>
      <c r="Y437" s="14">
        <f>IF(ISNUMBER(W437),IF(W437&gt;0,"Yes","No"),"Pending")</f>
        <v/>
      </c>
      <c r="Z437" s="14" t="inlineStr">
        <is>
          <t>Multiple route IDs; TID had stray spaces/line breaks (cleaned)</t>
        </is>
      </c>
    </row>
    <row r="438">
      <c r="A438" s="14" t="n">
        <v>437</v>
      </c>
      <c r="B438" s="14" t="inlineStr">
        <is>
          <t>TNGSB126107603036673000</t>
        </is>
      </c>
      <c r="C438" s="15" t="inlineStr">
        <is>
          <t>268572685462</t>
        </is>
      </c>
      <c r="D438" s="16" t="n">
        <v>46290.73494212963</v>
      </c>
      <c r="E438" s="17" t="n">
        <v>46290</v>
      </c>
      <c r="F438" s="14" t="inlineStr">
        <is>
          <t>Fri</t>
        </is>
      </c>
      <c r="G438" s="14" t="inlineStr">
        <is>
          <t>Southern</t>
        </is>
      </c>
      <c r="H438" s="14" t="inlineStr">
        <is>
          <t>KEM</t>
        </is>
      </c>
      <c r="I438" s="14" t="inlineStr">
        <is>
          <t>OPS - KEM</t>
        </is>
      </c>
      <c r="J438" s="14" t="inlineStr">
        <is>
          <t>OPS (generic hub account)</t>
        </is>
      </c>
      <c r="K438" s="14" t="inlineStr">
        <is>
          <t>91891633</t>
        </is>
      </c>
      <c r="L438" s="14" t="n">
        <v>1</v>
      </c>
      <c r="M438" s="14" t="inlineStr">
        <is>
          <t>LM</t>
        </is>
      </c>
      <c r="N438" s="14" t="inlineStr">
        <is>
          <t>Fake Fail</t>
        </is>
      </c>
      <c r="O438" s="14" t="inlineStr">
        <is>
          <t>Customer disputes attempt</t>
        </is>
      </c>
      <c r="P438" s="14" t="inlineStr">
        <is>
          <t>No</t>
        </is>
      </c>
      <c r="Q438" s="14" t="inlineStr">
        <is>
          <t>No</t>
        </is>
      </c>
      <c r="R438" s="14" t="inlineStr">
        <is>
          <t>cust claim did not receive any call/ws from driver</t>
        </is>
      </c>
      <c r="S438" s="14" t="inlineStr">
        <is>
          <t>Hartini</t>
        </is>
      </c>
      <c r="T438" s="14">
        <f>COUNTIF($B$2:$B$499,B438)</f>
        <v/>
      </c>
      <c r="U438" s="14">
        <f>COUNTIF($I$2:$I$499,I438)</f>
        <v/>
      </c>
      <c r="V438" s="14">
        <f>IF(ISNA(MATCH(B438,'Metabase Lookup'!$A:$A,0)),"Not found",IF(INDEX('Metabase Lookup'!$B:$B,MATCH(B438,'Metabase Lookup'!$A:$A,0))="","Pending",INDEX('Metabase Lookup'!$B:$B,MATCH(B438,'Metabase Lookup'!$A:$A,0))))</f>
        <v/>
      </c>
      <c r="W438" s="14">
        <f>IF(ISNA(MATCH(B438,'Metabase Lookup'!$A:$A,0)),"Not found",IF(INDEX('Metabase Lookup'!$C:$C,MATCH(B438,'Metabase Lookup'!$A:$A,0))="","Pending",INDEX('Metabase Lookup'!$C:$C,MATCH(B438,'Metabase Lookup'!$A:$A,0))))</f>
        <v/>
      </c>
      <c r="X438" s="14">
        <f>IF(ISNA(MATCH(B438,'Metabase Lookup'!$A:$A,0)),"",IF(INDEX('Metabase Lookup'!$D:$D,MATCH(B438,'Metabase Lookup'!$A:$A,0))="","",INDEX('Metabase Lookup'!$D:$D,MATCH(B438,'Metabase Lookup'!$A:$A,0))))</f>
        <v/>
      </c>
      <c r="Y438" s="14">
        <f>IF(ISNUMBER(W438),IF(W438&gt;0,"Yes","No"),"Pending")</f>
        <v/>
      </c>
      <c r="Z438" s="14" t="inlineStr">
        <is>
          <t>Driver not identified (OPS account)</t>
        </is>
      </c>
    </row>
    <row r="439">
      <c r="A439" s="14" t="n">
        <v>438</v>
      </c>
      <c r="B439" s="14" t="inlineStr">
        <is>
          <t>ZNV218133945-9245</t>
        </is>
      </c>
      <c r="C439" s="15" t="inlineStr">
        <is>
          <t>262822684433</t>
        </is>
      </c>
      <c r="D439" s="16" t="n">
        <v>46290.73699074074</v>
      </c>
      <c r="E439" s="17" t="n">
        <v>46290</v>
      </c>
      <c r="F439" s="14" t="inlineStr">
        <is>
          <t>Fri</t>
        </is>
      </c>
      <c r="G439" s="14" t="inlineStr">
        <is>
          <t>KV</t>
        </is>
      </c>
      <c r="H439" s="14" t="inlineStr">
        <is>
          <t>PJY</t>
        </is>
      </c>
      <c r="I439" s="14" t="inlineStr">
        <is>
          <t>OPS - PJY</t>
        </is>
      </c>
      <c r="J439" s="14" t="inlineStr">
        <is>
          <t>OPS (generic hub account)</t>
        </is>
      </c>
      <c r="K439" s="14" t="inlineStr">
        <is>
          <t>91895026</t>
        </is>
      </c>
      <c r="L439" s="14" t="n">
        <v>1</v>
      </c>
      <c r="M439" s="14" t="inlineStr">
        <is>
          <t>LM</t>
        </is>
      </c>
      <c r="N439" s="14" t="inlineStr">
        <is>
          <t>Fake Fail</t>
        </is>
      </c>
      <c r="O439" s="14" t="inlineStr">
        <is>
          <t>No call / call log missing</t>
        </is>
      </c>
      <c r="P439" s="14" t="inlineStr">
        <is>
          <t>No</t>
        </is>
      </c>
      <c r="Q439" s="14" t="inlineStr">
        <is>
          <t>No</t>
        </is>
      </c>
      <c r="R439" s="14" t="inlineStr">
        <is>
          <t>Driver never call</t>
        </is>
      </c>
      <c r="S439" s="14" t="inlineStr">
        <is>
          <t>Hartini</t>
        </is>
      </c>
      <c r="T439" s="14">
        <f>COUNTIF($B$2:$B$499,B439)</f>
        <v/>
      </c>
      <c r="U439" s="14">
        <f>COUNTIF($I$2:$I$499,I439)</f>
        <v/>
      </c>
      <c r="V439" s="14">
        <f>IF(ISNA(MATCH(B439,'Metabase Lookup'!$A:$A,0)),"Not found",IF(INDEX('Metabase Lookup'!$B:$B,MATCH(B439,'Metabase Lookup'!$A:$A,0))="","Pending",INDEX('Metabase Lookup'!$B:$B,MATCH(B439,'Metabase Lookup'!$A:$A,0))))</f>
        <v/>
      </c>
      <c r="W439" s="14">
        <f>IF(ISNA(MATCH(B439,'Metabase Lookup'!$A:$A,0)),"Not found",IF(INDEX('Metabase Lookup'!$C:$C,MATCH(B439,'Metabase Lookup'!$A:$A,0))="","Pending",INDEX('Metabase Lookup'!$C:$C,MATCH(B439,'Metabase Lookup'!$A:$A,0))))</f>
        <v/>
      </c>
      <c r="X439" s="14">
        <f>IF(ISNA(MATCH(B439,'Metabase Lookup'!$A:$A,0)),"",IF(INDEX('Metabase Lookup'!$D:$D,MATCH(B439,'Metabase Lookup'!$A:$A,0))="","",INDEX('Metabase Lookup'!$D:$D,MATCH(B439,'Metabase Lookup'!$A:$A,0))))</f>
        <v/>
      </c>
      <c r="Y439" s="14">
        <f>IF(ISNUMBER(W439),IF(W439&gt;0,"Yes","No"),"Pending")</f>
        <v/>
      </c>
      <c r="Z439" s="14" t="inlineStr">
        <is>
          <t>Driver not identified (OPS account)</t>
        </is>
      </c>
    </row>
    <row r="440">
      <c r="A440" s="14" t="n">
        <v>439</v>
      </c>
      <c r="B440" s="14" t="inlineStr">
        <is>
          <t>TNGE126057319316659000</t>
        </is>
      </c>
      <c r="C440" s="15" t="inlineStr">
        <is>
          <t>261602680033</t>
        </is>
      </c>
      <c r="D440" s="16" t="n">
        <v>46290.73988425926</v>
      </c>
      <c r="E440" s="17" t="n">
        <v>46290</v>
      </c>
      <c r="F440" s="14" t="inlineStr">
        <is>
          <t>Fri</t>
        </is>
      </c>
      <c r="G440" s="14" t="inlineStr">
        <is>
          <t>Southern</t>
        </is>
      </c>
      <c r="H440" s="14" t="inlineStr">
        <is>
          <t>KEM</t>
        </is>
      </c>
      <c r="I440" s="14" t="inlineStr">
        <is>
          <t>MTG - FM - Shazwan Saupi</t>
        </is>
      </c>
      <c r="J440" s="14" t="inlineStr">
        <is>
          <t>FM (first-mile)</t>
        </is>
      </c>
      <c r="K440" s="14" t="inlineStr">
        <is>
          <t>91894656</t>
        </is>
      </c>
      <c r="L440" s="14" t="n">
        <v>1</v>
      </c>
      <c r="M440" s="14" t="inlineStr">
        <is>
          <t>LM</t>
        </is>
      </c>
      <c r="N440" s="14" t="inlineStr">
        <is>
          <t>Fake Fail</t>
        </is>
      </c>
      <c r="O440" s="14" t="inlineStr">
        <is>
          <t>No call / call log missing</t>
        </is>
      </c>
      <c r="P440" s="14" t="inlineStr">
        <is>
          <t>Yes</t>
        </is>
      </c>
      <c r="Q440" s="14" t="inlineStr">
        <is>
          <t>No</t>
        </is>
      </c>
      <c r="R440" s="14" t="inlineStr">
        <is>
          <t>no call log and image of location provided</t>
        </is>
      </c>
      <c r="S440" s="14" t="inlineStr">
        <is>
          <t>Hartini</t>
        </is>
      </c>
      <c r="T440" s="14">
        <f>COUNTIF($B$2:$B$499,B440)</f>
        <v/>
      </c>
      <c r="U440" s="14">
        <f>COUNTIF($I$2:$I$499,I440)</f>
        <v/>
      </c>
      <c r="V440" s="14">
        <f>IF(ISNA(MATCH(B440,'Metabase Lookup'!$A:$A,0)),"Not found",IF(INDEX('Metabase Lookup'!$B:$B,MATCH(B440,'Metabase Lookup'!$A:$A,0))="","Pending",INDEX('Metabase Lookup'!$B:$B,MATCH(B440,'Metabase Lookup'!$A:$A,0))))</f>
        <v/>
      </c>
      <c r="W440" s="14">
        <f>IF(ISNA(MATCH(B440,'Metabase Lookup'!$A:$A,0)),"Not found",IF(INDEX('Metabase Lookup'!$C:$C,MATCH(B440,'Metabase Lookup'!$A:$A,0))="","Pending",INDEX('Metabase Lookup'!$C:$C,MATCH(B440,'Metabase Lookup'!$A:$A,0))))</f>
        <v/>
      </c>
      <c r="X440" s="14">
        <f>IF(ISNA(MATCH(B440,'Metabase Lookup'!$A:$A,0)),"",IF(INDEX('Metabase Lookup'!$D:$D,MATCH(B440,'Metabase Lookup'!$A:$A,0))="","",INDEX('Metabase Lookup'!$D:$D,MATCH(B440,'Metabase Lookup'!$A:$A,0))))</f>
        <v/>
      </c>
      <c r="Y440" s="14">
        <f>IF(ISNUMBER(W440),IF(W440&gt;0,"Yes","No"),"Pending")</f>
        <v/>
      </c>
      <c r="Z440" s="14" t="inlineStr">
        <is>
          <t>TID logged more than once</t>
        </is>
      </c>
    </row>
    <row r="441">
      <c r="A441" s="14" t="n">
        <v>440</v>
      </c>
      <c r="B441" s="14" t="inlineStr">
        <is>
          <t>NVMYNRWAE000000555</t>
        </is>
      </c>
      <c r="C441" s="15" t="inlineStr">
        <is>
          <t>268742687414</t>
        </is>
      </c>
      <c r="D441" s="16" t="n">
        <v>46290.74673611111</v>
      </c>
      <c r="E441" s="17" t="n">
        <v>46290</v>
      </c>
      <c r="F441" s="14" t="inlineStr">
        <is>
          <t>Fri</t>
        </is>
      </c>
      <c r="G441" s="14" t="inlineStr">
        <is>
          <t>Southern</t>
        </is>
      </c>
      <c r="H441" s="14" t="inlineStr">
        <is>
          <t>PTN</t>
        </is>
      </c>
      <c r="I441" s="14" t="inlineStr">
        <is>
          <t>PTN - OPS - IZZ</t>
        </is>
      </c>
      <c r="J441" s="14" t="inlineStr">
        <is>
          <t>OPS (generic hub account)</t>
        </is>
      </c>
      <c r="K441" s="14" t="inlineStr">
        <is>
          <t>91886391</t>
        </is>
      </c>
      <c r="L441" s="14" t="n">
        <v>1</v>
      </c>
      <c r="M441" s="14" t="inlineStr">
        <is>
          <t>LM</t>
        </is>
      </c>
      <c r="N441" s="14" t="inlineStr">
        <is>
          <t>Fake Fail</t>
        </is>
      </c>
      <c r="O441" s="14" t="inlineStr">
        <is>
          <t>Wrong number called</t>
        </is>
      </c>
      <c r="P441" s="14" t="inlineStr">
        <is>
          <t>No</t>
        </is>
      </c>
      <c r="Q441" s="14" t="inlineStr">
        <is>
          <t>No</t>
        </is>
      </c>
      <c r="R441" s="14" t="inlineStr">
        <is>
          <t>POD invalid wrong contact number</t>
        </is>
      </c>
      <c r="S441" s="14" t="inlineStr">
        <is>
          <t>Ninja Hadif</t>
        </is>
      </c>
      <c r="T441" s="14">
        <f>COUNTIF($B$2:$B$499,B441)</f>
        <v/>
      </c>
      <c r="U441" s="14">
        <f>COUNTIF($I$2:$I$499,I441)</f>
        <v/>
      </c>
      <c r="V441" s="14">
        <f>IF(ISNA(MATCH(B441,'Metabase Lookup'!$A:$A,0)),"Not found",IF(INDEX('Metabase Lookup'!$B:$B,MATCH(B441,'Metabase Lookup'!$A:$A,0))="","Pending",INDEX('Metabase Lookup'!$B:$B,MATCH(B441,'Metabase Lookup'!$A:$A,0))))</f>
        <v/>
      </c>
      <c r="W441" s="14">
        <f>IF(ISNA(MATCH(B441,'Metabase Lookup'!$A:$A,0)),"Not found",IF(INDEX('Metabase Lookup'!$C:$C,MATCH(B441,'Metabase Lookup'!$A:$A,0))="","Pending",INDEX('Metabase Lookup'!$C:$C,MATCH(B441,'Metabase Lookup'!$A:$A,0))))</f>
        <v/>
      </c>
      <c r="X441" s="14">
        <f>IF(ISNA(MATCH(B441,'Metabase Lookup'!$A:$A,0)),"",IF(INDEX('Metabase Lookup'!$D:$D,MATCH(B441,'Metabase Lookup'!$A:$A,0))="","",INDEX('Metabase Lookup'!$D:$D,MATCH(B441,'Metabase Lookup'!$A:$A,0))))</f>
        <v/>
      </c>
      <c r="Y441" s="14">
        <f>IF(ISNUMBER(W441),IF(W441&gt;0,"Yes","No"),"Pending")</f>
        <v/>
      </c>
      <c r="Z441" s="14" t="inlineStr">
        <is>
          <t>Driver not identified (OPS account)</t>
        </is>
      </c>
    </row>
    <row r="442">
      <c r="A442" s="14" t="n">
        <v>441</v>
      </c>
      <c r="B442" s="14" t="inlineStr">
        <is>
          <t>NVMYPCTDA000003033</t>
        </is>
      </c>
      <c r="C442" s="15" t="inlineStr">
        <is>
          <t>266402684622</t>
        </is>
      </c>
      <c r="D442" s="16" t="n">
        <v>46290.74765046296</v>
      </c>
      <c r="E442" s="17" t="n">
        <v>46290</v>
      </c>
      <c r="F442" s="14" t="inlineStr">
        <is>
          <t>Fri</t>
        </is>
      </c>
      <c r="G442" s="14" t="inlineStr">
        <is>
          <t>Southern</t>
        </is>
      </c>
      <c r="H442" s="14" t="inlineStr">
        <is>
          <t>MUA</t>
        </is>
      </c>
      <c r="I442" s="14" t="inlineStr">
        <is>
          <t>MUA - HR - SYUKRIAHEZAN</t>
        </is>
      </c>
      <c r="J442" s="14" t="inlineStr">
        <is>
          <t>HR (named)</t>
        </is>
      </c>
      <c r="K442" s="14" t="inlineStr">
        <is>
          <t>91877241</t>
        </is>
      </c>
      <c r="L442" s="14" t="n">
        <v>1</v>
      </c>
      <c r="M442" s="14" t="inlineStr">
        <is>
          <t>LM</t>
        </is>
      </c>
      <c r="N442" s="14" t="inlineStr">
        <is>
          <t>Fake Fail</t>
        </is>
      </c>
      <c r="O442" s="14" t="inlineStr">
        <is>
          <t>Invalid POD (no detail)</t>
        </is>
      </c>
      <c r="P442" s="14" t="inlineStr">
        <is>
          <t>No</t>
        </is>
      </c>
      <c r="Q442" s="14" t="inlineStr">
        <is>
          <t>No</t>
        </is>
      </c>
      <c r="R442" s="14" t="inlineStr">
        <is>
          <t>driver fake fail with invalid POD which leads to parcel being RTS</t>
        </is>
      </c>
      <c r="S442" s="14" t="inlineStr">
        <is>
          <t>Aimenn Aiyad</t>
        </is>
      </c>
      <c r="T442" s="14">
        <f>COUNTIF($B$2:$B$499,B442)</f>
        <v/>
      </c>
      <c r="U442" s="14">
        <f>COUNTIF($I$2:$I$499,I442)</f>
        <v/>
      </c>
      <c r="V442" s="14">
        <f>IF(ISNA(MATCH(B442,'Metabase Lookup'!$A:$A,0)),"Not found",IF(INDEX('Metabase Lookup'!$B:$B,MATCH(B442,'Metabase Lookup'!$A:$A,0))="","Pending",INDEX('Metabase Lookup'!$B:$B,MATCH(B442,'Metabase Lookup'!$A:$A,0))))</f>
        <v/>
      </c>
      <c r="W442" s="14">
        <f>IF(ISNA(MATCH(B442,'Metabase Lookup'!$A:$A,0)),"Not found",IF(INDEX('Metabase Lookup'!$C:$C,MATCH(B442,'Metabase Lookup'!$A:$A,0))="","Pending",INDEX('Metabase Lookup'!$C:$C,MATCH(B442,'Metabase Lookup'!$A:$A,0))))</f>
        <v/>
      </c>
      <c r="X442" s="14">
        <f>IF(ISNA(MATCH(B442,'Metabase Lookup'!$A:$A,0)),"",IF(INDEX('Metabase Lookup'!$D:$D,MATCH(B442,'Metabase Lookup'!$A:$A,0))="","",INDEX('Metabase Lookup'!$D:$D,MATCH(B442,'Metabase Lookup'!$A:$A,0))))</f>
        <v/>
      </c>
      <c r="Y442" s="14">
        <f>IF(ISNUMBER(W442),IF(W442&gt;0,"Yes","No"),"Pending")</f>
        <v/>
      </c>
      <c r="Z442" s="14" t="inlineStr"/>
    </row>
    <row r="443">
      <c r="A443" s="14" t="n">
        <v>442</v>
      </c>
      <c r="B443" s="14" t="inlineStr">
        <is>
          <t>DEONL1552139449979105280</t>
        </is>
      </c>
      <c r="C443" s="15" t="inlineStr">
        <is>
          <t>267142687578</t>
        </is>
      </c>
      <c r="D443" s="16" t="n">
        <v>46290.75277777778</v>
      </c>
      <c r="E443" s="17" t="n">
        <v>46290</v>
      </c>
      <c r="F443" s="14" t="inlineStr">
        <is>
          <t>Fri</t>
        </is>
      </c>
      <c r="G443" s="14" t="inlineStr">
        <is>
          <t>Northern</t>
        </is>
      </c>
      <c r="H443" s="14" t="inlineStr">
        <is>
          <t>BAY</t>
        </is>
      </c>
      <c r="I443" s="14" t="inlineStr">
        <is>
          <t>BAY - ID - GOH SOO ENG</t>
        </is>
      </c>
      <c r="J443" s="14" t="inlineStr">
        <is>
          <t>ID (named driver)</t>
        </is>
      </c>
      <c r="K443" s="14" t="inlineStr">
        <is>
          <t>91890879</t>
        </is>
      </c>
      <c r="L443" s="14" t="n">
        <v>1</v>
      </c>
      <c r="M443" s="14" t="inlineStr">
        <is>
          <t>LM</t>
        </is>
      </c>
      <c r="N443" s="14" t="inlineStr">
        <is>
          <t>Fake Fail</t>
        </is>
      </c>
      <c r="O443" s="14" t="inlineStr">
        <is>
          <t>Invalid location / site photo</t>
        </is>
      </c>
      <c r="P443" s="14" t="inlineStr">
        <is>
          <t>Yes</t>
        </is>
      </c>
      <c r="Q443" s="14" t="inlineStr">
        <is>
          <t>No</t>
        </is>
      </c>
      <c r="R443" s="14" t="inlineStr">
        <is>
          <t>driver attach fake pod and not attach correct location</t>
        </is>
      </c>
      <c r="S443" s="14" t="inlineStr">
        <is>
          <t>Zati</t>
        </is>
      </c>
      <c r="T443" s="14">
        <f>COUNTIF($B$2:$B$499,B443)</f>
        <v/>
      </c>
      <c r="U443" s="14">
        <f>COUNTIF($I$2:$I$499,I443)</f>
        <v/>
      </c>
      <c r="V443" s="14">
        <f>IF(ISNA(MATCH(B443,'Metabase Lookup'!$A:$A,0)),"Not found",IF(INDEX('Metabase Lookup'!$B:$B,MATCH(B443,'Metabase Lookup'!$A:$A,0))="","Pending",INDEX('Metabase Lookup'!$B:$B,MATCH(B443,'Metabase Lookup'!$A:$A,0))))</f>
        <v/>
      </c>
      <c r="W443" s="14">
        <f>IF(ISNA(MATCH(B443,'Metabase Lookup'!$A:$A,0)),"Not found",IF(INDEX('Metabase Lookup'!$C:$C,MATCH(B443,'Metabase Lookup'!$A:$A,0))="","Pending",INDEX('Metabase Lookup'!$C:$C,MATCH(B443,'Metabase Lookup'!$A:$A,0))))</f>
        <v/>
      </c>
      <c r="X443" s="14">
        <f>IF(ISNA(MATCH(B443,'Metabase Lookup'!$A:$A,0)),"",IF(INDEX('Metabase Lookup'!$D:$D,MATCH(B443,'Metabase Lookup'!$A:$A,0))="","",INDEX('Metabase Lookup'!$D:$D,MATCH(B443,'Metabase Lookup'!$A:$A,0))))</f>
        <v/>
      </c>
      <c r="Y443" s="14">
        <f>IF(ISNUMBER(W443),IF(W443&gt;0,"Yes","No"),"Pending")</f>
        <v/>
      </c>
      <c r="Z443" s="14" t="inlineStr"/>
    </row>
    <row r="444">
      <c r="A444" s="14" t="n">
        <v>443</v>
      </c>
      <c r="B444" s="14" t="inlineStr">
        <is>
          <t>NVMYCRGMABP3888094</t>
        </is>
      </c>
      <c r="C444" s="15" t="inlineStr">
        <is>
          <t>260712680172</t>
        </is>
      </c>
      <c r="D444" s="16" t="n">
        <v>46291.40251157407</v>
      </c>
      <c r="E444" s="17" t="n">
        <v>46291</v>
      </c>
      <c r="F444" s="14" t="inlineStr">
        <is>
          <t>Sat</t>
        </is>
      </c>
      <c r="G444" s="14" t="inlineStr">
        <is>
          <t>Southern</t>
        </is>
      </c>
      <c r="H444" s="14" t="inlineStr">
        <is>
          <t>KEM</t>
        </is>
      </c>
      <c r="I444" s="14" t="inlineStr">
        <is>
          <t>BHU - FM - Mohammad Fahmi</t>
        </is>
      </c>
      <c r="J444" s="14" t="inlineStr">
        <is>
          <t>FM (first-mile)</t>
        </is>
      </c>
      <c r="K444" s="14" t="inlineStr">
        <is>
          <t>91894655</t>
        </is>
      </c>
      <c r="L444" s="14" t="n">
        <v>1</v>
      </c>
      <c r="M444" s="14" t="inlineStr">
        <is>
          <t>LM</t>
        </is>
      </c>
      <c r="N444" s="14" t="inlineStr">
        <is>
          <t>Fake Fail</t>
        </is>
      </c>
      <c r="O444" s="14" t="inlineStr">
        <is>
          <t>No call / call log missing</t>
        </is>
      </c>
      <c r="P444" s="14" t="inlineStr">
        <is>
          <t>No</t>
        </is>
      </c>
      <c r="Q444" s="14" t="inlineStr">
        <is>
          <t>No</t>
        </is>
      </c>
      <c r="R444" s="14" t="inlineStr">
        <is>
          <t>no call upon failing no call log attached</t>
        </is>
      </c>
      <c r="S444" s="14" t="inlineStr">
        <is>
          <t>Aimenn Aiyad</t>
        </is>
      </c>
      <c r="T444" s="14">
        <f>COUNTIF($B$2:$B$499,B444)</f>
        <v/>
      </c>
      <c r="U444" s="14">
        <f>COUNTIF($I$2:$I$499,I444)</f>
        <v/>
      </c>
      <c r="V444" s="14">
        <f>IF(ISNA(MATCH(B444,'Metabase Lookup'!$A:$A,0)),"Not found",IF(INDEX('Metabase Lookup'!$B:$B,MATCH(B444,'Metabase Lookup'!$A:$A,0))="","Pending",INDEX('Metabase Lookup'!$B:$B,MATCH(B444,'Metabase Lookup'!$A:$A,0))))</f>
        <v/>
      </c>
      <c r="W444" s="14">
        <f>IF(ISNA(MATCH(B444,'Metabase Lookup'!$A:$A,0)),"Not found",IF(INDEX('Metabase Lookup'!$C:$C,MATCH(B444,'Metabase Lookup'!$A:$A,0))="","Pending",INDEX('Metabase Lookup'!$C:$C,MATCH(B444,'Metabase Lookup'!$A:$A,0))))</f>
        <v/>
      </c>
      <c r="X444" s="14">
        <f>IF(ISNA(MATCH(B444,'Metabase Lookup'!$A:$A,0)),"",IF(INDEX('Metabase Lookup'!$D:$D,MATCH(B444,'Metabase Lookup'!$A:$A,0))="","",INDEX('Metabase Lookup'!$D:$D,MATCH(B444,'Metabase Lookup'!$A:$A,0))))</f>
        <v/>
      </c>
      <c r="Y444" s="14">
        <f>IF(ISNUMBER(W444),IF(W444&gt;0,"Yes","No"),"Pending")</f>
        <v/>
      </c>
      <c r="Z444" s="14" t="inlineStr">
        <is>
          <t>TID logged more than once</t>
        </is>
      </c>
    </row>
    <row r="445">
      <c r="A445" s="14" t="n">
        <v>444</v>
      </c>
      <c r="B445" s="14" t="inlineStr">
        <is>
          <t>MYNJV70011815668</t>
        </is>
      </c>
      <c r="C445" s="15" t="inlineStr">
        <is>
          <t>267092695282</t>
        </is>
      </c>
      <c r="D445" s="16" t="n">
        <v>46291.42940972222</v>
      </c>
      <c r="E445" s="17" t="n">
        <v>46291</v>
      </c>
      <c r="F445" s="14" t="inlineStr">
        <is>
          <t>Sat</t>
        </is>
      </c>
      <c r="G445" s="14" t="inlineStr">
        <is>
          <t>Southern</t>
        </is>
      </c>
      <c r="H445" s="14" t="inlineStr">
        <is>
          <t>KEM</t>
        </is>
      </c>
      <c r="I445" s="14" t="inlineStr">
        <is>
          <t>OPS - KEM</t>
        </is>
      </c>
      <c r="J445" s="14" t="inlineStr">
        <is>
          <t>OPS (generic hub account)</t>
        </is>
      </c>
      <c r="K445" s="14" t="inlineStr">
        <is>
          <t>91883289</t>
        </is>
      </c>
      <c r="L445" s="14" t="n">
        <v>1</v>
      </c>
      <c r="M445" s="14" t="inlineStr">
        <is>
          <t>LM</t>
        </is>
      </c>
      <c r="N445" s="14" t="inlineStr">
        <is>
          <t>Fake Fail</t>
        </is>
      </c>
      <c r="O445" s="14" t="inlineStr">
        <is>
          <t>No call / call log missing</t>
        </is>
      </c>
      <c r="P445" s="14" t="inlineStr">
        <is>
          <t>No</t>
        </is>
      </c>
      <c r="Q445" s="14" t="inlineStr">
        <is>
          <t>Yes</t>
        </is>
      </c>
      <c r="R445" s="14" t="inlineStr">
        <is>
          <t>Failed by OPS with an invalid POD. No call log</t>
        </is>
      </c>
      <c r="S445" s="14" t="inlineStr">
        <is>
          <t>Aimenn Aiyad</t>
        </is>
      </c>
      <c r="T445" s="14">
        <f>COUNTIF($B$2:$B$499,B445)</f>
        <v/>
      </c>
      <c r="U445" s="14">
        <f>COUNTIF($I$2:$I$499,I445)</f>
        <v/>
      </c>
      <c r="V445" s="14">
        <f>IF(ISNA(MATCH(B445,'Metabase Lookup'!$A:$A,0)),"Not found",IF(INDEX('Metabase Lookup'!$B:$B,MATCH(B445,'Metabase Lookup'!$A:$A,0))="","Pending",INDEX('Metabase Lookup'!$B:$B,MATCH(B445,'Metabase Lookup'!$A:$A,0))))</f>
        <v/>
      </c>
      <c r="W445" s="14">
        <f>IF(ISNA(MATCH(B445,'Metabase Lookup'!$A:$A,0)),"Not found",IF(INDEX('Metabase Lookup'!$C:$C,MATCH(B445,'Metabase Lookup'!$A:$A,0))="","Pending",INDEX('Metabase Lookup'!$C:$C,MATCH(B445,'Metabase Lookup'!$A:$A,0))))</f>
        <v/>
      </c>
      <c r="X445" s="14">
        <f>IF(ISNA(MATCH(B445,'Metabase Lookup'!$A:$A,0)),"",IF(INDEX('Metabase Lookup'!$D:$D,MATCH(B445,'Metabase Lookup'!$A:$A,0))="","",INDEX('Metabase Lookup'!$D:$D,MATCH(B445,'Metabase Lookup'!$A:$A,0))))</f>
        <v/>
      </c>
      <c r="Y445" s="14">
        <f>IF(ISNUMBER(W445),IF(W445&gt;0,"Yes","No"),"Pending")</f>
        <v/>
      </c>
      <c r="Z445" s="14" t="inlineStr">
        <is>
          <t>Driver not identified (OPS account)</t>
        </is>
      </c>
    </row>
    <row r="446">
      <c r="A446" s="14" t="n">
        <v>445</v>
      </c>
      <c r="B446" s="14" t="inlineStr">
        <is>
          <t>MYNJV70024105848</t>
        </is>
      </c>
      <c r="C446" s="15" t="inlineStr">
        <is>
          <t>263422666945</t>
        </is>
      </c>
      <c r="D446" s="16" t="n">
        <v>46291.43030092592</v>
      </c>
      <c r="E446" s="17" t="n">
        <v>46291</v>
      </c>
      <c r="F446" s="14" t="inlineStr">
        <is>
          <t>Sat</t>
        </is>
      </c>
      <c r="G446" s="14" t="inlineStr">
        <is>
          <t>KV</t>
        </is>
      </c>
      <c r="H446" s="14" t="inlineStr">
        <is>
          <t>BTK</t>
        </is>
      </c>
      <c r="I446" s="14" t="inlineStr">
        <is>
          <t>BTK - ID - ZAYANI</t>
        </is>
      </c>
      <c r="J446" s="14" t="inlineStr">
        <is>
          <t>ID (named driver)</t>
        </is>
      </c>
      <c r="K446" s="14" t="inlineStr">
        <is>
          <t>91864441</t>
        </is>
      </c>
      <c r="L446" s="14" t="n">
        <v>1</v>
      </c>
      <c r="M446" s="14" t="inlineStr">
        <is>
          <t>LM</t>
        </is>
      </c>
      <c r="N446" s="14" t="inlineStr">
        <is>
          <t>Deliver to Wrong Address</t>
        </is>
      </c>
      <c r="O446" s="14" t="inlineStr"/>
      <c r="P446" s="14" t="inlineStr"/>
      <c r="Q446" s="14" t="inlineStr"/>
      <c r="R446" s="14" t="inlineStr">
        <is>
          <t>completed 2026-09-22 but delivered to the wrong house. Customer collected the parcel itself on the same day make a complaint</t>
        </is>
      </c>
      <c r="S446" s="14" t="inlineStr">
        <is>
          <t>Syaza</t>
        </is>
      </c>
      <c r="T446" s="14">
        <f>COUNTIF($B$2:$B$499,B446)</f>
        <v/>
      </c>
      <c r="U446" s="14">
        <f>COUNTIF($I$2:$I$499,I446)</f>
        <v/>
      </c>
      <c r="V446" s="14">
        <f>IF(ISNA(MATCH(B446,'Metabase Lookup'!$A:$A,0)),"Not found",IF(INDEX('Metabase Lookup'!$B:$B,MATCH(B446,'Metabase Lookup'!$A:$A,0))="","Pending",INDEX('Metabase Lookup'!$B:$B,MATCH(B446,'Metabase Lookup'!$A:$A,0))))</f>
        <v/>
      </c>
      <c r="W446" s="14">
        <f>IF(ISNA(MATCH(B446,'Metabase Lookup'!$A:$A,0)),"Not found",IF(INDEX('Metabase Lookup'!$C:$C,MATCH(B446,'Metabase Lookup'!$A:$A,0))="","Pending",INDEX('Metabase Lookup'!$C:$C,MATCH(B446,'Metabase Lookup'!$A:$A,0))))</f>
        <v/>
      </c>
      <c r="X446" s="14">
        <f>IF(ISNA(MATCH(B446,'Metabase Lookup'!$A:$A,0)),"",IF(INDEX('Metabase Lookup'!$D:$D,MATCH(B446,'Metabase Lookup'!$A:$A,0))="","",INDEX('Metabase Lookup'!$D:$D,MATCH(B446,'Metabase Lookup'!$A:$A,0))))</f>
        <v/>
      </c>
      <c r="Y446" s="14">
        <f>IF(ISNUMBER(W446),IF(W446&gt;0,"Yes","No"),"Pending")</f>
        <v/>
      </c>
      <c r="Z446" s="14" t="inlineStr"/>
    </row>
    <row r="447">
      <c r="A447" s="14" t="n">
        <v>446</v>
      </c>
      <c r="B447" s="14" t="inlineStr">
        <is>
          <t>NVMYAFAAG093340266</t>
        </is>
      </c>
      <c r="C447" s="15" t="inlineStr">
        <is>
          <t>267092695282</t>
        </is>
      </c>
      <c r="D447" s="16" t="n">
        <v>46291.43898148148</v>
      </c>
      <c r="E447" s="17" t="n">
        <v>46291</v>
      </c>
      <c r="F447" s="14" t="inlineStr">
        <is>
          <t>Sat</t>
        </is>
      </c>
      <c r="G447" s="14" t="inlineStr">
        <is>
          <t>KV</t>
        </is>
      </c>
      <c r="H447" s="14" t="inlineStr">
        <is>
          <t>KSR</t>
        </is>
      </c>
      <c r="I447" s="14" t="inlineStr">
        <is>
          <t>KSR - ID - HASYIM RAJASSAMAN</t>
        </is>
      </c>
      <c r="J447" s="14" t="inlineStr">
        <is>
          <t>ID (named driver)</t>
        </is>
      </c>
      <c r="K447" s="14" t="inlineStr">
        <is>
          <t>91891177</t>
        </is>
      </c>
      <c r="L447" s="14" t="n">
        <v>1</v>
      </c>
      <c r="M447" s="14" t="inlineStr">
        <is>
          <t>LM</t>
        </is>
      </c>
      <c r="N447" s="14" t="inlineStr">
        <is>
          <t>Fake Fail</t>
        </is>
      </c>
      <c r="O447" s="14" t="inlineStr">
        <is>
          <t>Invalid call log (unspecified)</t>
        </is>
      </c>
      <c r="P447" s="14" t="inlineStr">
        <is>
          <t>No</t>
        </is>
      </c>
      <c r="Q447" s="14" t="inlineStr">
        <is>
          <t>No</t>
        </is>
      </c>
      <c r="R447" s="14" t="inlineStr">
        <is>
          <t>driver provide invalid call log for failed delivery attempt</t>
        </is>
      </c>
      <c r="S447" s="14" t="inlineStr">
        <is>
          <t>Aimenn Aiyad</t>
        </is>
      </c>
      <c r="T447" s="14">
        <f>COUNTIF($B$2:$B$499,B447)</f>
        <v/>
      </c>
      <c r="U447" s="14">
        <f>COUNTIF($I$2:$I$499,I447)</f>
        <v/>
      </c>
      <c r="V447" s="14">
        <f>IF(ISNA(MATCH(B447,'Metabase Lookup'!$A:$A,0)),"Not found",IF(INDEX('Metabase Lookup'!$B:$B,MATCH(B447,'Metabase Lookup'!$A:$A,0))="","Pending",INDEX('Metabase Lookup'!$B:$B,MATCH(B447,'Metabase Lookup'!$A:$A,0))))</f>
        <v/>
      </c>
      <c r="W447" s="14">
        <f>IF(ISNA(MATCH(B447,'Metabase Lookup'!$A:$A,0)),"Not found",IF(INDEX('Metabase Lookup'!$C:$C,MATCH(B447,'Metabase Lookup'!$A:$A,0))="","Pending",INDEX('Metabase Lookup'!$C:$C,MATCH(B447,'Metabase Lookup'!$A:$A,0))))</f>
        <v/>
      </c>
      <c r="X447" s="14">
        <f>IF(ISNA(MATCH(B447,'Metabase Lookup'!$A:$A,0)),"",IF(INDEX('Metabase Lookup'!$D:$D,MATCH(B447,'Metabase Lookup'!$A:$A,0))="","",INDEX('Metabase Lookup'!$D:$D,MATCH(B447,'Metabase Lookup'!$A:$A,0))))</f>
        <v/>
      </c>
      <c r="Y447" s="14">
        <f>IF(ISNUMBER(W447),IF(W447&gt;0,"Yes","No"),"Pending")</f>
        <v/>
      </c>
      <c r="Z447" s="14" t="inlineStr"/>
    </row>
    <row r="448">
      <c r="A448" s="14" t="n">
        <v>447</v>
      </c>
      <c r="B448" s="14" t="inlineStr">
        <is>
          <t>NVMYVTERA0FB714726</t>
        </is>
      </c>
      <c r="C448" s="15" t="inlineStr">
        <is>
          <t>269562694530</t>
        </is>
      </c>
      <c r="D448" s="16" t="n">
        <v>46291.44912037037</v>
      </c>
      <c r="E448" s="17" t="n">
        <v>46291</v>
      </c>
      <c r="F448" s="14" t="inlineStr">
        <is>
          <t>Sat</t>
        </is>
      </c>
      <c r="G448" s="14" t="inlineStr">
        <is>
          <t>KV</t>
        </is>
      </c>
      <c r="H448" s="14" t="inlineStr">
        <is>
          <t>OUG</t>
        </is>
      </c>
      <c r="I448" s="14" t="inlineStr">
        <is>
          <t>OPS - OUG</t>
        </is>
      </c>
      <c r="J448" s="14" t="inlineStr">
        <is>
          <t>OPS (generic hub account)</t>
        </is>
      </c>
      <c r="K448" s="14" t="inlineStr">
        <is>
          <t>91894883</t>
        </is>
      </c>
      <c r="L448" s="14" t="n">
        <v>1</v>
      </c>
      <c r="M448" s="14" t="inlineStr">
        <is>
          <t>LM</t>
        </is>
      </c>
      <c r="N448" s="14" t="inlineStr">
        <is>
          <t>Fake Fail</t>
        </is>
      </c>
      <c r="O448" s="14" t="inlineStr">
        <is>
          <t>Invalid call log (unspecified)</t>
        </is>
      </c>
      <c r="P448" s="14" t="inlineStr">
        <is>
          <t>No</t>
        </is>
      </c>
      <c r="Q448" s="14" t="inlineStr">
        <is>
          <t>Yes</t>
        </is>
      </c>
      <c r="R448" s="14" t="inlineStr">
        <is>
          <t>failed by OPS, invalid Call log attached</t>
        </is>
      </c>
      <c r="S448" s="14" t="inlineStr">
        <is>
          <t>Aimenn Aiyad</t>
        </is>
      </c>
      <c r="T448" s="14">
        <f>COUNTIF($B$2:$B$499,B448)</f>
        <v/>
      </c>
      <c r="U448" s="14">
        <f>COUNTIF($I$2:$I$499,I448)</f>
        <v/>
      </c>
      <c r="V448" s="14">
        <f>IF(ISNA(MATCH(B448,'Metabase Lookup'!$A:$A,0)),"Not found",IF(INDEX('Metabase Lookup'!$B:$B,MATCH(B448,'Metabase Lookup'!$A:$A,0))="","Pending",INDEX('Metabase Lookup'!$B:$B,MATCH(B448,'Metabase Lookup'!$A:$A,0))))</f>
        <v/>
      </c>
      <c r="W448" s="14">
        <f>IF(ISNA(MATCH(B448,'Metabase Lookup'!$A:$A,0)),"Not found",IF(INDEX('Metabase Lookup'!$C:$C,MATCH(B448,'Metabase Lookup'!$A:$A,0))="","Pending",INDEX('Metabase Lookup'!$C:$C,MATCH(B448,'Metabase Lookup'!$A:$A,0))))</f>
        <v/>
      </c>
      <c r="X448" s="14">
        <f>IF(ISNA(MATCH(B448,'Metabase Lookup'!$A:$A,0)),"",IF(INDEX('Metabase Lookup'!$D:$D,MATCH(B448,'Metabase Lookup'!$A:$A,0))="","",INDEX('Metabase Lookup'!$D:$D,MATCH(B448,'Metabase Lookup'!$A:$A,0))))</f>
        <v/>
      </c>
      <c r="Y448" s="14">
        <f>IF(ISNUMBER(W448),IF(W448&gt;0,"Yes","No"),"Pending")</f>
        <v/>
      </c>
      <c r="Z448" s="14" t="inlineStr">
        <is>
          <t>Driver not identified (OPS account)</t>
        </is>
      </c>
    </row>
    <row r="449">
      <c r="A449" s="14" t="n">
        <v>448</v>
      </c>
      <c r="B449" s="14" t="inlineStr">
        <is>
          <t>MUJIM0000092080419</t>
        </is>
      </c>
      <c r="C449" s="15" t="inlineStr">
        <is>
          <t>269622697614</t>
        </is>
      </c>
      <c r="D449" s="16" t="n">
        <v>46291.45245370371</v>
      </c>
      <c r="E449" s="17" t="n">
        <v>46291</v>
      </c>
      <c r="F449" s="14" t="inlineStr">
        <is>
          <t>Sat</t>
        </is>
      </c>
      <c r="G449" s="14" t="inlineStr">
        <is>
          <t>Northern</t>
        </is>
      </c>
      <c r="H449" s="14" t="inlineStr">
        <is>
          <t>SPT</t>
        </is>
      </c>
      <c r="I449" s="14" t="inlineStr">
        <is>
          <t>SPT - ID - MOHD HALIMI</t>
        </is>
      </c>
      <c r="J449" s="14" t="inlineStr">
        <is>
          <t>ID (named driver)</t>
        </is>
      </c>
      <c r="K449" s="14" t="inlineStr">
        <is>
          <t>91890717</t>
        </is>
      </c>
      <c r="L449" s="14" t="n">
        <v>1</v>
      </c>
      <c r="M449" s="14" t="inlineStr">
        <is>
          <t>LM</t>
        </is>
      </c>
      <c r="N449" s="14" t="inlineStr">
        <is>
          <t>Fake Fail</t>
        </is>
      </c>
      <c r="O449" s="14" t="inlineStr">
        <is>
          <t>Invalid location / site photo</t>
        </is>
      </c>
      <c r="P449" s="14" t="inlineStr">
        <is>
          <t>Yes</t>
        </is>
      </c>
      <c r="Q449" s="14" t="inlineStr">
        <is>
          <t>No</t>
        </is>
      </c>
      <c r="R449" s="14" t="inlineStr">
        <is>
          <t>driver went to the wrong location invalid POD for failed reason</t>
        </is>
      </c>
      <c r="S449" s="14" t="inlineStr">
        <is>
          <t>Aimenn Aiyad</t>
        </is>
      </c>
      <c r="T449" s="14">
        <f>COUNTIF($B$2:$B$499,B449)</f>
        <v/>
      </c>
      <c r="U449" s="14">
        <f>COUNTIF($I$2:$I$499,I449)</f>
        <v/>
      </c>
      <c r="V449" s="14">
        <f>IF(ISNA(MATCH(B449,'Metabase Lookup'!$A:$A,0)),"Not found",IF(INDEX('Metabase Lookup'!$B:$B,MATCH(B449,'Metabase Lookup'!$A:$A,0))="","Pending",INDEX('Metabase Lookup'!$B:$B,MATCH(B449,'Metabase Lookup'!$A:$A,0))))</f>
        <v/>
      </c>
      <c r="W449" s="14">
        <f>IF(ISNA(MATCH(B449,'Metabase Lookup'!$A:$A,0)),"Not found",IF(INDEX('Metabase Lookup'!$C:$C,MATCH(B449,'Metabase Lookup'!$A:$A,0))="","Pending",INDEX('Metabase Lookup'!$C:$C,MATCH(B449,'Metabase Lookup'!$A:$A,0))))</f>
        <v/>
      </c>
      <c r="X449" s="14">
        <f>IF(ISNA(MATCH(B449,'Metabase Lookup'!$A:$A,0)),"",IF(INDEX('Metabase Lookup'!$D:$D,MATCH(B449,'Metabase Lookup'!$A:$A,0))="","",INDEX('Metabase Lookup'!$D:$D,MATCH(B449,'Metabase Lookup'!$A:$A,0))))</f>
        <v/>
      </c>
      <c r="Y449" s="14">
        <f>IF(ISNUMBER(W449),IF(W449&gt;0,"Yes","No"),"Pending")</f>
        <v/>
      </c>
      <c r="Z449" s="14" t="inlineStr"/>
    </row>
    <row r="450">
      <c r="A450" s="14" t="n">
        <v>449</v>
      </c>
      <c r="B450" s="14" t="inlineStr">
        <is>
          <t>AMNV005968012</t>
        </is>
      </c>
      <c r="C450" s="15" t="inlineStr">
        <is>
          <t>262092696869</t>
        </is>
      </c>
      <c r="D450" s="16" t="n">
        <v>46291.45550925926</v>
      </c>
      <c r="E450" s="17" t="n">
        <v>46291</v>
      </c>
      <c r="F450" s="14" t="inlineStr">
        <is>
          <t>Sat</t>
        </is>
      </c>
      <c r="G450" s="14" t="inlineStr">
        <is>
          <t>KV</t>
        </is>
      </c>
      <c r="H450" s="14" t="inlineStr">
        <is>
          <t>BTR</t>
        </is>
      </c>
      <c r="I450" s="14" t="inlineStr">
        <is>
          <t>OPS - BTR</t>
        </is>
      </c>
      <c r="J450" s="14" t="inlineStr">
        <is>
          <t>OPS (generic hub account)</t>
        </is>
      </c>
      <c r="K450" s="14" t="inlineStr">
        <is>
          <t>91889299</t>
        </is>
      </c>
      <c r="L450" s="14" t="n">
        <v>1</v>
      </c>
      <c r="M450" s="14" t="inlineStr">
        <is>
          <t>LM</t>
        </is>
      </c>
      <c r="N450" s="14" t="inlineStr">
        <is>
          <t>Fake Fail</t>
        </is>
      </c>
      <c r="O450" s="14" t="inlineStr">
        <is>
          <t>No call / call log missing</t>
        </is>
      </c>
      <c r="P450" s="14" t="inlineStr">
        <is>
          <t>No</t>
        </is>
      </c>
      <c r="Q450" s="14" t="inlineStr">
        <is>
          <t>Yes</t>
        </is>
      </c>
      <c r="R450" s="14" t="inlineStr">
        <is>
          <t>failed by OPS, invalid POD no call log</t>
        </is>
      </c>
      <c r="S450" s="14" t="inlineStr">
        <is>
          <t>Aimenn Aiyad</t>
        </is>
      </c>
      <c r="T450" s="14">
        <f>COUNTIF($B$2:$B$499,B450)</f>
        <v/>
      </c>
      <c r="U450" s="14">
        <f>COUNTIF($I$2:$I$499,I450)</f>
        <v/>
      </c>
      <c r="V450" s="14">
        <f>IF(ISNA(MATCH(B450,'Metabase Lookup'!$A:$A,0)),"Not found",IF(INDEX('Metabase Lookup'!$B:$B,MATCH(B450,'Metabase Lookup'!$A:$A,0))="","Pending",INDEX('Metabase Lookup'!$B:$B,MATCH(B450,'Metabase Lookup'!$A:$A,0))))</f>
        <v/>
      </c>
      <c r="W450" s="14">
        <f>IF(ISNA(MATCH(B450,'Metabase Lookup'!$A:$A,0)),"Not found",IF(INDEX('Metabase Lookup'!$C:$C,MATCH(B450,'Metabase Lookup'!$A:$A,0))="","Pending",INDEX('Metabase Lookup'!$C:$C,MATCH(B450,'Metabase Lookup'!$A:$A,0))))</f>
        <v/>
      </c>
      <c r="X450" s="14">
        <f>IF(ISNA(MATCH(B450,'Metabase Lookup'!$A:$A,0)),"",IF(INDEX('Metabase Lookup'!$D:$D,MATCH(B450,'Metabase Lookup'!$A:$A,0))="","",INDEX('Metabase Lookup'!$D:$D,MATCH(B450,'Metabase Lookup'!$A:$A,0))))</f>
        <v/>
      </c>
      <c r="Y450" s="14">
        <f>IF(ISNUMBER(W450),IF(W450&gt;0,"Yes","No"),"Pending")</f>
        <v/>
      </c>
      <c r="Z450" s="14" t="inlineStr">
        <is>
          <t>Driver not identified (OPS account)</t>
        </is>
      </c>
    </row>
    <row r="451">
      <c r="A451" s="14" t="n">
        <v>450</v>
      </c>
      <c r="B451" s="14" t="inlineStr">
        <is>
          <t>KPSLT1552534938003660800</t>
        </is>
      </c>
      <c r="C451" s="15" t="inlineStr">
        <is>
          <t>262522696026</t>
        </is>
      </c>
      <c r="D451" s="16" t="n">
        <v>46291.45677083333</v>
      </c>
      <c r="E451" s="17" t="n">
        <v>46291</v>
      </c>
      <c r="F451" s="14" t="inlineStr">
        <is>
          <t>Sat</t>
        </is>
      </c>
      <c r="G451" s="14" t="inlineStr">
        <is>
          <t>South West</t>
        </is>
      </c>
      <c r="H451" s="14" t="inlineStr">
        <is>
          <t>SBN</t>
        </is>
      </c>
      <c r="I451" s="14" t="inlineStr">
        <is>
          <t>Putera IRFAN - OPS - SBN</t>
        </is>
      </c>
      <c r="J451" s="14" t="inlineStr">
        <is>
          <t>OPS (generic hub account)</t>
        </is>
      </c>
      <c r="K451" s="14" t="inlineStr">
        <is>
          <t>91893908</t>
        </is>
      </c>
      <c r="L451" s="14" t="n">
        <v>1</v>
      </c>
      <c r="M451" s="14" t="inlineStr">
        <is>
          <t>LM</t>
        </is>
      </c>
      <c r="N451" s="14" t="inlineStr">
        <is>
          <t>Fake Fail</t>
        </is>
      </c>
      <c r="O451" s="14" t="inlineStr">
        <is>
          <t>Invalid POD (no detail)</t>
        </is>
      </c>
      <c r="P451" s="14" t="inlineStr">
        <is>
          <t>No</t>
        </is>
      </c>
      <c r="Q451" s="14" t="inlineStr">
        <is>
          <t>No</t>
        </is>
      </c>
      <c r="R451" s="14" t="inlineStr">
        <is>
          <t>Invalid POD and wrong failed delivery reason</t>
        </is>
      </c>
      <c r="S451" s="14" t="inlineStr">
        <is>
          <t>Aimenn Aiyad</t>
        </is>
      </c>
      <c r="T451" s="14">
        <f>COUNTIF($B$2:$B$499,B451)</f>
        <v/>
      </c>
      <c r="U451" s="14">
        <f>COUNTIF($I$2:$I$499,I451)</f>
        <v/>
      </c>
      <c r="V451" s="14">
        <f>IF(ISNA(MATCH(B451,'Metabase Lookup'!$A:$A,0)),"Not found",IF(INDEX('Metabase Lookup'!$B:$B,MATCH(B451,'Metabase Lookup'!$A:$A,0))="","Pending",INDEX('Metabase Lookup'!$B:$B,MATCH(B451,'Metabase Lookup'!$A:$A,0))))</f>
        <v/>
      </c>
      <c r="W451" s="14">
        <f>IF(ISNA(MATCH(B451,'Metabase Lookup'!$A:$A,0)),"Not found",IF(INDEX('Metabase Lookup'!$C:$C,MATCH(B451,'Metabase Lookup'!$A:$A,0))="","Pending",INDEX('Metabase Lookup'!$C:$C,MATCH(B451,'Metabase Lookup'!$A:$A,0))))</f>
        <v/>
      </c>
      <c r="X451" s="14">
        <f>IF(ISNA(MATCH(B451,'Metabase Lookup'!$A:$A,0)),"",IF(INDEX('Metabase Lookup'!$D:$D,MATCH(B451,'Metabase Lookup'!$A:$A,0))="","",INDEX('Metabase Lookup'!$D:$D,MATCH(B451,'Metabase Lookup'!$A:$A,0))))</f>
        <v/>
      </c>
      <c r="Y451" s="14">
        <f>IF(ISNUMBER(W451),IF(W451&gt;0,"Yes","No"),"Pending")</f>
        <v/>
      </c>
      <c r="Z451" s="14" t="inlineStr">
        <is>
          <t>Driver not identified (OPS account)</t>
        </is>
      </c>
    </row>
    <row r="452">
      <c r="A452" s="14" t="n">
        <v>451</v>
      </c>
      <c r="B452" s="14" t="inlineStr">
        <is>
          <t>NVMYINISF03196313A</t>
        </is>
      </c>
      <c r="C452" s="15" t="inlineStr">
        <is>
          <t>264882696406</t>
        </is>
      </c>
      <c r="D452" s="16" t="n">
        <v>46291.45792824074</v>
      </c>
      <c r="E452" s="17" t="n">
        <v>46291</v>
      </c>
      <c r="F452" s="14" t="inlineStr">
        <is>
          <t>Sat</t>
        </is>
      </c>
      <c r="G452" s="14" t="inlineStr">
        <is>
          <t>KV</t>
        </is>
      </c>
      <c r="H452" s="14" t="inlineStr">
        <is>
          <t>PJY</t>
        </is>
      </c>
      <c r="I452" s="14" t="inlineStr">
        <is>
          <t>OPS - PJY</t>
        </is>
      </c>
      <c r="J452" s="14" t="inlineStr">
        <is>
          <t>OPS (generic hub account)</t>
        </is>
      </c>
      <c r="K452" s="14" t="inlineStr">
        <is>
          <t>91895026</t>
        </is>
      </c>
      <c r="L452" s="14" t="n">
        <v>1</v>
      </c>
      <c r="M452" s="14" t="inlineStr">
        <is>
          <t>LM</t>
        </is>
      </c>
      <c r="N452" s="14" t="inlineStr">
        <is>
          <t>Fake Fail</t>
        </is>
      </c>
      <c r="O452" s="14" t="inlineStr">
        <is>
          <t>No call / call log missing</t>
        </is>
      </c>
      <c r="P452" s="14" t="inlineStr">
        <is>
          <t>No</t>
        </is>
      </c>
      <c r="Q452" s="14" t="inlineStr">
        <is>
          <t>Yes</t>
        </is>
      </c>
      <c r="R452" s="14" t="inlineStr">
        <is>
          <t>Failed by OPS with an invalid POD. no call log</t>
        </is>
      </c>
      <c r="S452" s="14" t="inlineStr">
        <is>
          <t>Aimenn Aiyad</t>
        </is>
      </c>
      <c r="T452" s="14">
        <f>COUNTIF($B$2:$B$499,B452)</f>
        <v/>
      </c>
      <c r="U452" s="14">
        <f>COUNTIF($I$2:$I$499,I452)</f>
        <v/>
      </c>
      <c r="V452" s="14">
        <f>IF(ISNA(MATCH(B452,'Metabase Lookup'!$A:$A,0)),"Not found",IF(INDEX('Metabase Lookup'!$B:$B,MATCH(B452,'Metabase Lookup'!$A:$A,0))="","Pending",INDEX('Metabase Lookup'!$B:$B,MATCH(B452,'Metabase Lookup'!$A:$A,0))))</f>
        <v/>
      </c>
      <c r="W452" s="14">
        <f>IF(ISNA(MATCH(B452,'Metabase Lookup'!$A:$A,0)),"Not found",IF(INDEX('Metabase Lookup'!$C:$C,MATCH(B452,'Metabase Lookup'!$A:$A,0))="","Pending",INDEX('Metabase Lookup'!$C:$C,MATCH(B452,'Metabase Lookup'!$A:$A,0))))</f>
        <v/>
      </c>
      <c r="X452" s="14">
        <f>IF(ISNA(MATCH(B452,'Metabase Lookup'!$A:$A,0)),"",IF(INDEX('Metabase Lookup'!$D:$D,MATCH(B452,'Metabase Lookup'!$A:$A,0))="","",INDEX('Metabase Lookup'!$D:$D,MATCH(B452,'Metabase Lookup'!$A:$A,0))))</f>
        <v/>
      </c>
      <c r="Y452" s="14">
        <f>IF(ISNUMBER(W452),IF(W452&gt;0,"Yes","No"),"Pending")</f>
        <v/>
      </c>
      <c r="Z452" s="14" t="inlineStr">
        <is>
          <t>Driver not identified (OPS account)</t>
        </is>
      </c>
    </row>
    <row r="453">
      <c r="A453" s="14" t="n">
        <v>452</v>
      </c>
      <c r="B453" s="14" t="inlineStr">
        <is>
          <t>NVMYDA1LY000003664</t>
        </is>
      </c>
      <c r="C453" s="15" t="inlineStr">
        <is>
          <t>266072677187</t>
        </is>
      </c>
      <c r="D453" s="16" t="n">
        <v>46291.46303240741</v>
      </c>
      <c r="E453" s="17" t="n">
        <v>46291</v>
      </c>
      <c r="F453" s="14" t="inlineStr">
        <is>
          <t>Sat</t>
        </is>
      </c>
      <c r="G453" s="14" t="inlineStr">
        <is>
          <t>South West</t>
        </is>
      </c>
      <c r="H453" s="14" t="inlineStr">
        <is>
          <t>NIL</t>
        </is>
      </c>
      <c r="I453" s="14" t="inlineStr">
        <is>
          <t>NIL - ID - IZHAM</t>
        </is>
      </c>
      <c r="J453" s="14" t="inlineStr">
        <is>
          <t>ID (named driver)</t>
        </is>
      </c>
      <c r="K453" s="14" t="inlineStr">
        <is>
          <t>91873529</t>
        </is>
      </c>
      <c r="L453" s="14" t="n">
        <v>1</v>
      </c>
      <c r="M453" s="14" t="inlineStr">
        <is>
          <t>LM</t>
        </is>
      </c>
      <c r="N453" s="14" t="inlineStr">
        <is>
          <t>Fake Success</t>
        </is>
      </c>
      <c r="O453" s="14" t="inlineStr"/>
      <c r="P453" s="14" t="inlineStr"/>
      <c r="Q453" s="14" t="inlineStr"/>
      <c r="R453" s="14" t="inlineStr">
        <is>
          <t>Competed 2026-09-23 but cust not received (pod invalid, no call log/ws). Cust received after complaint lodge</t>
        </is>
      </c>
      <c r="S453" s="14" t="inlineStr">
        <is>
          <t>Syaza</t>
        </is>
      </c>
      <c r="T453" s="14">
        <f>COUNTIF($B$2:$B$499,B453)</f>
        <v/>
      </c>
      <c r="U453" s="14">
        <f>COUNTIF($I$2:$I$499,I453)</f>
        <v/>
      </c>
      <c r="V453" s="14">
        <f>IF(ISNA(MATCH(B453,'Metabase Lookup'!$A:$A,0)),"Not found",IF(INDEX('Metabase Lookup'!$B:$B,MATCH(B453,'Metabase Lookup'!$A:$A,0))="","Pending",INDEX('Metabase Lookup'!$B:$B,MATCH(B453,'Metabase Lookup'!$A:$A,0))))</f>
        <v/>
      </c>
      <c r="W453" s="14">
        <f>IF(ISNA(MATCH(B453,'Metabase Lookup'!$A:$A,0)),"Not found",IF(INDEX('Metabase Lookup'!$C:$C,MATCH(B453,'Metabase Lookup'!$A:$A,0))="","Pending",INDEX('Metabase Lookup'!$C:$C,MATCH(B453,'Metabase Lookup'!$A:$A,0))))</f>
        <v/>
      </c>
      <c r="X453" s="14">
        <f>IF(ISNA(MATCH(B453,'Metabase Lookup'!$A:$A,0)),"",IF(INDEX('Metabase Lookup'!$D:$D,MATCH(B453,'Metabase Lookup'!$A:$A,0))="","",INDEX('Metabase Lookup'!$D:$D,MATCH(B453,'Metabase Lookup'!$A:$A,0))))</f>
        <v/>
      </c>
      <c r="Y453" s="14">
        <f>IF(ISNUMBER(W453),IF(W453&gt;0,"Yes","No"),"Pending")</f>
        <v/>
      </c>
      <c r="Z453" s="14" t="inlineStr"/>
    </row>
    <row r="454">
      <c r="A454" s="14" t="n">
        <v>453</v>
      </c>
      <c r="B454" s="14" t="inlineStr">
        <is>
          <t>NVMYADI00000420606</t>
        </is>
      </c>
      <c r="C454" s="15" t="inlineStr">
        <is>
          <t>261902676673</t>
        </is>
      </c>
      <c r="D454" s="16" t="n">
        <v>46291.47034722222</v>
      </c>
      <c r="E454" s="17" t="n">
        <v>46291</v>
      </c>
      <c r="F454" s="14" t="inlineStr">
        <is>
          <t>Sat</t>
        </is>
      </c>
      <c r="G454" s="14" t="inlineStr">
        <is>
          <t>KV</t>
        </is>
      </c>
      <c r="H454" s="14" t="inlineStr">
        <is>
          <t>BGR</t>
        </is>
      </c>
      <c r="I454" s="14" t="inlineStr">
        <is>
          <t>BGR - ID - FAIZZ</t>
        </is>
      </c>
      <c r="J454" s="14" t="inlineStr">
        <is>
          <t>ID (named driver)</t>
        </is>
      </c>
      <c r="K454" s="14" t="inlineStr">
        <is>
          <t>91810635</t>
        </is>
      </c>
      <c r="L454" s="14" t="n">
        <v>1</v>
      </c>
      <c r="M454" s="14" t="inlineStr">
        <is>
          <t>LM</t>
        </is>
      </c>
      <c r="N454" s="14" t="inlineStr">
        <is>
          <t>Fake Success</t>
        </is>
      </c>
      <c r="O454" s="14" t="inlineStr"/>
      <c r="P454" s="14" t="inlineStr"/>
      <c r="Q454" s="14" t="inlineStr"/>
      <c r="R454" s="14" t="inlineStr">
        <is>
          <t>Completed 2026-09-15 but cust unable to found the parcel. Pod invalid (no call log/ws)</t>
        </is>
      </c>
      <c r="S454" s="14" t="inlineStr">
        <is>
          <t>Syaza</t>
        </is>
      </c>
      <c r="T454" s="14">
        <f>COUNTIF($B$2:$B$499,B454)</f>
        <v/>
      </c>
      <c r="U454" s="14">
        <f>COUNTIF($I$2:$I$499,I454)</f>
        <v/>
      </c>
      <c r="V454" s="14">
        <f>IF(ISNA(MATCH(B454,'Metabase Lookup'!$A:$A,0)),"Not found",IF(INDEX('Metabase Lookup'!$B:$B,MATCH(B454,'Metabase Lookup'!$A:$A,0))="","Pending",INDEX('Metabase Lookup'!$B:$B,MATCH(B454,'Metabase Lookup'!$A:$A,0))))</f>
        <v/>
      </c>
      <c r="W454" s="14">
        <f>IF(ISNA(MATCH(B454,'Metabase Lookup'!$A:$A,0)),"Not found",IF(INDEX('Metabase Lookup'!$C:$C,MATCH(B454,'Metabase Lookup'!$A:$A,0))="","Pending",INDEX('Metabase Lookup'!$C:$C,MATCH(B454,'Metabase Lookup'!$A:$A,0))))</f>
        <v/>
      </c>
      <c r="X454" s="14">
        <f>IF(ISNA(MATCH(B454,'Metabase Lookup'!$A:$A,0)),"",IF(INDEX('Metabase Lookup'!$D:$D,MATCH(B454,'Metabase Lookup'!$A:$A,0))="","",INDEX('Metabase Lookup'!$D:$D,MATCH(B454,'Metabase Lookup'!$A:$A,0))))</f>
        <v/>
      </c>
      <c r="Y454" s="14">
        <f>IF(ISNUMBER(W454),IF(W454&gt;0,"Yes","No"),"Pending")</f>
        <v/>
      </c>
      <c r="Z454" s="14" t="inlineStr"/>
    </row>
    <row r="455">
      <c r="A455" s="14" t="n">
        <v>454</v>
      </c>
      <c r="B455" s="14" t="inlineStr">
        <is>
          <t>NVMYPKGRO000003887</t>
        </is>
      </c>
      <c r="C455" s="15" t="inlineStr">
        <is>
          <t>266562690419</t>
        </is>
      </c>
      <c r="D455" s="16" t="n">
        <v>46291.48131944444</v>
      </c>
      <c r="E455" s="17" t="n">
        <v>46291</v>
      </c>
      <c r="F455" s="14" t="inlineStr">
        <is>
          <t>Sat</t>
        </is>
      </c>
      <c r="G455" s="14" t="inlineStr">
        <is>
          <t>Northern</t>
        </is>
      </c>
      <c r="H455" s="14" t="inlineStr">
        <is>
          <t>KLM</t>
        </is>
      </c>
      <c r="I455" s="14" t="inlineStr">
        <is>
          <t>KLM - ID - MUHAMMAD FIRDAUS</t>
        </is>
      </c>
      <c r="J455" s="14" t="inlineStr">
        <is>
          <t>ID (named driver)</t>
        </is>
      </c>
      <c r="K455" s="14" t="inlineStr">
        <is>
          <t>91883809</t>
        </is>
      </c>
      <c r="L455" s="14" t="n">
        <v>1</v>
      </c>
      <c r="M455" s="14" t="inlineStr">
        <is>
          <t>LM</t>
        </is>
      </c>
      <c r="N455" s="14" t="inlineStr">
        <is>
          <t>Fake Fail</t>
        </is>
      </c>
      <c r="O455" s="14" t="inlineStr">
        <is>
          <t>Wrong number called</t>
        </is>
      </c>
      <c r="P455" s="14" t="inlineStr">
        <is>
          <t>No</t>
        </is>
      </c>
      <c r="Q455" s="14" t="inlineStr">
        <is>
          <t>No</t>
        </is>
      </c>
      <c r="R455" s="14" t="inlineStr">
        <is>
          <t>invalid call log, wrong number</t>
        </is>
      </c>
      <c r="S455" s="14" t="inlineStr">
        <is>
          <t>Aimenn Aiyad</t>
        </is>
      </c>
      <c r="T455" s="14">
        <f>COUNTIF($B$2:$B$499,B455)</f>
        <v/>
      </c>
      <c r="U455" s="14">
        <f>COUNTIF($I$2:$I$499,I455)</f>
        <v/>
      </c>
      <c r="V455" s="14">
        <f>IF(ISNA(MATCH(B455,'Metabase Lookup'!$A:$A,0)),"Not found",IF(INDEX('Metabase Lookup'!$B:$B,MATCH(B455,'Metabase Lookup'!$A:$A,0))="","Pending",INDEX('Metabase Lookup'!$B:$B,MATCH(B455,'Metabase Lookup'!$A:$A,0))))</f>
        <v/>
      </c>
      <c r="W455" s="14">
        <f>IF(ISNA(MATCH(B455,'Metabase Lookup'!$A:$A,0)),"Not found",IF(INDEX('Metabase Lookup'!$C:$C,MATCH(B455,'Metabase Lookup'!$A:$A,0))="","Pending",INDEX('Metabase Lookup'!$C:$C,MATCH(B455,'Metabase Lookup'!$A:$A,0))))</f>
        <v/>
      </c>
      <c r="X455" s="14">
        <f>IF(ISNA(MATCH(B455,'Metabase Lookup'!$A:$A,0)),"",IF(INDEX('Metabase Lookup'!$D:$D,MATCH(B455,'Metabase Lookup'!$A:$A,0))="","",INDEX('Metabase Lookup'!$D:$D,MATCH(B455,'Metabase Lookup'!$A:$A,0))))</f>
        <v/>
      </c>
      <c r="Y455" s="14">
        <f>IF(ISNUMBER(W455),IF(W455&gt;0,"Yes","No"),"Pending")</f>
        <v/>
      </c>
      <c r="Z455" s="14" t="inlineStr"/>
    </row>
    <row r="456">
      <c r="A456" s="14" t="n">
        <v>455</v>
      </c>
      <c r="B456" s="14" t="inlineStr">
        <is>
          <t>ANTEX1551895848224653312</t>
        </is>
      </c>
      <c r="C456" s="15" t="inlineStr">
        <is>
          <t>269052690113</t>
        </is>
      </c>
      <c r="D456" s="16" t="n">
        <v>46291.48194444444</v>
      </c>
      <c r="E456" s="17" t="n">
        <v>46291</v>
      </c>
      <c r="F456" s="14" t="inlineStr">
        <is>
          <t>Sat</t>
        </is>
      </c>
      <c r="G456" s="14" t="inlineStr">
        <is>
          <t>KV</t>
        </is>
      </c>
      <c r="H456" s="14" t="inlineStr">
        <is>
          <t>PJY</t>
        </is>
      </c>
      <c r="I456" s="14" t="inlineStr">
        <is>
          <t>OPS - PJY</t>
        </is>
      </c>
      <c r="J456" s="14" t="inlineStr">
        <is>
          <t>OPS (generic hub account)</t>
        </is>
      </c>
      <c r="K456" s="14" t="inlineStr">
        <is>
          <t>91889146</t>
        </is>
      </c>
      <c r="L456" s="14" t="n">
        <v>1</v>
      </c>
      <c r="M456" s="14" t="inlineStr">
        <is>
          <t>LM</t>
        </is>
      </c>
      <c r="N456" s="14" t="inlineStr">
        <is>
          <t>Fake Fail</t>
        </is>
      </c>
      <c r="O456" s="14" t="inlineStr">
        <is>
          <t>No call / call log missing</t>
        </is>
      </c>
      <c r="P456" s="14" t="inlineStr">
        <is>
          <t>No</t>
        </is>
      </c>
      <c r="Q456" s="14" t="inlineStr">
        <is>
          <t>No</t>
        </is>
      </c>
      <c r="R456" s="14" t="inlineStr">
        <is>
          <t>No call</t>
        </is>
      </c>
      <c r="S456" s="14" t="inlineStr">
        <is>
          <t>Syafiq</t>
        </is>
      </c>
      <c r="T456" s="14">
        <f>COUNTIF($B$2:$B$499,B456)</f>
        <v/>
      </c>
      <c r="U456" s="14">
        <f>COUNTIF($I$2:$I$499,I456)</f>
        <v/>
      </c>
      <c r="V456" s="14">
        <f>IF(ISNA(MATCH(B456,'Metabase Lookup'!$A:$A,0)),"Not found",IF(INDEX('Metabase Lookup'!$B:$B,MATCH(B456,'Metabase Lookup'!$A:$A,0))="","Pending",INDEX('Metabase Lookup'!$B:$B,MATCH(B456,'Metabase Lookup'!$A:$A,0))))</f>
        <v/>
      </c>
      <c r="W456" s="14">
        <f>IF(ISNA(MATCH(B456,'Metabase Lookup'!$A:$A,0)),"Not found",IF(INDEX('Metabase Lookup'!$C:$C,MATCH(B456,'Metabase Lookup'!$A:$A,0))="","Pending",INDEX('Metabase Lookup'!$C:$C,MATCH(B456,'Metabase Lookup'!$A:$A,0))))</f>
        <v/>
      </c>
      <c r="X456" s="14">
        <f>IF(ISNA(MATCH(B456,'Metabase Lookup'!$A:$A,0)),"",IF(INDEX('Metabase Lookup'!$D:$D,MATCH(B456,'Metabase Lookup'!$A:$A,0))="","",INDEX('Metabase Lookup'!$D:$D,MATCH(B456,'Metabase Lookup'!$A:$A,0))))</f>
        <v/>
      </c>
      <c r="Y456" s="14">
        <f>IF(ISNUMBER(W456),IF(W456&gt;0,"Yes","No"),"Pending")</f>
        <v/>
      </c>
      <c r="Z456" s="14" t="inlineStr">
        <is>
          <t>Driver not identified (OPS account)</t>
        </is>
      </c>
    </row>
    <row r="457">
      <c r="A457" s="14" t="n">
        <v>456</v>
      </c>
      <c r="B457" s="14" t="inlineStr">
        <is>
          <t>NVMYNCREA000000612</t>
        </is>
      </c>
      <c r="C457" s="15" t="inlineStr">
        <is>
          <t>267852676902</t>
        </is>
      </c>
      <c r="D457" s="16" t="n">
        <v>46291.49222222222</v>
      </c>
      <c r="E457" s="17" t="n">
        <v>46291</v>
      </c>
      <c r="F457" s="14" t="inlineStr">
        <is>
          <t>Sat</t>
        </is>
      </c>
      <c r="G457" s="14" t="inlineStr">
        <is>
          <t>KV</t>
        </is>
      </c>
      <c r="H457" s="14" t="inlineStr">
        <is>
          <t>BMC</t>
        </is>
      </c>
      <c r="I457" s="14" t="inlineStr">
        <is>
          <t>KV2 - FM - Fandi Wak Syaaroni</t>
        </is>
      </c>
      <c r="J457" s="14" t="inlineStr">
        <is>
          <t>FM (first-mile)</t>
        </is>
      </c>
      <c r="K457" s="14" t="inlineStr">
        <is>
          <t>91862791</t>
        </is>
      </c>
      <c r="L457" s="14" t="n">
        <v>1</v>
      </c>
      <c r="M457" s="14" t="inlineStr">
        <is>
          <t>FM</t>
        </is>
      </c>
      <c r="N457" s="14" t="inlineStr">
        <is>
          <t>Fake Success</t>
        </is>
      </c>
      <c r="O457" s="14" t="inlineStr"/>
      <c r="P457" s="14" t="inlineStr"/>
      <c r="Q457" s="14" t="inlineStr"/>
      <c r="R457" s="14" t="inlineStr">
        <is>
          <t>Completed 2026-09-22 but cust not received. No call/ws from the driver</t>
        </is>
      </c>
      <c r="S457" s="14" t="inlineStr">
        <is>
          <t>Syaza</t>
        </is>
      </c>
      <c r="T457" s="14">
        <f>COUNTIF($B$2:$B$499,B457)</f>
        <v/>
      </c>
      <c r="U457" s="14">
        <f>COUNTIF($I$2:$I$499,I457)</f>
        <v/>
      </c>
      <c r="V457" s="14">
        <f>IF(ISNA(MATCH(B457,'Metabase Lookup'!$A:$A,0)),"Not found",IF(INDEX('Metabase Lookup'!$B:$B,MATCH(B457,'Metabase Lookup'!$A:$A,0))="","Pending",INDEX('Metabase Lookup'!$B:$B,MATCH(B457,'Metabase Lookup'!$A:$A,0))))</f>
        <v/>
      </c>
      <c r="W457" s="14">
        <f>IF(ISNA(MATCH(B457,'Metabase Lookup'!$A:$A,0)),"Not found",IF(INDEX('Metabase Lookup'!$C:$C,MATCH(B457,'Metabase Lookup'!$A:$A,0))="","Pending",INDEX('Metabase Lookup'!$C:$C,MATCH(B457,'Metabase Lookup'!$A:$A,0))))</f>
        <v/>
      </c>
      <c r="X457" s="14">
        <f>IF(ISNA(MATCH(B457,'Metabase Lookup'!$A:$A,0)),"",IF(INDEX('Metabase Lookup'!$D:$D,MATCH(B457,'Metabase Lookup'!$A:$A,0))="","",INDEX('Metabase Lookup'!$D:$D,MATCH(B457,'Metabase Lookup'!$A:$A,0))))</f>
        <v/>
      </c>
      <c r="Y457" s="14">
        <f>IF(ISNUMBER(W457),IF(W457&gt;0,"Yes","No"),"Pending")</f>
        <v/>
      </c>
      <c r="Z457" s="14" t="inlineStr"/>
    </row>
    <row r="458">
      <c r="A458" s="14" t="n">
        <v>457</v>
      </c>
      <c r="B458" s="14" t="inlineStr">
        <is>
          <t>TNGDV2609206888477350</t>
        </is>
      </c>
      <c r="C458" s="15" t="inlineStr">
        <is>
          <t>265332696011</t>
        </is>
      </c>
      <c r="D458" s="16" t="n">
        <v>46291.50828703704</v>
      </c>
      <c r="E458" s="17" t="n">
        <v>46291</v>
      </c>
      <c r="F458" s="14" t="inlineStr">
        <is>
          <t>Sat</t>
        </is>
      </c>
      <c r="G458" s="14" t="inlineStr">
        <is>
          <t>Southern</t>
        </is>
      </c>
      <c r="H458" s="14" t="inlineStr">
        <is>
          <t>GLG</t>
        </is>
      </c>
      <c r="I458" s="14" t="inlineStr">
        <is>
          <t>GLG - OPS - ENGKU</t>
        </is>
      </c>
      <c r="J458" s="14" t="inlineStr">
        <is>
          <t>OPS (generic hub account)</t>
        </is>
      </c>
      <c r="K458" s="14" t="inlineStr">
        <is>
          <t>91877170</t>
        </is>
      </c>
      <c r="L458" s="14" t="n">
        <v>1</v>
      </c>
      <c r="M458" s="14" t="inlineStr">
        <is>
          <t>LM</t>
        </is>
      </c>
      <c r="N458" s="14" t="inlineStr">
        <is>
          <t>Fake Fail</t>
        </is>
      </c>
      <c r="O458" s="14" t="inlineStr">
        <is>
          <t>No call / call log missing</t>
        </is>
      </c>
      <c r="P458" s="14" t="inlineStr">
        <is>
          <t>No</t>
        </is>
      </c>
      <c r="Q458" s="14" t="inlineStr">
        <is>
          <t>No</t>
        </is>
      </c>
      <c r="R458" s="14" t="inlineStr">
        <is>
          <t>invalid POD. No call upon failing</t>
        </is>
      </c>
      <c r="S458" s="14" t="inlineStr">
        <is>
          <t>Aimenn Aiyad</t>
        </is>
      </c>
      <c r="T458" s="14">
        <f>COUNTIF($B$2:$B$499,B458)</f>
        <v/>
      </c>
      <c r="U458" s="14">
        <f>COUNTIF($I$2:$I$499,I458)</f>
        <v/>
      </c>
      <c r="V458" s="14">
        <f>IF(ISNA(MATCH(B458,'Metabase Lookup'!$A:$A,0)),"Not found",IF(INDEX('Metabase Lookup'!$B:$B,MATCH(B458,'Metabase Lookup'!$A:$A,0))="","Pending",INDEX('Metabase Lookup'!$B:$B,MATCH(B458,'Metabase Lookup'!$A:$A,0))))</f>
        <v/>
      </c>
      <c r="W458" s="14">
        <f>IF(ISNA(MATCH(B458,'Metabase Lookup'!$A:$A,0)),"Not found",IF(INDEX('Metabase Lookup'!$C:$C,MATCH(B458,'Metabase Lookup'!$A:$A,0))="","Pending",INDEX('Metabase Lookup'!$C:$C,MATCH(B458,'Metabase Lookup'!$A:$A,0))))</f>
        <v/>
      </c>
      <c r="X458" s="14">
        <f>IF(ISNA(MATCH(B458,'Metabase Lookup'!$A:$A,0)),"",IF(INDEX('Metabase Lookup'!$D:$D,MATCH(B458,'Metabase Lookup'!$A:$A,0))="","",INDEX('Metabase Lookup'!$D:$D,MATCH(B458,'Metabase Lookup'!$A:$A,0))))</f>
        <v/>
      </c>
      <c r="Y458" s="14">
        <f>IF(ISNUMBER(W458),IF(W458&gt;0,"Yes","No"),"Pending")</f>
        <v/>
      </c>
      <c r="Z458" s="14" t="inlineStr">
        <is>
          <t>Driver not identified (OPS account)</t>
        </is>
      </c>
    </row>
    <row r="459">
      <c r="A459" s="14" t="n">
        <v>458</v>
      </c>
      <c r="B459" s="14" t="inlineStr">
        <is>
          <t>NLMYA72425530</t>
        </is>
      </c>
      <c r="C459" s="15" t="inlineStr">
        <is>
          <t>267822695719</t>
        </is>
      </c>
      <c r="D459" s="16" t="n">
        <v>46291.53528935185</v>
      </c>
      <c r="E459" s="17" t="n">
        <v>46291</v>
      </c>
      <c r="F459" s="14" t="inlineStr">
        <is>
          <t>Sat</t>
        </is>
      </c>
      <c r="G459" s="14" t="inlineStr">
        <is>
          <t>Southern</t>
        </is>
      </c>
      <c r="H459" s="14" t="inlineStr">
        <is>
          <t>TRM</t>
        </is>
      </c>
      <c r="I459" s="14" t="inlineStr">
        <is>
          <t>TRM - OPS - ULU TIRAM</t>
        </is>
      </c>
      <c r="J459" s="14" t="inlineStr">
        <is>
          <t>OPS (generic hub account)</t>
        </is>
      </c>
      <c r="K459" s="14" t="inlineStr">
        <is>
          <t>91894911</t>
        </is>
      </c>
      <c r="L459" s="14" t="n">
        <v>1</v>
      </c>
      <c r="M459" s="14" t="inlineStr">
        <is>
          <t>LM</t>
        </is>
      </c>
      <c r="N459" s="14" t="inlineStr">
        <is>
          <t>Fake Fail</t>
        </is>
      </c>
      <c r="O459" s="14" t="inlineStr">
        <is>
          <t>Invalid call log (unspecified)</t>
        </is>
      </c>
      <c r="P459" s="14" t="inlineStr">
        <is>
          <t>No</t>
        </is>
      </c>
      <c r="Q459" s="14" t="inlineStr">
        <is>
          <t>No</t>
        </is>
      </c>
      <c r="R459" s="14" t="inlineStr">
        <is>
          <t>invalid call log for failed delivery reason</t>
        </is>
      </c>
      <c r="S459" s="14" t="inlineStr">
        <is>
          <t>Aimenn Aiyad</t>
        </is>
      </c>
      <c r="T459" s="14">
        <f>COUNTIF($B$2:$B$499,B459)</f>
        <v/>
      </c>
      <c r="U459" s="14">
        <f>COUNTIF($I$2:$I$499,I459)</f>
        <v/>
      </c>
      <c r="V459" s="14">
        <f>IF(ISNA(MATCH(B459,'Metabase Lookup'!$A:$A,0)),"Not found",IF(INDEX('Metabase Lookup'!$B:$B,MATCH(B459,'Metabase Lookup'!$A:$A,0))="","Pending",INDEX('Metabase Lookup'!$B:$B,MATCH(B459,'Metabase Lookup'!$A:$A,0))))</f>
        <v/>
      </c>
      <c r="W459" s="14">
        <f>IF(ISNA(MATCH(B459,'Metabase Lookup'!$A:$A,0)),"Not found",IF(INDEX('Metabase Lookup'!$C:$C,MATCH(B459,'Metabase Lookup'!$A:$A,0))="","Pending",INDEX('Metabase Lookup'!$C:$C,MATCH(B459,'Metabase Lookup'!$A:$A,0))))</f>
        <v/>
      </c>
      <c r="X459" s="14">
        <f>IF(ISNA(MATCH(B459,'Metabase Lookup'!$A:$A,0)),"",IF(INDEX('Metabase Lookup'!$D:$D,MATCH(B459,'Metabase Lookup'!$A:$A,0))="","",INDEX('Metabase Lookup'!$D:$D,MATCH(B459,'Metabase Lookup'!$A:$A,0))))</f>
        <v/>
      </c>
      <c r="Y459" s="14">
        <f>IF(ISNUMBER(W459),IF(W459&gt;0,"Yes","No"),"Pending")</f>
        <v/>
      </c>
      <c r="Z459" s="14" t="inlineStr">
        <is>
          <t>TID had stray spaces/line breaks (cleaned); Driver not identified (OPS account)</t>
        </is>
      </c>
    </row>
    <row r="460">
      <c r="A460" s="14" t="n">
        <v>459</v>
      </c>
      <c r="B460" s="14" t="inlineStr">
        <is>
          <t>JY200159772</t>
        </is>
      </c>
      <c r="C460" s="15" t="inlineStr">
        <is>
          <t>263722698242</t>
        </is>
      </c>
      <c r="D460" s="16" t="n">
        <v>46291.53696759259</v>
      </c>
      <c r="E460" s="17" t="n">
        <v>46291</v>
      </c>
      <c r="F460" s="14" t="inlineStr">
        <is>
          <t>Sat</t>
        </is>
      </c>
      <c r="G460" s="14" t="inlineStr">
        <is>
          <t>Southern</t>
        </is>
      </c>
      <c r="H460" s="14" t="inlineStr">
        <is>
          <t>LKN</t>
        </is>
      </c>
      <c r="I460" s="14" t="inlineStr">
        <is>
          <t>LKN - ID - FIRDAUS</t>
        </is>
      </c>
      <c r="J460" s="14" t="inlineStr">
        <is>
          <t>ID (named driver)</t>
        </is>
      </c>
      <c r="K460" s="14" t="inlineStr">
        <is>
          <t>91877221</t>
        </is>
      </c>
      <c r="L460" s="14" t="n">
        <v>1</v>
      </c>
      <c r="M460" s="14" t="inlineStr">
        <is>
          <t>LM</t>
        </is>
      </c>
      <c r="N460" s="14" t="inlineStr">
        <is>
          <t>Fake Fail</t>
        </is>
      </c>
      <c r="O460" s="14" t="inlineStr">
        <is>
          <t>Invalid location / site photo</t>
        </is>
      </c>
      <c r="P460" s="14" t="inlineStr">
        <is>
          <t>Yes</t>
        </is>
      </c>
      <c r="Q460" s="14" t="inlineStr">
        <is>
          <t>No</t>
        </is>
      </c>
      <c r="R460" s="14" t="inlineStr">
        <is>
          <t>no location photo for failed delivery reason</t>
        </is>
      </c>
      <c r="S460" s="14" t="inlineStr">
        <is>
          <t>Aimenn Aiyad</t>
        </is>
      </c>
      <c r="T460" s="14">
        <f>COUNTIF($B$2:$B$499,B460)</f>
        <v/>
      </c>
      <c r="U460" s="14">
        <f>COUNTIF($I$2:$I$499,I460)</f>
        <v/>
      </c>
      <c r="V460" s="14">
        <f>IF(ISNA(MATCH(B460,'Metabase Lookup'!$A:$A,0)),"Not found",IF(INDEX('Metabase Lookup'!$B:$B,MATCH(B460,'Metabase Lookup'!$A:$A,0))="","Pending",INDEX('Metabase Lookup'!$B:$B,MATCH(B460,'Metabase Lookup'!$A:$A,0))))</f>
        <v/>
      </c>
      <c r="W460" s="14">
        <f>IF(ISNA(MATCH(B460,'Metabase Lookup'!$A:$A,0)),"Not found",IF(INDEX('Metabase Lookup'!$C:$C,MATCH(B460,'Metabase Lookup'!$A:$A,0))="","Pending",INDEX('Metabase Lookup'!$C:$C,MATCH(B460,'Metabase Lookup'!$A:$A,0))))</f>
        <v/>
      </c>
      <c r="X460" s="14">
        <f>IF(ISNA(MATCH(B460,'Metabase Lookup'!$A:$A,0)),"",IF(INDEX('Metabase Lookup'!$D:$D,MATCH(B460,'Metabase Lookup'!$A:$A,0))="","",INDEX('Metabase Lookup'!$D:$D,MATCH(B460,'Metabase Lookup'!$A:$A,0))))</f>
        <v/>
      </c>
      <c r="Y460" s="14">
        <f>IF(ISNUMBER(W460),IF(W460&gt;0,"Yes","No"),"Pending")</f>
        <v/>
      </c>
      <c r="Z460" s="14" t="inlineStr"/>
    </row>
    <row r="461">
      <c r="A461" s="14" t="n">
        <v>460</v>
      </c>
      <c r="B461" s="14" t="inlineStr">
        <is>
          <t>AEMYA000634058</t>
        </is>
      </c>
      <c r="C461" s="15" t="inlineStr">
        <is>
          <t>269472699272</t>
        </is>
      </c>
      <c r="D461" s="16" t="n">
        <v>46291.53824074074</v>
      </c>
      <c r="E461" s="17" t="n">
        <v>46291</v>
      </c>
      <c r="F461" s="14" t="inlineStr">
        <is>
          <t>Sat</t>
        </is>
      </c>
      <c r="G461" s="14" t="inlineStr">
        <is>
          <t>KV</t>
        </is>
      </c>
      <c r="H461" s="14" t="inlineStr">
        <is>
          <t>BMC</t>
        </is>
      </c>
      <c r="I461" s="14" t="inlineStr">
        <is>
          <t>BMC - ID - RIDUAN ABDULLAH</t>
        </is>
      </c>
      <c r="J461" s="14" t="inlineStr">
        <is>
          <t>ID (named driver)</t>
        </is>
      </c>
      <c r="K461" s="14" t="inlineStr">
        <is>
          <t>91874682</t>
        </is>
      </c>
      <c r="L461" s="14" t="n">
        <v>1</v>
      </c>
      <c r="M461" s="14" t="inlineStr">
        <is>
          <t>LM</t>
        </is>
      </c>
      <c r="N461" s="14" t="inlineStr">
        <is>
          <t>Fake Fail</t>
        </is>
      </c>
      <c r="O461" s="14" t="inlineStr">
        <is>
          <t>Invalid location / site photo</t>
        </is>
      </c>
      <c r="P461" s="14" t="inlineStr">
        <is>
          <t>Yes</t>
        </is>
      </c>
      <c r="Q461" s="14" t="inlineStr">
        <is>
          <t>No</t>
        </is>
      </c>
      <c r="R461" s="14" t="inlineStr">
        <is>
          <t>Invalid POD wrong location photo</t>
        </is>
      </c>
      <c r="S461" s="14" t="inlineStr">
        <is>
          <t>Aimenn Aiyad</t>
        </is>
      </c>
      <c r="T461" s="14">
        <f>COUNTIF($B$2:$B$499,B461)</f>
        <v/>
      </c>
      <c r="U461" s="14">
        <f>COUNTIF($I$2:$I$499,I461)</f>
        <v/>
      </c>
      <c r="V461" s="14">
        <f>IF(ISNA(MATCH(B461,'Metabase Lookup'!$A:$A,0)),"Not found",IF(INDEX('Metabase Lookup'!$B:$B,MATCH(B461,'Metabase Lookup'!$A:$A,0))="","Pending",INDEX('Metabase Lookup'!$B:$B,MATCH(B461,'Metabase Lookup'!$A:$A,0))))</f>
        <v/>
      </c>
      <c r="W461" s="14">
        <f>IF(ISNA(MATCH(B461,'Metabase Lookup'!$A:$A,0)),"Not found",IF(INDEX('Metabase Lookup'!$C:$C,MATCH(B461,'Metabase Lookup'!$A:$A,0))="","Pending",INDEX('Metabase Lookup'!$C:$C,MATCH(B461,'Metabase Lookup'!$A:$A,0))))</f>
        <v/>
      </c>
      <c r="X461" s="14">
        <f>IF(ISNA(MATCH(B461,'Metabase Lookup'!$A:$A,0)),"",IF(INDEX('Metabase Lookup'!$D:$D,MATCH(B461,'Metabase Lookup'!$A:$A,0))="","",INDEX('Metabase Lookup'!$D:$D,MATCH(B461,'Metabase Lookup'!$A:$A,0))))</f>
        <v/>
      </c>
      <c r="Y461" s="14">
        <f>IF(ISNUMBER(W461),IF(W461&gt;0,"Yes","No"),"Pending")</f>
        <v/>
      </c>
      <c r="Z461" s="14" t="inlineStr"/>
    </row>
    <row r="462">
      <c r="A462" s="14" t="n">
        <v>461</v>
      </c>
      <c r="B462" s="14" t="inlineStr">
        <is>
          <t>NVMYRDSPP000000053</t>
        </is>
      </c>
      <c r="C462" s="15" t="inlineStr">
        <is>
          <t>262112697319</t>
        </is>
      </c>
      <c r="D462" s="16" t="n">
        <v>46291.53945601852</v>
      </c>
      <c r="E462" s="17" t="n">
        <v>46291</v>
      </c>
      <c r="F462" s="14" t="inlineStr">
        <is>
          <t>Sat</t>
        </is>
      </c>
      <c r="G462" s="14" t="inlineStr">
        <is>
          <t>Southern</t>
        </is>
      </c>
      <c r="H462" s="14" t="inlineStr">
        <is>
          <t>KLI</t>
        </is>
      </c>
      <c r="I462" s="14" t="inlineStr">
        <is>
          <t>OPS - KULAI</t>
        </is>
      </c>
      <c r="J462" s="14" t="inlineStr">
        <is>
          <t>OPS (generic hub account)</t>
        </is>
      </c>
      <c r="K462" s="14" t="inlineStr">
        <is>
          <t>91890028</t>
        </is>
      </c>
      <c r="L462" s="14" t="n">
        <v>1</v>
      </c>
      <c r="M462" s="14" t="inlineStr">
        <is>
          <t>LM</t>
        </is>
      </c>
      <c r="N462" s="14" t="inlineStr">
        <is>
          <t>Fake Fail</t>
        </is>
      </c>
      <c r="O462" s="14" t="inlineStr">
        <is>
          <t>No call / call log missing</t>
        </is>
      </c>
      <c r="P462" s="14" t="inlineStr">
        <is>
          <t>No</t>
        </is>
      </c>
      <c r="Q462" s="14" t="inlineStr">
        <is>
          <t>Yes</t>
        </is>
      </c>
      <c r="R462" s="14" t="inlineStr">
        <is>
          <t>failed by OPS with invalid POD no call log</t>
        </is>
      </c>
      <c r="S462" s="14" t="inlineStr">
        <is>
          <t>Aimenn Aiyad</t>
        </is>
      </c>
      <c r="T462" s="14">
        <f>COUNTIF($B$2:$B$499,B462)</f>
        <v/>
      </c>
      <c r="U462" s="14">
        <f>COUNTIF($I$2:$I$499,I462)</f>
        <v/>
      </c>
      <c r="V462" s="14">
        <f>IF(ISNA(MATCH(B462,'Metabase Lookup'!$A:$A,0)),"Not found",IF(INDEX('Metabase Lookup'!$B:$B,MATCH(B462,'Metabase Lookup'!$A:$A,0))="","Pending",INDEX('Metabase Lookup'!$B:$B,MATCH(B462,'Metabase Lookup'!$A:$A,0))))</f>
        <v/>
      </c>
      <c r="W462" s="14">
        <f>IF(ISNA(MATCH(B462,'Metabase Lookup'!$A:$A,0)),"Not found",IF(INDEX('Metabase Lookup'!$C:$C,MATCH(B462,'Metabase Lookup'!$A:$A,0))="","Pending",INDEX('Metabase Lookup'!$C:$C,MATCH(B462,'Metabase Lookup'!$A:$A,0))))</f>
        <v/>
      </c>
      <c r="X462" s="14">
        <f>IF(ISNA(MATCH(B462,'Metabase Lookup'!$A:$A,0)),"",IF(INDEX('Metabase Lookup'!$D:$D,MATCH(B462,'Metabase Lookup'!$A:$A,0))="","",INDEX('Metabase Lookup'!$D:$D,MATCH(B462,'Metabase Lookup'!$A:$A,0))))</f>
        <v/>
      </c>
      <c r="Y462" s="14">
        <f>IF(ISNUMBER(W462),IF(W462&gt;0,"Yes","No"),"Pending")</f>
        <v/>
      </c>
      <c r="Z462" s="14" t="inlineStr">
        <is>
          <t>Driver not identified (OPS account)</t>
        </is>
      </c>
    </row>
    <row r="463">
      <c r="A463" s="14" t="n">
        <v>462</v>
      </c>
      <c r="B463" s="14" t="inlineStr">
        <is>
          <t>DDLMM1550802115664117760</t>
        </is>
      </c>
      <c r="C463" s="15" t="inlineStr">
        <is>
          <t>269332698860</t>
        </is>
      </c>
      <c r="D463" s="16" t="n">
        <v>46291.54046296296</v>
      </c>
      <c r="E463" s="17" t="n">
        <v>46291</v>
      </c>
      <c r="F463" s="14" t="inlineStr">
        <is>
          <t>Sat</t>
        </is>
      </c>
      <c r="G463" s="14" t="inlineStr">
        <is>
          <t>Southern</t>
        </is>
      </c>
      <c r="H463" s="14" t="inlineStr">
        <is>
          <t>NSJ</t>
        </is>
      </c>
      <c r="I463" s="14" t="inlineStr">
        <is>
          <t>OPS - NSJ</t>
        </is>
      </c>
      <c r="J463" s="14" t="inlineStr">
        <is>
          <t>OPS (generic hub account)</t>
        </is>
      </c>
      <c r="K463" s="14" t="inlineStr">
        <is>
          <t>91883071</t>
        </is>
      </c>
      <c r="L463" s="14" t="n">
        <v>1</v>
      </c>
      <c r="M463" s="14" t="inlineStr">
        <is>
          <t>LM</t>
        </is>
      </c>
      <c r="N463" s="14" t="inlineStr">
        <is>
          <t>Fake Fail</t>
        </is>
      </c>
      <c r="O463" s="14" t="inlineStr">
        <is>
          <t>No call / call log missing</t>
        </is>
      </c>
      <c r="P463" s="14" t="inlineStr">
        <is>
          <t>No</t>
        </is>
      </c>
      <c r="Q463" s="14" t="inlineStr">
        <is>
          <t>Yes</t>
        </is>
      </c>
      <c r="R463" s="14" t="inlineStr">
        <is>
          <t>failed by OPS with invalid POD no call log</t>
        </is>
      </c>
      <c r="S463" s="14" t="inlineStr">
        <is>
          <t>Aimenn Aiyad</t>
        </is>
      </c>
      <c r="T463" s="14">
        <f>COUNTIF($B$2:$B$499,B463)</f>
        <v/>
      </c>
      <c r="U463" s="14">
        <f>COUNTIF($I$2:$I$499,I463)</f>
        <v/>
      </c>
      <c r="V463" s="14">
        <f>IF(ISNA(MATCH(B463,'Metabase Lookup'!$A:$A,0)),"Not found",IF(INDEX('Metabase Lookup'!$B:$B,MATCH(B463,'Metabase Lookup'!$A:$A,0))="","Pending",INDEX('Metabase Lookup'!$B:$B,MATCH(B463,'Metabase Lookup'!$A:$A,0))))</f>
        <v/>
      </c>
      <c r="W463" s="14">
        <f>IF(ISNA(MATCH(B463,'Metabase Lookup'!$A:$A,0)),"Not found",IF(INDEX('Metabase Lookup'!$C:$C,MATCH(B463,'Metabase Lookup'!$A:$A,0))="","Pending",INDEX('Metabase Lookup'!$C:$C,MATCH(B463,'Metabase Lookup'!$A:$A,0))))</f>
        <v/>
      </c>
      <c r="X463" s="14">
        <f>IF(ISNA(MATCH(B463,'Metabase Lookup'!$A:$A,0)),"",IF(INDEX('Metabase Lookup'!$D:$D,MATCH(B463,'Metabase Lookup'!$A:$A,0))="","",INDEX('Metabase Lookup'!$D:$D,MATCH(B463,'Metabase Lookup'!$A:$A,0))))</f>
        <v/>
      </c>
      <c r="Y463" s="14">
        <f>IF(ISNUMBER(W463),IF(W463&gt;0,"Yes","No"),"Pending")</f>
        <v/>
      </c>
      <c r="Z463" s="14" t="inlineStr">
        <is>
          <t>Driver not identified (OPS account)</t>
        </is>
      </c>
    </row>
    <row r="464">
      <c r="A464" s="14" t="n">
        <v>463</v>
      </c>
      <c r="B464" s="14" t="inlineStr">
        <is>
          <t>TNGE326080018402666750</t>
        </is>
      </c>
      <c r="C464" s="15" t="inlineStr">
        <is>
          <t>267222694601</t>
        </is>
      </c>
      <c r="D464" s="16" t="n">
        <v>46291.54168981482</v>
      </c>
      <c r="E464" s="17" t="n">
        <v>46291</v>
      </c>
      <c r="F464" s="14" t="inlineStr">
        <is>
          <t>Sat</t>
        </is>
      </c>
      <c r="G464" s="14" t="inlineStr">
        <is>
          <t>Southern</t>
        </is>
      </c>
      <c r="H464" s="14" t="inlineStr">
        <is>
          <t>NSJ</t>
        </is>
      </c>
      <c r="I464" s="14" t="inlineStr">
        <is>
          <t>OPS - NSJ</t>
        </is>
      </c>
      <c r="J464" s="14" t="inlineStr">
        <is>
          <t>OPS (generic hub account)</t>
        </is>
      </c>
      <c r="K464" s="14" t="inlineStr">
        <is>
          <t>91883071</t>
        </is>
      </c>
      <c r="L464" s="14" t="n">
        <v>1</v>
      </c>
      <c r="M464" s="14" t="inlineStr">
        <is>
          <t>LM</t>
        </is>
      </c>
      <c r="N464" s="14" t="inlineStr">
        <is>
          <t>Fake Fail</t>
        </is>
      </c>
      <c r="O464" s="14" t="inlineStr">
        <is>
          <t>No call / call log missing</t>
        </is>
      </c>
      <c r="P464" s="14" t="inlineStr">
        <is>
          <t>No</t>
        </is>
      </c>
      <c r="Q464" s="14" t="inlineStr">
        <is>
          <t>Yes</t>
        </is>
      </c>
      <c r="R464" s="14" t="inlineStr">
        <is>
          <t>Failed by OPS with invalid POD no call log</t>
        </is>
      </c>
      <c r="S464" s="14" t="inlineStr">
        <is>
          <t>Aimenn Aiyad</t>
        </is>
      </c>
      <c r="T464" s="14">
        <f>COUNTIF($B$2:$B$499,B464)</f>
        <v/>
      </c>
      <c r="U464" s="14">
        <f>COUNTIF($I$2:$I$499,I464)</f>
        <v/>
      </c>
      <c r="V464" s="14">
        <f>IF(ISNA(MATCH(B464,'Metabase Lookup'!$A:$A,0)),"Not found",IF(INDEX('Metabase Lookup'!$B:$B,MATCH(B464,'Metabase Lookup'!$A:$A,0))="","Pending",INDEX('Metabase Lookup'!$B:$B,MATCH(B464,'Metabase Lookup'!$A:$A,0))))</f>
        <v/>
      </c>
      <c r="W464" s="14">
        <f>IF(ISNA(MATCH(B464,'Metabase Lookup'!$A:$A,0)),"Not found",IF(INDEX('Metabase Lookup'!$C:$C,MATCH(B464,'Metabase Lookup'!$A:$A,0))="","Pending",INDEX('Metabase Lookup'!$C:$C,MATCH(B464,'Metabase Lookup'!$A:$A,0))))</f>
        <v/>
      </c>
      <c r="X464" s="14">
        <f>IF(ISNA(MATCH(B464,'Metabase Lookup'!$A:$A,0)),"",IF(INDEX('Metabase Lookup'!$D:$D,MATCH(B464,'Metabase Lookup'!$A:$A,0))="","",INDEX('Metabase Lookup'!$D:$D,MATCH(B464,'Metabase Lookup'!$A:$A,0))))</f>
        <v/>
      </c>
      <c r="Y464" s="14">
        <f>IF(ISNUMBER(W464),IF(W464&gt;0,"Yes","No"),"Pending")</f>
        <v/>
      </c>
      <c r="Z464" s="14" t="inlineStr">
        <is>
          <t>Driver not identified (OPS account)</t>
        </is>
      </c>
    </row>
    <row r="465">
      <c r="A465" s="14" t="n">
        <v>464</v>
      </c>
      <c r="B465" s="14" t="inlineStr">
        <is>
          <t>STDMYLJJ7468743512</t>
        </is>
      </c>
      <c r="C465" s="15" t="inlineStr">
        <is>
          <t>263192690216</t>
        </is>
      </c>
      <c r="D465" s="16" t="n">
        <v>46291.54498842593</v>
      </c>
      <c r="E465" s="17" t="n">
        <v>46291</v>
      </c>
      <c r="F465" s="14" t="inlineStr">
        <is>
          <t>Sat</t>
        </is>
      </c>
      <c r="G465" s="14" t="inlineStr">
        <is>
          <t>Southern</t>
        </is>
      </c>
      <c r="H465" s="14" t="inlineStr">
        <is>
          <t>KLI</t>
        </is>
      </c>
      <c r="I465" s="14" t="inlineStr">
        <is>
          <t>OPS - KULAI</t>
        </is>
      </c>
      <c r="J465" s="14" t="inlineStr">
        <is>
          <t>OPS (generic hub account)</t>
        </is>
      </c>
      <c r="K465" s="14" t="inlineStr">
        <is>
          <t>91890028</t>
        </is>
      </c>
      <c r="L465" s="14" t="n">
        <v>1</v>
      </c>
      <c r="M465" s="14" t="inlineStr">
        <is>
          <t>LM</t>
        </is>
      </c>
      <c r="N465" s="14" t="inlineStr">
        <is>
          <t>Fake Fail</t>
        </is>
      </c>
      <c r="O465" s="14" t="inlineStr">
        <is>
          <t>No call / call log missing</t>
        </is>
      </c>
      <c r="P465" s="14" t="inlineStr">
        <is>
          <t>No</t>
        </is>
      </c>
      <c r="Q465" s="14" t="inlineStr">
        <is>
          <t>Yes</t>
        </is>
      </c>
      <c r="R465" s="14" t="inlineStr">
        <is>
          <t>failed by OPS with invalid POD no call log</t>
        </is>
      </c>
      <c r="S465" s="14" t="inlineStr">
        <is>
          <t>Aimenn Aiyad</t>
        </is>
      </c>
      <c r="T465" s="14">
        <f>COUNTIF($B$2:$B$499,B465)</f>
        <v/>
      </c>
      <c r="U465" s="14">
        <f>COUNTIF($I$2:$I$499,I465)</f>
        <v/>
      </c>
      <c r="V465" s="14">
        <f>IF(ISNA(MATCH(B465,'Metabase Lookup'!$A:$A,0)),"Not found",IF(INDEX('Metabase Lookup'!$B:$B,MATCH(B465,'Metabase Lookup'!$A:$A,0))="","Pending",INDEX('Metabase Lookup'!$B:$B,MATCH(B465,'Metabase Lookup'!$A:$A,0))))</f>
        <v/>
      </c>
      <c r="W465" s="14">
        <f>IF(ISNA(MATCH(B465,'Metabase Lookup'!$A:$A,0)),"Not found",IF(INDEX('Metabase Lookup'!$C:$C,MATCH(B465,'Metabase Lookup'!$A:$A,0))="","Pending",INDEX('Metabase Lookup'!$C:$C,MATCH(B465,'Metabase Lookup'!$A:$A,0))))</f>
        <v/>
      </c>
      <c r="X465" s="14">
        <f>IF(ISNA(MATCH(B465,'Metabase Lookup'!$A:$A,0)),"",IF(INDEX('Metabase Lookup'!$D:$D,MATCH(B465,'Metabase Lookup'!$A:$A,0))="","",INDEX('Metabase Lookup'!$D:$D,MATCH(B465,'Metabase Lookup'!$A:$A,0))))</f>
        <v/>
      </c>
      <c r="Y465" s="14">
        <f>IF(ISNUMBER(W465),IF(W465&gt;0,"Yes","No"),"Pending")</f>
        <v/>
      </c>
      <c r="Z465" s="14" t="inlineStr">
        <is>
          <t>Driver not identified (OPS account)</t>
        </is>
      </c>
    </row>
    <row r="466">
      <c r="A466" s="14" t="n">
        <v>465</v>
      </c>
      <c r="B466" s="14" t="inlineStr">
        <is>
          <t>MATAC1551813969266601984</t>
        </is>
      </c>
      <c r="C466" s="15" t="inlineStr">
        <is>
          <t>264822691590</t>
        </is>
      </c>
      <c r="D466" s="16" t="n">
        <v>46291.55055555556</v>
      </c>
      <c r="E466" s="17" t="n">
        <v>46291</v>
      </c>
      <c r="F466" s="14" t="inlineStr">
        <is>
          <t>Sat</t>
        </is>
      </c>
      <c r="G466" s="14" t="inlineStr">
        <is>
          <t>KV</t>
        </is>
      </c>
      <c r="H466" s="14" t="inlineStr">
        <is>
          <t>PJY</t>
        </is>
      </c>
      <c r="I466" s="14" t="inlineStr">
        <is>
          <t>OPS - PJY</t>
        </is>
      </c>
      <c r="J466" s="14" t="inlineStr">
        <is>
          <t>OPS (generic hub account)</t>
        </is>
      </c>
      <c r="K466" s="14" t="inlineStr">
        <is>
          <t>91889146</t>
        </is>
      </c>
      <c r="L466" s="14" t="n">
        <v>1</v>
      </c>
      <c r="M466" s="14" t="inlineStr">
        <is>
          <t>LM</t>
        </is>
      </c>
      <c r="N466" s="14" t="inlineStr">
        <is>
          <t>Fake Fail</t>
        </is>
      </c>
      <c r="O466" s="14" t="inlineStr">
        <is>
          <t>Invalid location / site photo</t>
        </is>
      </c>
      <c r="P466" s="14" t="inlineStr">
        <is>
          <t>Yes</t>
        </is>
      </c>
      <c r="Q466" s="14" t="inlineStr">
        <is>
          <t>No</t>
        </is>
      </c>
      <c r="R466" s="14" t="inlineStr">
        <is>
          <t>driver not attach correct location</t>
        </is>
      </c>
      <c r="S466" s="14" t="inlineStr">
        <is>
          <t>Zati</t>
        </is>
      </c>
      <c r="T466" s="14">
        <f>COUNTIF($B$2:$B$499,B466)</f>
        <v/>
      </c>
      <c r="U466" s="14">
        <f>COUNTIF($I$2:$I$499,I466)</f>
        <v/>
      </c>
      <c r="V466" s="14">
        <f>IF(ISNA(MATCH(B466,'Metabase Lookup'!$A:$A,0)),"Not found",IF(INDEX('Metabase Lookup'!$B:$B,MATCH(B466,'Metabase Lookup'!$A:$A,0))="","Pending",INDEX('Metabase Lookup'!$B:$B,MATCH(B466,'Metabase Lookup'!$A:$A,0))))</f>
        <v/>
      </c>
      <c r="W466" s="14">
        <f>IF(ISNA(MATCH(B466,'Metabase Lookup'!$A:$A,0)),"Not found",IF(INDEX('Metabase Lookup'!$C:$C,MATCH(B466,'Metabase Lookup'!$A:$A,0))="","Pending",INDEX('Metabase Lookup'!$C:$C,MATCH(B466,'Metabase Lookup'!$A:$A,0))))</f>
        <v/>
      </c>
      <c r="X466" s="14">
        <f>IF(ISNA(MATCH(B466,'Metabase Lookup'!$A:$A,0)),"",IF(INDEX('Metabase Lookup'!$D:$D,MATCH(B466,'Metabase Lookup'!$A:$A,0))="","",INDEX('Metabase Lookup'!$D:$D,MATCH(B466,'Metabase Lookup'!$A:$A,0))))</f>
        <v/>
      </c>
      <c r="Y466" s="14">
        <f>IF(ISNUMBER(W466),IF(W466&gt;0,"Yes","No"),"Pending")</f>
        <v/>
      </c>
      <c r="Z466" s="14" t="inlineStr">
        <is>
          <t>Driver not identified (OPS account)</t>
        </is>
      </c>
    </row>
    <row r="467">
      <c r="A467" s="14" t="n">
        <v>466</v>
      </c>
      <c r="B467" s="14" t="inlineStr">
        <is>
          <t>AEMYA000632007</t>
        </is>
      </c>
      <c r="C467" s="15" t="inlineStr">
        <is>
          <t>268142699167</t>
        </is>
      </c>
      <c r="D467" s="16" t="n">
        <v>46291.5537962963</v>
      </c>
      <c r="E467" s="17" t="n">
        <v>46291</v>
      </c>
      <c r="F467" s="14" t="inlineStr">
        <is>
          <t>Sat</t>
        </is>
      </c>
      <c r="G467" s="14" t="inlineStr">
        <is>
          <t>East MY</t>
        </is>
      </c>
      <c r="H467" s="14" t="inlineStr">
        <is>
          <t>BKW</t>
        </is>
      </c>
      <c r="I467" s="14" t="inlineStr">
        <is>
          <t>BKW - ID - KENNETH</t>
        </is>
      </c>
      <c r="J467" s="14" t="inlineStr">
        <is>
          <t>ID (named driver)</t>
        </is>
      </c>
      <c r="K467" s="14" t="inlineStr">
        <is>
          <t>91894222</t>
        </is>
      </c>
      <c r="L467" s="14" t="n">
        <v>1</v>
      </c>
      <c r="M467" s="14" t="inlineStr">
        <is>
          <t>LM</t>
        </is>
      </c>
      <c r="N467" s="14" t="inlineStr">
        <is>
          <t>Fake Fail</t>
        </is>
      </c>
      <c r="O467" s="14" t="inlineStr">
        <is>
          <t>Invalid location / site photo</t>
        </is>
      </c>
      <c r="P467" s="14" t="inlineStr">
        <is>
          <t>Yes</t>
        </is>
      </c>
      <c r="Q467" s="14" t="inlineStr">
        <is>
          <t>No</t>
        </is>
      </c>
      <c r="R467" s="14" t="inlineStr">
        <is>
          <t>Wrong location upload by driver</t>
        </is>
      </c>
      <c r="S467" s="14" t="inlineStr">
        <is>
          <t>Aimenn Aiyad</t>
        </is>
      </c>
      <c r="T467" s="14">
        <f>COUNTIF($B$2:$B$499,B467)</f>
        <v/>
      </c>
      <c r="U467" s="14">
        <f>COUNTIF($I$2:$I$499,I467)</f>
        <v/>
      </c>
      <c r="V467" s="14">
        <f>IF(ISNA(MATCH(B467,'Metabase Lookup'!$A:$A,0)),"Not found",IF(INDEX('Metabase Lookup'!$B:$B,MATCH(B467,'Metabase Lookup'!$A:$A,0))="","Pending",INDEX('Metabase Lookup'!$B:$B,MATCH(B467,'Metabase Lookup'!$A:$A,0))))</f>
        <v/>
      </c>
      <c r="W467" s="14">
        <f>IF(ISNA(MATCH(B467,'Metabase Lookup'!$A:$A,0)),"Not found",IF(INDEX('Metabase Lookup'!$C:$C,MATCH(B467,'Metabase Lookup'!$A:$A,0))="","Pending",INDEX('Metabase Lookup'!$C:$C,MATCH(B467,'Metabase Lookup'!$A:$A,0))))</f>
        <v/>
      </c>
      <c r="X467" s="14">
        <f>IF(ISNA(MATCH(B467,'Metabase Lookup'!$A:$A,0)),"",IF(INDEX('Metabase Lookup'!$D:$D,MATCH(B467,'Metabase Lookup'!$A:$A,0))="","",INDEX('Metabase Lookup'!$D:$D,MATCH(B467,'Metabase Lookup'!$A:$A,0))))</f>
        <v/>
      </c>
      <c r="Y467" s="14">
        <f>IF(ISNUMBER(W467),IF(W467&gt;0,"Yes","No"),"Pending")</f>
        <v/>
      </c>
      <c r="Z467" s="14" t="inlineStr"/>
    </row>
    <row r="468">
      <c r="A468" s="14" t="n">
        <v>467</v>
      </c>
      <c r="B468" s="14" t="inlineStr">
        <is>
          <t>TNGDV2609126845835910</t>
        </is>
      </c>
      <c r="C468" s="15" t="inlineStr">
        <is>
          <t>269452617799</t>
        </is>
      </c>
      <c r="D468" s="16" t="n">
        <v>46291.55486111111</v>
      </c>
      <c r="E468" s="17" t="n">
        <v>46291</v>
      </c>
      <c r="F468" s="14" t="inlineStr">
        <is>
          <t>Sat</t>
        </is>
      </c>
      <c r="G468" s="14" t="inlineStr">
        <is>
          <t>KV</t>
        </is>
      </c>
      <c r="H468" s="14" t="inlineStr">
        <is>
          <t>CKT</t>
        </is>
      </c>
      <c r="I468" s="14" t="inlineStr">
        <is>
          <t>ARVINDRAN SHANMUGAM</t>
        </is>
      </c>
      <c r="J468" s="14" t="inlineStr">
        <is>
          <t>Name only (no hub/code)</t>
        </is>
      </c>
      <c r="K468" s="14" t="inlineStr">
        <is>
          <t>91820377</t>
        </is>
      </c>
      <c r="L468" s="14" t="n">
        <v>1</v>
      </c>
      <c r="M468" s="14" t="inlineStr">
        <is>
          <t>LM</t>
        </is>
      </c>
      <c r="N468" s="14" t="inlineStr">
        <is>
          <t>Fake Success</t>
        </is>
      </c>
      <c r="O468" s="14" t="inlineStr"/>
      <c r="P468" s="14" t="inlineStr"/>
      <c r="Q468" s="14" t="inlineStr"/>
      <c r="R468" s="14" t="inlineStr">
        <is>
          <t>Pod invalid (no call log/WS respond). Done retrieve, revert status and resume delivery to the correct address</t>
        </is>
      </c>
      <c r="S468" s="14" t="inlineStr">
        <is>
          <t>Syaza</t>
        </is>
      </c>
      <c r="T468" s="14">
        <f>COUNTIF($B$2:$B$499,B468)</f>
        <v/>
      </c>
      <c r="U468" s="14">
        <f>COUNTIF($I$2:$I$499,I468)</f>
        <v/>
      </c>
      <c r="V468" s="14">
        <f>IF(ISNA(MATCH(B468,'Metabase Lookup'!$A:$A,0)),"Not found",IF(INDEX('Metabase Lookup'!$B:$B,MATCH(B468,'Metabase Lookup'!$A:$A,0))="","Pending",INDEX('Metabase Lookup'!$B:$B,MATCH(B468,'Metabase Lookup'!$A:$A,0))))</f>
        <v/>
      </c>
      <c r="W468" s="14">
        <f>IF(ISNA(MATCH(B468,'Metabase Lookup'!$A:$A,0)),"Not found",IF(INDEX('Metabase Lookup'!$C:$C,MATCH(B468,'Metabase Lookup'!$A:$A,0))="","Pending",INDEX('Metabase Lookup'!$C:$C,MATCH(B468,'Metabase Lookup'!$A:$A,0))))</f>
        <v/>
      </c>
      <c r="X468" s="14">
        <f>IF(ISNA(MATCH(B468,'Metabase Lookup'!$A:$A,0)),"",IF(INDEX('Metabase Lookup'!$D:$D,MATCH(B468,'Metabase Lookup'!$A:$A,0))="","",INDEX('Metabase Lookup'!$D:$D,MATCH(B468,'Metabase Lookup'!$A:$A,0))))</f>
        <v/>
      </c>
      <c r="Y468" s="14">
        <f>IF(ISNUMBER(W468),IF(W468&gt;0,"Yes","No"),"Pending")</f>
        <v/>
      </c>
      <c r="Z468" s="14" t="inlineStr"/>
    </row>
    <row r="469">
      <c r="A469" s="14" t="n">
        <v>468</v>
      </c>
      <c r="B469" s="14" t="inlineStr">
        <is>
          <t>NVMYMYRAM000074165</t>
        </is>
      </c>
      <c r="C469" s="15" t="inlineStr">
        <is>
          <t>269392694015</t>
        </is>
      </c>
      <c r="D469" s="16" t="n">
        <v>46291.5624537037</v>
      </c>
      <c r="E469" s="17" t="n">
        <v>46291</v>
      </c>
      <c r="F469" s="14" t="inlineStr">
        <is>
          <t>Sat</t>
        </is>
      </c>
      <c r="G469" s="14" t="inlineStr">
        <is>
          <t>Southern</t>
        </is>
      </c>
      <c r="H469" s="14" t="inlineStr">
        <is>
          <t>GMR</t>
        </is>
      </c>
      <c r="I469" s="14" t="inlineStr">
        <is>
          <t>GMR - ID - FARHAN</t>
        </is>
      </c>
      <c r="J469" s="14" t="inlineStr">
        <is>
          <t>ID (named driver)</t>
        </is>
      </c>
      <c r="K469" s="14" t="inlineStr">
        <is>
          <t>91881967</t>
        </is>
      </c>
      <c r="L469" s="14" t="n">
        <v>1</v>
      </c>
      <c r="M469" s="14" t="inlineStr">
        <is>
          <t>LM</t>
        </is>
      </c>
      <c r="N469" s="14" t="inlineStr">
        <is>
          <t>Fake Fail</t>
        </is>
      </c>
      <c r="O469" s="14" t="inlineStr">
        <is>
          <t>No call / call log missing</t>
        </is>
      </c>
      <c r="P469" s="14" t="inlineStr">
        <is>
          <t>No</t>
        </is>
      </c>
      <c r="Q469" s="14" t="inlineStr">
        <is>
          <t>No</t>
        </is>
      </c>
      <c r="R469" s="14" t="inlineStr">
        <is>
          <t>no call log</t>
        </is>
      </c>
      <c r="S469" s="14" t="inlineStr">
        <is>
          <t>Abdul</t>
        </is>
      </c>
      <c r="T469" s="14">
        <f>COUNTIF($B$2:$B$499,B469)</f>
        <v/>
      </c>
      <c r="U469" s="14">
        <f>COUNTIF($I$2:$I$499,I469)</f>
        <v/>
      </c>
      <c r="V469" s="14">
        <f>IF(ISNA(MATCH(B469,'Metabase Lookup'!$A:$A,0)),"Not found",IF(INDEX('Metabase Lookup'!$B:$B,MATCH(B469,'Metabase Lookup'!$A:$A,0))="","Pending",INDEX('Metabase Lookup'!$B:$B,MATCH(B469,'Metabase Lookup'!$A:$A,0))))</f>
        <v/>
      </c>
      <c r="W469" s="14">
        <f>IF(ISNA(MATCH(B469,'Metabase Lookup'!$A:$A,0)),"Not found",IF(INDEX('Metabase Lookup'!$C:$C,MATCH(B469,'Metabase Lookup'!$A:$A,0))="","Pending",INDEX('Metabase Lookup'!$C:$C,MATCH(B469,'Metabase Lookup'!$A:$A,0))))</f>
        <v/>
      </c>
      <c r="X469" s="14">
        <f>IF(ISNA(MATCH(B469,'Metabase Lookup'!$A:$A,0)),"",IF(INDEX('Metabase Lookup'!$D:$D,MATCH(B469,'Metabase Lookup'!$A:$A,0))="","",INDEX('Metabase Lookup'!$D:$D,MATCH(B469,'Metabase Lookup'!$A:$A,0))))</f>
        <v/>
      </c>
      <c r="Y469" s="14">
        <f>IF(ISNUMBER(W469),IF(W469&gt;0,"Yes","No"),"Pending")</f>
        <v/>
      </c>
      <c r="Z469" s="14" t="inlineStr">
        <is>
          <t>TID had stray spaces/line breaks (cleaned)</t>
        </is>
      </c>
    </row>
    <row r="470">
      <c r="A470" s="14" t="n">
        <v>469</v>
      </c>
      <c r="B470" s="14" t="inlineStr">
        <is>
          <t>TNGDV2609186908204390</t>
        </is>
      </c>
      <c r="C470" s="15" t="inlineStr">
        <is>
          <t>262142690920</t>
        </is>
      </c>
      <c r="D470" s="16" t="n">
        <v>46291.57299768519</v>
      </c>
      <c r="E470" s="17" t="n">
        <v>46291</v>
      </c>
      <c r="F470" s="14" t="inlineStr">
        <is>
          <t>Sat</t>
        </is>
      </c>
      <c r="G470" s="14" t="inlineStr">
        <is>
          <t>East MY</t>
        </is>
      </c>
      <c r="H470" s="14" t="inlineStr">
        <is>
          <t>MYY</t>
        </is>
      </c>
      <c r="I470" s="14" t="inlineStr">
        <is>
          <t>MYY - NV ADDRESS</t>
        </is>
      </c>
      <c r="J470" s="14" t="inlineStr">
        <is>
          <t>Name only (no hub/code)</t>
        </is>
      </c>
      <c r="K470" s="14" t="inlineStr">
        <is>
          <t>91887363</t>
        </is>
      </c>
      <c r="L470" s="14" t="n">
        <v>1</v>
      </c>
      <c r="M470" s="14" t="inlineStr">
        <is>
          <t>LM</t>
        </is>
      </c>
      <c r="N470" s="14" t="inlineStr">
        <is>
          <t>Fake Fail</t>
        </is>
      </c>
      <c r="O470" s="14" t="inlineStr">
        <is>
          <t>Wrong number called</t>
        </is>
      </c>
      <c r="P470" s="14" t="inlineStr">
        <is>
          <t>No</t>
        </is>
      </c>
      <c r="Q470" s="14" t="inlineStr">
        <is>
          <t>No</t>
        </is>
      </c>
      <c r="R470" s="14" t="inlineStr">
        <is>
          <t>call log attach is not belong to customer</t>
        </is>
      </c>
      <c r="S470" s="14" t="inlineStr">
        <is>
          <t>Zati</t>
        </is>
      </c>
      <c r="T470" s="14">
        <f>COUNTIF($B$2:$B$499,B470)</f>
        <v/>
      </c>
      <c r="U470" s="14">
        <f>COUNTIF($I$2:$I$499,I470)</f>
        <v/>
      </c>
      <c r="V470" s="14">
        <f>IF(ISNA(MATCH(B470,'Metabase Lookup'!$A:$A,0)),"Not found",IF(INDEX('Metabase Lookup'!$B:$B,MATCH(B470,'Metabase Lookup'!$A:$A,0))="","Pending",INDEX('Metabase Lookup'!$B:$B,MATCH(B470,'Metabase Lookup'!$A:$A,0))))</f>
        <v/>
      </c>
      <c r="W470" s="14">
        <f>IF(ISNA(MATCH(B470,'Metabase Lookup'!$A:$A,0)),"Not found",IF(INDEX('Metabase Lookup'!$C:$C,MATCH(B470,'Metabase Lookup'!$A:$A,0))="","Pending",INDEX('Metabase Lookup'!$C:$C,MATCH(B470,'Metabase Lookup'!$A:$A,0))))</f>
        <v/>
      </c>
      <c r="X470" s="14">
        <f>IF(ISNA(MATCH(B470,'Metabase Lookup'!$A:$A,0)),"",IF(INDEX('Metabase Lookup'!$D:$D,MATCH(B470,'Metabase Lookup'!$A:$A,0))="","",INDEX('Metabase Lookup'!$D:$D,MATCH(B470,'Metabase Lookup'!$A:$A,0))))</f>
        <v/>
      </c>
      <c r="Y470" s="14">
        <f>IF(ISNUMBER(W470),IF(W470&gt;0,"Yes","No"),"Pending")</f>
        <v/>
      </c>
      <c r="Z470" s="14" t="inlineStr"/>
    </row>
    <row r="471">
      <c r="A471" s="14" t="n">
        <v>470</v>
      </c>
      <c r="B471" s="14" t="inlineStr">
        <is>
          <t>AEMYA000632784</t>
        </is>
      </c>
      <c r="C471" s="15" t="inlineStr">
        <is>
          <t>266712690186</t>
        </is>
      </c>
      <c r="D471" s="16" t="n">
        <v>46291.57892361111</v>
      </c>
      <c r="E471" s="17" t="n">
        <v>46291</v>
      </c>
      <c r="F471" s="14" t="inlineStr">
        <is>
          <t>Sat</t>
        </is>
      </c>
      <c r="G471" s="14" t="inlineStr">
        <is>
          <t>KV</t>
        </is>
      </c>
      <c r="H471" s="14" t="inlineStr">
        <is>
          <t>OUG</t>
        </is>
      </c>
      <c r="I471" s="14" t="inlineStr">
        <is>
          <t>OPS - OUG</t>
        </is>
      </c>
      <c r="J471" s="14" t="inlineStr">
        <is>
          <t>OPS (generic hub account)</t>
        </is>
      </c>
      <c r="K471" s="14" t="inlineStr">
        <is>
          <t>91877498</t>
        </is>
      </c>
      <c r="L471" s="14" t="n">
        <v>1</v>
      </c>
      <c r="M471" s="14" t="inlineStr">
        <is>
          <t>LM</t>
        </is>
      </c>
      <c r="N471" s="14" t="inlineStr">
        <is>
          <t>Fake Fail</t>
        </is>
      </c>
      <c r="O471" s="14" t="inlineStr">
        <is>
          <t>No call / call log missing</t>
        </is>
      </c>
      <c r="P471" s="14" t="inlineStr">
        <is>
          <t>No</t>
        </is>
      </c>
      <c r="Q471" s="14" t="inlineStr">
        <is>
          <t>No</t>
        </is>
      </c>
      <c r="R471" s="14" t="inlineStr">
        <is>
          <t>The driver did not call the customer. Based on the attached call log, there was only one call attempt recorded.</t>
        </is>
      </c>
      <c r="S471" s="14" t="inlineStr">
        <is>
          <t>Zati</t>
        </is>
      </c>
      <c r="T471" s="14">
        <f>COUNTIF($B$2:$B$499,B471)</f>
        <v/>
      </c>
      <c r="U471" s="14">
        <f>COUNTIF($I$2:$I$499,I471)</f>
        <v/>
      </c>
      <c r="V471" s="14">
        <f>IF(ISNA(MATCH(B471,'Metabase Lookup'!$A:$A,0)),"Not found",IF(INDEX('Metabase Lookup'!$B:$B,MATCH(B471,'Metabase Lookup'!$A:$A,0))="","Pending",INDEX('Metabase Lookup'!$B:$B,MATCH(B471,'Metabase Lookup'!$A:$A,0))))</f>
        <v/>
      </c>
      <c r="W471" s="14">
        <f>IF(ISNA(MATCH(B471,'Metabase Lookup'!$A:$A,0)),"Not found",IF(INDEX('Metabase Lookup'!$C:$C,MATCH(B471,'Metabase Lookup'!$A:$A,0))="","Pending",INDEX('Metabase Lookup'!$C:$C,MATCH(B471,'Metabase Lookup'!$A:$A,0))))</f>
        <v/>
      </c>
      <c r="X471" s="14">
        <f>IF(ISNA(MATCH(B471,'Metabase Lookup'!$A:$A,0)),"",IF(INDEX('Metabase Lookup'!$D:$D,MATCH(B471,'Metabase Lookup'!$A:$A,0))="","",INDEX('Metabase Lookup'!$D:$D,MATCH(B471,'Metabase Lookup'!$A:$A,0))))</f>
        <v/>
      </c>
      <c r="Y471" s="14">
        <f>IF(ISNUMBER(W471),IF(W471&gt;0,"Yes","No"),"Pending")</f>
        <v/>
      </c>
      <c r="Z471" s="14" t="inlineStr">
        <is>
          <t>Driver not identified (OPS account)</t>
        </is>
      </c>
    </row>
    <row r="472">
      <c r="A472" s="14" t="n">
        <v>471</v>
      </c>
      <c r="B472" s="14" t="inlineStr">
        <is>
          <t>MAILB1552598312402010112</t>
        </is>
      </c>
      <c r="C472" s="15" t="inlineStr">
        <is>
          <t>263812694937</t>
        </is>
      </c>
      <c r="D472" s="16" t="n">
        <v>46291.60921296296</v>
      </c>
      <c r="E472" s="17" t="n">
        <v>46291</v>
      </c>
      <c r="F472" s="14" t="inlineStr">
        <is>
          <t>Sat</t>
        </is>
      </c>
      <c r="G472" s="14" t="inlineStr">
        <is>
          <t>KV</t>
        </is>
      </c>
      <c r="H472" s="14" t="inlineStr">
        <is>
          <t>DSA</t>
        </is>
      </c>
      <c r="I472" s="14" t="inlineStr">
        <is>
          <t>OPS - DSA</t>
        </is>
      </c>
      <c r="J472" s="14" t="inlineStr">
        <is>
          <t>OPS (generic hub account)</t>
        </is>
      </c>
      <c r="K472" s="14" t="inlineStr">
        <is>
          <t>91894949</t>
        </is>
      </c>
      <c r="L472" s="14" t="n">
        <v>1</v>
      </c>
      <c r="M472" s="14" t="inlineStr">
        <is>
          <t>LM</t>
        </is>
      </c>
      <c r="N472" s="14" t="inlineStr">
        <is>
          <t>Fake Fail</t>
        </is>
      </c>
      <c r="O472" s="14" t="inlineStr">
        <is>
          <t>No call / call log missing</t>
        </is>
      </c>
      <c r="P472" s="14" t="inlineStr">
        <is>
          <t>No</t>
        </is>
      </c>
      <c r="Q472" s="14" t="inlineStr">
        <is>
          <t>No</t>
        </is>
      </c>
      <c r="R472" s="14" t="inlineStr">
        <is>
          <t>driver not call the customer and no call log attach</t>
        </is>
      </c>
      <c r="S472" s="14" t="inlineStr">
        <is>
          <t>Zati</t>
        </is>
      </c>
      <c r="T472" s="14">
        <f>COUNTIF($B$2:$B$499,B472)</f>
        <v/>
      </c>
      <c r="U472" s="14">
        <f>COUNTIF($I$2:$I$499,I472)</f>
        <v/>
      </c>
      <c r="V472" s="14">
        <f>IF(ISNA(MATCH(B472,'Metabase Lookup'!$A:$A,0)),"Not found",IF(INDEX('Metabase Lookup'!$B:$B,MATCH(B472,'Metabase Lookup'!$A:$A,0))="","Pending",INDEX('Metabase Lookup'!$B:$B,MATCH(B472,'Metabase Lookup'!$A:$A,0))))</f>
        <v/>
      </c>
      <c r="W472" s="14">
        <f>IF(ISNA(MATCH(B472,'Metabase Lookup'!$A:$A,0)),"Not found",IF(INDEX('Metabase Lookup'!$C:$C,MATCH(B472,'Metabase Lookup'!$A:$A,0))="","Pending",INDEX('Metabase Lookup'!$C:$C,MATCH(B472,'Metabase Lookup'!$A:$A,0))))</f>
        <v/>
      </c>
      <c r="X472" s="14">
        <f>IF(ISNA(MATCH(B472,'Metabase Lookup'!$A:$A,0)),"",IF(INDEX('Metabase Lookup'!$D:$D,MATCH(B472,'Metabase Lookup'!$A:$A,0))="","",INDEX('Metabase Lookup'!$D:$D,MATCH(B472,'Metabase Lookup'!$A:$A,0))))</f>
        <v/>
      </c>
      <c r="Y472" s="14">
        <f>IF(ISNUMBER(W472),IF(W472&gt;0,"Yes","No"),"Pending")</f>
        <v/>
      </c>
      <c r="Z472" s="14" t="inlineStr">
        <is>
          <t>Driver not identified (OPS account)</t>
        </is>
      </c>
    </row>
    <row r="473">
      <c r="A473" s="14" t="n">
        <v>472</v>
      </c>
      <c r="B473" s="14" t="inlineStr">
        <is>
          <t>AEMYA000639251</t>
        </is>
      </c>
      <c r="C473" s="15" t="inlineStr">
        <is>
          <t>266452692970</t>
        </is>
      </c>
      <c r="D473" s="16" t="n">
        <v>46291.63359953704</v>
      </c>
      <c r="E473" s="17" t="n">
        <v>46291</v>
      </c>
      <c r="F473" s="14" t="inlineStr">
        <is>
          <t>Sat</t>
        </is>
      </c>
      <c r="G473" s="14" t="inlineStr">
        <is>
          <t>Southern</t>
        </is>
      </c>
      <c r="H473" s="14" t="inlineStr">
        <is>
          <t>GLG</t>
        </is>
      </c>
      <c r="I473" s="14" t="inlineStr">
        <is>
          <t>GLG - OPS - ENGKU</t>
        </is>
      </c>
      <c r="J473" s="14" t="inlineStr">
        <is>
          <t>OPS (generic hub account)</t>
        </is>
      </c>
      <c r="K473" s="14" t="inlineStr">
        <is>
          <t>91894977</t>
        </is>
      </c>
      <c r="L473" s="14" t="n">
        <v>1</v>
      </c>
      <c r="M473" s="14" t="inlineStr">
        <is>
          <t>LM</t>
        </is>
      </c>
      <c r="N473" s="14" t="inlineStr">
        <is>
          <t>Fake Fail</t>
        </is>
      </c>
      <c r="O473" s="14" t="inlineStr">
        <is>
          <t>No call / call log missing</t>
        </is>
      </c>
      <c r="P473" s="14" t="inlineStr">
        <is>
          <t>No</t>
        </is>
      </c>
      <c r="Q473" s="14" t="inlineStr">
        <is>
          <t>No</t>
        </is>
      </c>
      <c r="R473" s="14" t="inlineStr">
        <is>
          <t>no cll log or whatsapp attach</t>
        </is>
      </c>
      <c r="S473" s="14" t="inlineStr">
        <is>
          <t>Zati</t>
        </is>
      </c>
      <c r="T473" s="14">
        <f>COUNTIF($B$2:$B$499,B473)</f>
        <v/>
      </c>
      <c r="U473" s="14">
        <f>COUNTIF($I$2:$I$499,I473)</f>
        <v/>
      </c>
      <c r="V473" s="14">
        <f>IF(ISNA(MATCH(B473,'Metabase Lookup'!$A:$A,0)),"Not found",IF(INDEX('Metabase Lookup'!$B:$B,MATCH(B473,'Metabase Lookup'!$A:$A,0))="","Pending",INDEX('Metabase Lookup'!$B:$B,MATCH(B473,'Metabase Lookup'!$A:$A,0))))</f>
        <v/>
      </c>
      <c r="W473" s="14">
        <f>IF(ISNA(MATCH(B473,'Metabase Lookup'!$A:$A,0)),"Not found",IF(INDEX('Metabase Lookup'!$C:$C,MATCH(B473,'Metabase Lookup'!$A:$A,0))="","Pending",INDEX('Metabase Lookup'!$C:$C,MATCH(B473,'Metabase Lookup'!$A:$A,0))))</f>
        <v/>
      </c>
      <c r="X473" s="14">
        <f>IF(ISNA(MATCH(B473,'Metabase Lookup'!$A:$A,0)),"",IF(INDEX('Metabase Lookup'!$D:$D,MATCH(B473,'Metabase Lookup'!$A:$A,0))="","",INDEX('Metabase Lookup'!$D:$D,MATCH(B473,'Metabase Lookup'!$A:$A,0))))</f>
        <v/>
      </c>
      <c r="Y473" s="14">
        <f>IF(ISNUMBER(W473),IF(W473&gt;0,"Yes","No"),"Pending")</f>
        <v/>
      </c>
      <c r="Z473" s="14" t="inlineStr">
        <is>
          <t>Driver not identified (OPS account)</t>
        </is>
      </c>
    </row>
    <row r="474">
      <c r="A474" s="14" t="n">
        <v>473</v>
      </c>
      <c r="B474" s="14" t="inlineStr">
        <is>
          <t>NVMYREMDR000001209</t>
        </is>
      </c>
      <c r="C474" s="15" t="inlineStr">
        <is>
          <t>269842693625</t>
        </is>
      </c>
      <c r="D474" s="16" t="n">
        <v>46291.63453703704</v>
      </c>
      <c r="E474" s="17" t="n">
        <v>46291</v>
      </c>
      <c r="F474" s="14" t="inlineStr">
        <is>
          <t>Sat</t>
        </is>
      </c>
      <c r="G474" s="14" t="inlineStr">
        <is>
          <t>Southern</t>
        </is>
      </c>
      <c r="H474" s="14" t="inlineStr">
        <is>
          <t>KEM</t>
        </is>
      </c>
      <c r="I474" s="14" t="inlineStr">
        <is>
          <t>OPS - KEM</t>
        </is>
      </c>
      <c r="J474" s="14" t="inlineStr">
        <is>
          <t>OPS (generic hub account)</t>
        </is>
      </c>
      <c r="K474" s="14" t="inlineStr">
        <is>
          <t>91883290</t>
        </is>
      </c>
      <c r="L474" s="14" t="n">
        <v>1</v>
      </c>
      <c r="M474" s="14" t="inlineStr">
        <is>
          <t>LM</t>
        </is>
      </c>
      <c r="N474" s="14" t="inlineStr">
        <is>
          <t>Fake Fail</t>
        </is>
      </c>
      <c r="O474" s="14" t="inlineStr">
        <is>
          <t>No call / call log missing</t>
        </is>
      </c>
      <c r="P474" s="14" t="inlineStr">
        <is>
          <t>No</t>
        </is>
      </c>
      <c r="Q474" s="14" t="inlineStr">
        <is>
          <t>No</t>
        </is>
      </c>
      <c r="R474" s="14" t="inlineStr">
        <is>
          <t>no call log</t>
        </is>
      </c>
      <c r="S474" s="14" t="inlineStr">
        <is>
          <t>Abdul</t>
        </is>
      </c>
      <c r="T474" s="14">
        <f>COUNTIF($B$2:$B$499,B474)</f>
        <v/>
      </c>
      <c r="U474" s="14">
        <f>COUNTIF($I$2:$I$499,I474)</f>
        <v/>
      </c>
      <c r="V474" s="14">
        <f>IF(ISNA(MATCH(B474,'Metabase Lookup'!$A:$A,0)),"Not found",IF(INDEX('Metabase Lookup'!$B:$B,MATCH(B474,'Metabase Lookup'!$A:$A,0))="","Pending",INDEX('Metabase Lookup'!$B:$B,MATCH(B474,'Metabase Lookup'!$A:$A,0))))</f>
        <v/>
      </c>
      <c r="W474" s="14">
        <f>IF(ISNA(MATCH(B474,'Metabase Lookup'!$A:$A,0)),"Not found",IF(INDEX('Metabase Lookup'!$C:$C,MATCH(B474,'Metabase Lookup'!$A:$A,0))="","Pending",INDEX('Metabase Lookup'!$C:$C,MATCH(B474,'Metabase Lookup'!$A:$A,0))))</f>
        <v/>
      </c>
      <c r="X474" s="14">
        <f>IF(ISNA(MATCH(B474,'Metabase Lookup'!$A:$A,0)),"",IF(INDEX('Metabase Lookup'!$D:$D,MATCH(B474,'Metabase Lookup'!$A:$A,0))="","",INDEX('Metabase Lookup'!$D:$D,MATCH(B474,'Metabase Lookup'!$A:$A,0))))</f>
        <v/>
      </c>
      <c r="Y474" s="14">
        <f>IF(ISNUMBER(W474),IF(W474&gt;0,"Yes","No"),"Pending")</f>
        <v/>
      </c>
      <c r="Z474" s="14" t="inlineStr">
        <is>
          <t>Driver not identified (OPS account)</t>
        </is>
      </c>
    </row>
    <row r="475">
      <c r="A475" s="14" t="n">
        <v>474</v>
      </c>
      <c r="B475" s="14" t="inlineStr">
        <is>
          <t>NVMYPZXMS000048335</t>
        </is>
      </c>
      <c r="C475" s="15" t="inlineStr">
        <is>
          <t>269622699040</t>
        </is>
      </c>
      <c r="D475" s="16" t="n">
        <v>46291.63831018518</v>
      </c>
      <c r="E475" s="17" t="n">
        <v>46291</v>
      </c>
      <c r="F475" s="14" t="inlineStr">
        <is>
          <t>Sat</t>
        </is>
      </c>
      <c r="G475" s="14" t="inlineStr">
        <is>
          <t>KV</t>
        </is>
      </c>
      <c r="H475" s="14" t="inlineStr">
        <is>
          <t>KSR</t>
        </is>
      </c>
      <c r="I475" s="14" t="inlineStr">
        <is>
          <t>KSR - ID - AZRI</t>
        </is>
      </c>
      <c r="J475" s="14" t="inlineStr">
        <is>
          <t>ID (named driver)</t>
        </is>
      </c>
      <c r="K475" s="14" t="inlineStr">
        <is>
          <t>91881225</t>
        </is>
      </c>
      <c r="L475" s="14" t="n">
        <v>1</v>
      </c>
      <c r="M475" s="14" t="inlineStr">
        <is>
          <t>LM</t>
        </is>
      </c>
      <c r="N475" s="14" t="inlineStr">
        <is>
          <t>Fake Fail</t>
        </is>
      </c>
      <c r="O475" s="14" t="inlineStr">
        <is>
          <t>Invalid location / site photo</t>
        </is>
      </c>
      <c r="P475" s="14" t="inlineStr">
        <is>
          <t>Yes</t>
        </is>
      </c>
      <c r="Q475" s="14" t="inlineStr">
        <is>
          <t>No</t>
        </is>
      </c>
      <c r="R475" s="14" t="inlineStr">
        <is>
          <t>driver reach at wrong location</t>
        </is>
      </c>
      <c r="S475" s="14" t="inlineStr">
        <is>
          <t>Abdul</t>
        </is>
      </c>
      <c r="T475" s="14">
        <f>COUNTIF($B$2:$B$499,B475)</f>
        <v/>
      </c>
      <c r="U475" s="14">
        <f>COUNTIF($I$2:$I$499,I475)</f>
        <v/>
      </c>
      <c r="V475" s="14">
        <f>IF(ISNA(MATCH(B475,'Metabase Lookup'!$A:$A,0)),"Not found",IF(INDEX('Metabase Lookup'!$B:$B,MATCH(B475,'Metabase Lookup'!$A:$A,0))="","Pending",INDEX('Metabase Lookup'!$B:$B,MATCH(B475,'Metabase Lookup'!$A:$A,0))))</f>
        <v/>
      </c>
      <c r="W475" s="14">
        <f>IF(ISNA(MATCH(B475,'Metabase Lookup'!$A:$A,0)),"Not found",IF(INDEX('Metabase Lookup'!$C:$C,MATCH(B475,'Metabase Lookup'!$A:$A,0))="","Pending",INDEX('Metabase Lookup'!$C:$C,MATCH(B475,'Metabase Lookup'!$A:$A,0))))</f>
        <v/>
      </c>
      <c r="X475" s="14">
        <f>IF(ISNA(MATCH(B475,'Metabase Lookup'!$A:$A,0)),"",IF(INDEX('Metabase Lookup'!$D:$D,MATCH(B475,'Metabase Lookup'!$A:$A,0))="","",INDEX('Metabase Lookup'!$D:$D,MATCH(B475,'Metabase Lookup'!$A:$A,0))))</f>
        <v/>
      </c>
      <c r="Y475" s="14">
        <f>IF(ISNUMBER(W475),IF(W475&gt;0,"Yes","No"),"Pending")</f>
        <v/>
      </c>
      <c r="Z475" s="14" t="inlineStr"/>
    </row>
    <row r="476">
      <c r="A476" s="14" t="n">
        <v>475</v>
      </c>
      <c r="B476" s="14" t="inlineStr">
        <is>
          <t>MYNJV70098335768</t>
        </is>
      </c>
      <c r="C476" s="15" t="inlineStr">
        <is>
          <t>269522693333</t>
        </is>
      </c>
      <c r="D476" s="16" t="n">
        <v>46291.64166666667</v>
      </c>
      <c r="E476" s="17" t="n">
        <v>46291</v>
      </c>
      <c r="F476" s="14" t="inlineStr">
        <is>
          <t>Sat</t>
        </is>
      </c>
      <c r="G476" s="14" t="inlineStr">
        <is>
          <t>KV</t>
        </is>
      </c>
      <c r="H476" s="14" t="inlineStr">
        <is>
          <t>OUG</t>
        </is>
      </c>
      <c r="I476" s="14" t="inlineStr">
        <is>
          <t>OPS - OUG</t>
        </is>
      </c>
      <c r="J476" s="14" t="inlineStr">
        <is>
          <t>OPS (generic hub account)</t>
        </is>
      </c>
      <c r="K476" s="14" t="inlineStr">
        <is>
          <t>91894847</t>
        </is>
      </c>
      <c r="L476" s="14" t="n">
        <v>1</v>
      </c>
      <c r="M476" s="14" t="inlineStr">
        <is>
          <t>LM</t>
        </is>
      </c>
      <c r="N476" s="14" t="inlineStr">
        <is>
          <t>Fake Fail</t>
        </is>
      </c>
      <c r="O476" s="14" t="inlineStr">
        <is>
          <t>Wrong number called</t>
        </is>
      </c>
      <c r="P476" s="14" t="inlineStr">
        <is>
          <t>No</t>
        </is>
      </c>
      <c r="Q476" s="14" t="inlineStr">
        <is>
          <t>No</t>
        </is>
      </c>
      <c r="R476" s="14" t="inlineStr">
        <is>
          <t>call wrong number</t>
        </is>
      </c>
      <c r="S476" s="14" t="inlineStr">
        <is>
          <t>Abdul</t>
        </is>
      </c>
      <c r="T476" s="14">
        <f>COUNTIF($B$2:$B$499,B476)</f>
        <v/>
      </c>
      <c r="U476" s="14">
        <f>COUNTIF($I$2:$I$499,I476)</f>
        <v/>
      </c>
      <c r="V476" s="14">
        <f>IF(ISNA(MATCH(B476,'Metabase Lookup'!$A:$A,0)),"Not found",IF(INDEX('Metabase Lookup'!$B:$B,MATCH(B476,'Metabase Lookup'!$A:$A,0))="","Pending",INDEX('Metabase Lookup'!$B:$B,MATCH(B476,'Metabase Lookup'!$A:$A,0))))</f>
        <v/>
      </c>
      <c r="W476" s="14">
        <f>IF(ISNA(MATCH(B476,'Metabase Lookup'!$A:$A,0)),"Not found",IF(INDEX('Metabase Lookup'!$C:$C,MATCH(B476,'Metabase Lookup'!$A:$A,0))="","Pending",INDEX('Metabase Lookup'!$C:$C,MATCH(B476,'Metabase Lookup'!$A:$A,0))))</f>
        <v/>
      </c>
      <c r="X476" s="14">
        <f>IF(ISNA(MATCH(B476,'Metabase Lookup'!$A:$A,0)),"",IF(INDEX('Metabase Lookup'!$D:$D,MATCH(B476,'Metabase Lookup'!$A:$A,0))="","",INDEX('Metabase Lookup'!$D:$D,MATCH(B476,'Metabase Lookup'!$A:$A,0))))</f>
        <v/>
      </c>
      <c r="Y476" s="14">
        <f>IF(ISNUMBER(W476),IF(W476&gt;0,"Yes","No"),"Pending")</f>
        <v/>
      </c>
      <c r="Z476" s="14" t="inlineStr">
        <is>
          <t>Driver not identified (OPS account)</t>
        </is>
      </c>
    </row>
    <row r="477">
      <c r="A477" s="14" t="n">
        <v>476</v>
      </c>
      <c r="B477" s="14" t="inlineStr">
        <is>
          <t>TNGDV2609186906917950</t>
        </is>
      </c>
      <c r="C477" s="15" t="inlineStr">
        <is>
          <t>263112681758</t>
        </is>
      </c>
      <c r="D477" s="16" t="n">
        <v>46291.67611111111</v>
      </c>
      <c r="E477" s="17" t="n">
        <v>46291</v>
      </c>
      <c r="F477" s="14" t="inlineStr">
        <is>
          <t>Sat</t>
        </is>
      </c>
      <c r="G477" s="14" t="inlineStr">
        <is>
          <t>North East</t>
        </is>
      </c>
      <c r="H477" s="14" t="inlineStr">
        <is>
          <t>MRG</t>
        </is>
      </c>
      <c r="I477" s="14" t="inlineStr">
        <is>
          <t>MRG - ID - NAZIHAH</t>
        </is>
      </c>
      <c r="J477" s="14" t="inlineStr">
        <is>
          <t>ID (named driver)</t>
        </is>
      </c>
      <c r="K477" s="14" t="inlineStr">
        <is>
          <t>91874311</t>
        </is>
      </c>
      <c r="L477" s="14" t="n">
        <v>1</v>
      </c>
      <c r="M477" s="14" t="inlineStr">
        <is>
          <t>LM</t>
        </is>
      </c>
      <c r="N477" s="14" t="inlineStr">
        <is>
          <t>Fake Success</t>
        </is>
      </c>
      <c r="O477" s="14" t="inlineStr"/>
      <c r="P477" s="14" t="inlineStr"/>
      <c r="Q477" s="14" t="inlineStr"/>
      <c r="R477" s="14" t="inlineStr">
        <is>
          <t>invalid pod-cust didnt recieved</t>
        </is>
      </c>
      <c r="S477" s="14" t="inlineStr">
        <is>
          <t>Abdul</t>
        </is>
      </c>
      <c r="T477" s="14">
        <f>COUNTIF($B$2:$B$499,B477)</f>
        <v/>
      </c>
      <c r="U477" s="14">
        <f>COUNTIF($I$2:$I$499,I477)</f>
        <v/>
      </c>
      <c r="V477" s="14">
        <f>IF(ISNA(MATCH(B477,'Metabase Lookup'!$A:$A,0)),"Not found",IF(INDEX('Metabase Lookup'!$B:$B,MATCH(B477,'Metabase Lookup'!$A:$A,0))="","Pending",INDEX('Metabase Lookup'!$B:$B,MATCH(B477,'Metabase Lookup'!$A:$A,0))))</f>
        <v/>
      </c>
      <c r="W477" s="14">
        <f>IF(ISNA(MATCH(B477,'Metabase Lookup'!$A:$A,0)),"Not found",IF(INDEX('Metabase Lookup'!$C:$C,MATCH(B477,'Metabase Lookup'!$A:$A,0))="","Pending",INDEX('Metabase Lookup'!$C:$C,MATCH(B477,'Metabase Lookup'!$A:$A,0))))</f>
        <v/>
      </c>
      <c r="X477" s="14">
        <f>IF(ISNA(MATCH(B477,'Metabase Lookup'!$A:$A,0)),"",IF(INDEX('Metabase Lookup'!$D:$D,MATCH(B477,'Metabase Lookup'!$A:$A,0))="","",INDEX('Metabase Lookup'!$D:$D,MATCH(B477,'Metabase Lookup'!$A:$A,0))))</f>
        <v/>
      </c>
      <c r="Y477" s="14">
        <f>IF(ISNUMBER(W477),IF(W477&gt;0,"Yes","No"),"Pending")</f>
        <v/>
      </c>
      <c r="Z477" s="14" t="inlineStr">
        <is>
          <t>TID had stray spaces/line breaks (cleaned)</t>
        </is>
      </c>
    </row>
    <row r="478">
      <c r="A478" s="14" t="n">
        <v>477</v>
      </c>
      <c r="B478" s="14" t="inlineStr">
        <is>
          <t>EMY260282044KREMY260282024KREMY260282043KR</t>
        </is>
      </c>
      <c r="C478" s="15" t="inlineStr">
        <is>
          <t>262452672633</t>
        </is>
      </c>
      <c r="D478" s="16" t="n">
        <v>46291.67811342593</v>
      </c>
      <c r="E478" s="17" t="n">
        <v>46291</v>
      </c>
      <c r="F478" s="14" t="inlineStr">
        <is>
          <t>Sat</t>
        </is>
      </c>
      <c r="G478" s="14" t="inlineStr">
        <is>
          <t>Northern</t>
        </is>
      </c>
      <c r="H478" s="14" t="inlineStr">
        <is>
          <t>SIM</t>
        </is>
      </c>
      <c r="I478" s="14" t="inlineStr">
        <is>
          <t>SIM - ID - IMRANNN</t>
        </is>
      </c>
      <c r="J478" s="14" t="inlineStr">
        <is>
          <t>ID (named driver)</t>
        </is>
      </c>
      <c r="K478" s="14" t="inlineStr">
        <is>
          <t>91884443</t>
        </is>
      </c>
      <c r="L478" s="14" t="n">
        <v>1</v>
      </c>
      <c r="M478" s="14" t="inlineStr">
        <is>
          <t>LM</t>
        </is>
      </c>
      <c r="N478" s="14" t="inlineStr">
        <is>
          <t>Fake Success</t>
        </is>
      </c>
      <c r="O478" s="14" t="inlineStr"/>
      <c r="P478" s="14" t="inlineStr"/>
      <c r="Q478" s="14" t="inlineStr"/>
      <c r="R478" s="14" t="inlineStr">
        <is>
          <t>cust receives parcel sameday after she made a complaint</t>
        </is>
      </c>
      <c r="S478" s="14" t="inlineStr">
        <is>
          <t>Yana</t>
        </is>
      </c>
      <c r="T478" s="14">
        <f>COUNTIF($B$2:$B$499,B478)</f>
        <v/>
      </c>
      <c r="U478" s="14">
        <f>COUNTIF($I$2:$I$499,I478)</f>
        <v/>
      </c>
      <c r="V478" s="14">
        <f>IF(ISNA(MATCH(B478,'Metabase Lookup'!$A:$A,0)),"Not found",IF(INDEX('Metabase Lookup'!$B:$B,MATCH(B478,'Metabase Lookup'!$A:$A,0))="","Pending",INDEX('Metabase Lookup'!$B:$B,MATCH(B478,'Metabase Lookup'!$A:$A,0))))</f>
        <v/>
      </c>
      <c r="W478" s="14">
        <f>IF(ISNA(MATCH(B478,'Metabase Lookup'!$A:$A,0)),"Not found",IF(INDEX('Metabase Lookup'!$C:$C,MATCH(B478,'Metabase Lookup'!$A:$A,0))="","Pending",INDEX('Metabase Lookup'!$C:$C,MATCH(B478,'Metabase Lookup'!$A:$A,0))))</f>
        <v/>
      </c>
      <c r="X478" s="14">
        <f>IF(ISNA(MATCH(B478,'Metabase Lookup'!$A:$A,0)),"",IF(INDEX('Metabase Lookup'!$D:$D,MATCH(B478,'Metabase Lookup'!$A:$A,0))="","",INDEX('Metabase Lookup'!$D:$D,MATCH(B478,'Metabase Lookup'!$A:$A,0))))</f>
        <v/>
      </c>
      <c r="Y478" s="14">
        <f>IF(ISNUMBER(W478),IF(W478&gt;0,"Yes","No"),"Pending")</f>
        <v/>
      </c>
      <c r="Z478" s="14" t="inlineStr">
        <is>
          <t>TID had stray spaces/line breaks (cleaned)</t>
        </is>
      </c>
    </row>
    <row r="479">
      <c r="A479" s="14" t="n">
        <v>478</v>
      </c>
      <c r="B479" s="14" t="inlineStr">
        <is>
          <t>NVMYDOCMY000089670</t>
        </is>
      </c>
      <c r="C479" s="15" t="inlineStr">
        <is>
          <t>262692699404</t>
        </is>
      </c>
      <c r="D479" s="16" t="n">
        <v>46291.68238425926</v>
      </c>
      <c r="E479" s="17" t="n">
        <v>46291</v>
      </c>
      <c r="F479" s="14" t="inlineStr">
        <is>
          <t>Sat</t>
        </is>
      </c>
      <c r="G479" s="14" t="inlineStr">
        <is>
          <t>Northern</t>
        </is>
      </c>
      <c r="H479" s="14" t="inlineStr">
        <is>
          <t>JIT</t>
        </is>
      </c>
      <c r="I479" s="14" t="inlineStr">
        <is>
          <t>JIT - OPS - HUBJITRA</t>
        </is>
      </c>
      <c r="J479" s="14" t="inlineStr">
        <is>
          <t>OPS (generic hub account)</t>
        </is>
      </c>
      <c r="K479" s="14" t="inlineStr">
        <is>
          <t>91895018</t>
        </is>
      </c>
      <c r="L479" s="14" t="n">
        <v>1</v>
      </c>
      <c r="M479" s="14" t="inlineStr">
        <is>
          <t>LM</t>
        </is>
      </c>
      <c r="N479" s="14" t="inlineStr">
        <is>
          <t>Fake Fail</t>
        </is>
      </c>
      <c r="O479" s="14" t="inlineStr">
        <is>
          <t>Wrong number called</t>
        </is>
      </c>
      <c r="P479" s="14" t="inlineStr">
        <is>
          <t>No</t>
        </is>
      </c>
      <c r="Q479" s="14" t="inlineStr">
        <is>
          <t>No</t>
        </is>
      </c>
      <c r="R479" s="14" t="inlineStr">
        <is>
          <t>driver attach invald call log and not belong to customer</t>
        </is>
      </c>
      <c r="S479" s="14" t="inlineStr">
        <is>
          <t>Zati</t>
        </is>
      </c>
      <c r="T479" s="14">
        <f>COUNTIF($B$2:$B$499,B479)</f>
        <v/>
      </c>
      <c r="U479" s="14">
        <f>COUNTIF($I$2:$I$499,I479)</f>
        <v/>
      </c>
      <c r="V479" s="14">
        <f>IF(ISNA(MATCH(B479,'Metabase Lookup'!$A:$A,0)),"Not found",IF(INDEX('Metabase Lookup'!$B:$B,MATCH(B479,'Metabase Lookup'!$A:$A,0))="","Pending",INDEX('Metabase Lookup'!$B:$B,MATCH(B479,'Metabase Lookup'!$A:$A,0))))</f>
        <v/>
      </c>
      <c r="W479" s="14">
        <f>IF(ISNA(MATCH(B479,'Metabase Lookup'!$A:$A,0)),"Not found",IF(INDEX('Metabase Lookup'!$C:$C,MATCH(B479,'Metabase Lookup'!$A:$A,0))="","Pending",INDEX('Metabase Lookup'!$C:$C,MATCH(B479,'Metabase Lookup'!$A:$A,0))))</f>
        <v/>
      </c>
      <c r="X479" s="14">
        <f>IF(ISNA(MATCH(B479,'Metabase Lookup'!$A:$A,0)),"",IF(INDEX('Metabase Lookup'!$D:$D,MATCH(B479,'Metabase Lookup'!$A:$A,0))="","",INDEX('Metabase Lookup'!$D:$D,MATCH(B479,'Metabase Lookup'!$A:$A,0))))</f>
        <v/>
      </c>
      <c r="Y479" s="14">
        <f>IF(ISNUMBER(W479),IF(W479&gt;0,"Yes","No"),"Pending")</f>
        <v/>
      </c>
      <c r="Z479" s="14" t="inlineStr">
        <is>
          <t>Driver not identified (OPS account)</t>
        </is>
      </c>
    </row>
    <row r="480">
      <c r="A480" s="14" t="n">
        <v>479</v>
      </c>
      <c r="B480" s="14" t="inlineStr">
        <is>
          <t>AEMYA000633164</t>
        </is>
      </c>
      <c r="C480" s="15" t="inlineStr">
        <is>
          <t>265722693974</t>
        </is>
      </c>
      <c r="D480" s="16" t="n">
        <v>46291.6828125</v>
      </c>
      <c r="E480" s="17" t="n">
        <v>46291</v>
      </c>
      <c r="F480" s="14" t="inlineStr">
        <is>
          <t>Sat</t>
        </is>
      </c>
      <c r="G480" s="14" t="inlineStr">
        <is>
          <t>East MY</t>
        </is>
      </c>
      <c r="H480" s="14" t="inlineStr">
        <is>
          <t>BKW</t>
        </is>
      </c>
      <c r="I480" s="14" t="inlineStr">
        <is>
          <t>BKW - ID - KENNETH</t>
        </is>
      </c>
      <c r="J480" s="14" t="inlineStr">
        <is>
          <t>ID (named driver)</t>
        </is>
      </c>
      <c r="K480" s="14" t="inlineStr">
        <is>
          <t>91894222</t>
        </is>
      </c>
      <c r="L480" s="14" t="n">
        <v>1</v>
      </c>
      <c r="M480" s="14" t="inlineStr">
        <is>
          <t>LM</t>
        </is>
      </c>
      <c r="N480" s="14" t="inlineStr">
        <is>
          <t>Fake Fail</t>
        </is>
      </c>
      <c r="O480" s="14" t="inlineStr">
        <is>
          <t>Invalid call log (unspecified)</t>
        </is>
      </c>
      <c r="P480" s="14" t="inlineStr">
        <is>
          <t>No</t>
        </is>
      </c>
      <c r="Q480" s="14" t="inlineStr">
        <is>
          <t>No</t>
        </is>
      </c>
      <c r="R480" s="14" t="inlineStr">
        <is>
          <t>invalid call log attached for faild delivery</t>
        </is>
      </c>
      <c r="S480" s="14" t="inlineStr">
        <is>
          <t>Aimenn Aiyad</t>
        </is>
      </c>
      <c r="T480" s="14">
        <f>COUNTIF($B$2:$B$499,B480)</f>
        <v/>
      </c>
      <c r="U480" s="14">
        <f>COUNTIF($I$2:$I$499,I480)</f>
        <v/>
      </c>
      <c r="V480" s="14">
        <f>IF(ISNA(MATCH(B480,'Metabase Lookup'!$A:$A,0)),"Not found",IF(INDEX('Metabase Lookup'!$B:$B,MATCH(B480,'Metabase Lookup'!$A:$A,0))="","Pending",INDEX('Metabase Lookup'!$B:$B,MATCH(B480,'Metabase Lookup'!$A:$A,0))))</f>
        <v/>
      </c>
      <c r="W480" s="14">
        <f>IF(ISNA(MATCH(B480,'Metabase Lookup'!$A:$A,0)),"Not found",IF(INDEX('Metabase Lookup'!$C:$C,MATCH(B480,'Metabase Lookup'!$A:$A,0))="","Pending",INDEX('Metabase Lookup'!$C:$C,MATCH(B480,'Metabase Lookup'!$A:$A,0))))</f>
        <v/>
      </c>
      <c r="X480" s="14">
        <f>IF(ISNA(MATCH(B480,'Metabase Lookup'!$A:$A,0)),"",IF(INDEX('Metabase Lookup'!$D:$D,MATCH(B480,'Metabase Lookup'!$A:$A,0))="","",INDEX('Metabase Lookup'!$D:$D,MATCH(B480,'Metabase Lookup'!$A:$A,0))))</f>
        <v/>
      </c>
      <c r="Y480" s="14">
        <f>IF(ISNUMBER(W480),IF(W480&gt;0,"Yes","No"),"Pending")</f>
        <v/>
      </c>
      <c r="Z480" s="14" t="inlineStr"/>
    </row>
    <row r="481">
      <c r="A481" s="14" t="n">
        <v>480</v>
      </c>
      <c r="B481" s="14" t="inlineStr">
        <is>
          <t>TNGE126077410792712000</t>
        </is>
      </c>
      <c r="C481" s="15" t="inlineStr">
        <is>
          <t>260102686201</t>
        </is>
      </c>
      <c r="D481" s="16" t="n">
        <v>46291.68508101852</v>
      </c>
      <c r="E481" s="17" t="n">
        <v>46291</v>
      </c>
      <c r="F481" s="14" t="inlineStr">
        <is>
          <t>Sat</t>
        </is>
      </c>
      <c r="G481" s="14" t="inlineStr">
        <is>
          <t>KV</t>
        </is>
      </c>
      <c r="H481" s="14" t="inlineStr">
        <is>
          <t>BRP</t>
        </is>
      </c>
      <c r="I481" s="14" t="inlineStr">
        <is>
          <t>BRP - ID - NOORWAHIDA</t>
        </is>
      </c>
      <c r="J481" s="14" t="inlineStr">
        <is>
          <t>ID (named driver)</t>
        </is>
      </c>
      <c r="K481" s="14" t="inlineStr">
        <is>
          <t>91876766</t>
        </is>
      </c>
      <c r="L481" s="14" t="n">
        <v>1</v>
      </c>
      <c r="M481" s="14" t="inlineStr">
        <is>
          <t>LM</t>
        </is>
      </c>
      <c r="N481" s="14" t="inlineStr">
        <is>
          <t>Deliver to Wrong Address</t>
        </is>
      </c>
      <c r="O481" s="14" t="inlineStr"/>
      <c r="P481" s="14" t="inlineStr"/>
      <c r="Q481" s="14" t="inlineStr"/>
      <c r="R481" s="14" t="inlineStr">
        <is>
          <t>driver deliver to neighbor address, cust retrieved parcel by herself</t>
        </is>
      </c>
      <c r="S481" s="14" t="inlineStr">
        <is>
          <t>Yana</t>
        </is>
      </c>
      <c r="T481" s="14">
        <f>COUNTIF($B$2:$B$499,B481)</f>
        <v/>
      </c>
      <c r="U481" s="14">
        <f>COUNTIF($I$2:$I$499,I481)</f>
        <v/>
      </c>
      <c r="V481" s="14">
        <f>IF(ISNA(MATCH(B481,'Metabase Lookup'!$A:$A,0)),"Not found",IF(INDEX('Metabase Lookup'!$B:$B,MATCH(B481,'Metabase Lookup'!$A:$A,0))="","Pending",INDEX('Metabase Lookup'!$B:$B,MATCH(B481,'Metabase Lookup'!$A:$A,0))))</f>
        <v/>
      </c>
      <c r="W481" s="14">
        <f>IF(ISNA(MATCH(B481,'Metabase Lookup'!$A:$A,0)),"Not found",IF(INDEX('Metabase Lookup'!$C:$C,MATCH(B481,'Metabase Lookup'!$A:$A,0))="","Pending",INDEX('Metabase Lookup'!$C:$C,MATCH(B481,'Metabase Lookup'!$A:$A,0))))</f>
        <v/>
      </c>
      <c r="X481" s="14">
        <f>IF(ISNA(MATCH(B481,'Metabase Lookup'!$A:$A,0)),"",IF(INDEX('Metabase Lookup'!$D:$D,MATCH(B481,'Metabase Lookup'!$A:$A,0))="","",INDEX('Metabase Lookup'!$D:$D,MATCH(B481,'Metabase Lookup'!$A:$A,0))))</f>
        <v/>
      </c>
      <c r="Y481" s="14">
        <f>IF(ISNUMBER(W481),IF(W481&gt;0,"Yes","No"),"Pending")</f>
        <v/>
      </c>
      <c r="Z481" s="14" t="inlineStr"/>
    </row>
    <row r="482">
      <c r="A482" s="14" t="n">
        <v>481</v>
      </c>
      <c r="B482" s="14" t="inlineStr">
        <is>
          <t>MYNJV70088805988</t>
        </is>
      </c>
      <c r="C482" s="15" t="inlineStr">
        <is>
          <t>267092680995</t>
        </is>
      </c>
      <c r="D482" s="16" t="n">
        <v>46291.68525462963</v>
      </c>
      <c r="E482" s="17" t="n">
        <v>46291</v>
      </c>
      <c r="F482" s="14" t="inlineStr">
        <is>
          <t>Sat</t>
        </is>
      </c>
      <c r="G482" s="14" t="inlineStr">
        <is>
          <t>KV</t>
        </is>
      </c>
      <c r="H482" s="14" t="inlineStr">
        <is>
          <t>AMP</t>
        </is>
      </c>
      <c r="I482" s="14" t="inlineStr">
        <is>
          <t>AMP - ID - AJMAL</t>
        </is>
      </c>
      <c r="J482" s="14" t="inlineStr">
        <is>
          <t>ID (named driver)</t>
        </is>
      </c>
      <c r="K482" s="14" t="inlineStr">
        <is>
          <t>91879469</t>
        </is>
      </c>
      <c r="L482" s="14" t="n">
        <v>1</v>
      </c>
      <c r="M482" s="14" t="inlineStr">
        <is>
          <t>LM</t>
        </is>
      </c>
      <c r="N482" s="14" t="inlineStr">
        <is>
          <t>Deliver to Wrong Address</t>
        </is>
      </c>
      <c r="O482" s="14" t="inlineStr"/>
      <c r="P482" s="14" t="inlineStr"/>
      <c r="Q482" s="14" t="inlineStr"/>
      <c r="R482" s="14" t="inlineStr">
        <is>
          <t>delivered to wrong address</t>
        </is>
      </c>
      <c r="S482" s="14" t="inlineStr">
        <is>
          <t>Abdul</t>
        </is>
      </c>
      <c r="T482" s="14">
        <f>COUNTIF($B$2:$B$499,B482)</f>
        <v/>
      </c>
      <c r="U482" s="14">
        <f>COUNTIF($I$2:$I$499,I482)</f>
        <v/>
      </c>
      <c r="V482" s="14">
        <f>IF(ISNA(MATCH(B482,'Metabase Lookup'!$A:$A,0)),"Not found",IF(INDEX('Metabase Lookup'!$B:$B,MATCH(B482,'Metabase Lookup'!$A:$A,0))="","Pending",INDEX('Metabase Lookup'!$B:$B,MATCH(B482,'Metabase Lookup'!$A:$A,0))))</f>
        <v/>
      </c>
      <c r="W482" s="14">
        <f>IF(ISNA(MATCH(B482,'Metabase Lookup'!$A:$A,0)),"Not found",IF(INDEX('Metabase Lookup'!$C:$C,MATCH(B482,'Metabase Lookup'!$A:$A,0))="","Pending",INDEX('Metabase Lookup'!$C:$C,MATCH(B482,'Metabase Lookup'!$A:$A,0))))</f>
        <v/>
      </c>
      <c r="X482" s="14">
        <f>IF(ISNA(MATCH(B482,'Metabase Lookup'!$A:$A,0)),"",IF(INDEX('Metabase Lookup'!$D:$D,MATCH(B482,'Metabase Lookup'!$A:$A,0))="","",INDEX('Metabase Lookup'!$D:$D,MATCH(B482,'Metabase Lookup'!$A:$A,0))))</f>
        <v/>
      </c>
      <c r="Y482" s="14">
        <f>IF(ISNUMBER(W482),IF(W482&gt;0,"Yes","No"),"Pending")</f>
        <v/>
      </c>
      <c r="Z482" s="14" t="inlineStr"/>
    </row>
    <row r="483">
      <c r="A483" s="14" t="n">
        <v>482</v>
      </c>
      <c r="B483" s="14" t="inlineStr">
        <is>
          <t>NVMYAIRSP102334442</t>
        </is>
      </c>
      <c r="C483" s="15" t="inlineStr">
        <is>
          <t>267162692953</t>
        </is>
      </c>
      <c r="D483" s="16" t="n">
        <v>46291.68583333334</v>
      </c>
      <c r="E483" s="17" t="n">
        <v>46291</v>
      </c>
      <c r="F483" s="14" t="inlineStr">
        <is>
          <t>Sat</t>
        </is>
      </c>
      <c r="G483" s="14" t="inlineStr">
        <is>
          <t>KV</t>
        </is>
      </c>
      <c r="H483" s="14" t="inlineStr">
        <is>
          <t>OUG</t>
        </is>
      </c>
      <c r="I483" s="14" t="inlineStr">
        <is>
          <t>OPS - OUG</t>
        </is>
      </c>
      <c r="J483" s="14" t="inlineStr">
        <is>
          <t>OPS (generic hub account)</t>
        </is>
      </c>
      <c r="K483" s="14" t="inlineStr">
        <is>
          <t>91903919</t>
        </is>
      </c>
      <c r="L483" s="14" t="n">
        <v>1</v>
      </c>
      <c r="M483" s="14" t="inlineStr">
        <is>
          <t>LM</t>
        </is>
      </c>
      <c r="N483" s="14" t="inlineStr">
        <is>
          <t>Fake Fail</t>
        </is>
      </c>
      <c r="O483" s="14" t="inlineStr">
        <is>
          <t>Invalid location / site photo</t>
        </is>
      </c>
      <c r="P483" s="14" t="inlineStr">
        <is>
          <t>Yes</t>
        </is>
      </c>
      <c r="Q483" s="14" t="inlineStr">
        <is>
          <t>No</t>
        </is>
      </c>
      <c r="R483" s="14" t="inlineStr">
        <is>
          <t>location attach by driver is not customer house</t>
        </is>
      </c>
      <c r="S483" s="14" t="inlineStr">
        <is>
          <t>Zati</t>
        </is>
      </c>
      <c r="T483" s="14">
        <f>COUNTIF($B$2:$B$499,B483)</f>
        <v/>
      </c>
      <c r="U483" s="14">
        <f>COUNTIF($I$2:$I$499,I483)</f>
        <v/>
      </c>
      <c r="V483" s="14">
        <f>IF(ISNA(MATCH(B483,'Metabase Lookup'!$A:$A,0)),"Not found",IF(INDEX('Metabase Lookup'!$B:$B,MATCH(B483,'Metabase Lookup'!$A:$A,0))="","Pending",INDEX('Metabase Lookup'!$B:$B,MATCH(B483,'Metabase Lookup'!$A:$A,0))))</f>
        <v/>
      </c>
      <c r="W483" s="14">
        <f>IF(ISNA(MATCH(B483,'Metabase Lookup'!$A:$A,0)),"Not found",IF(INDEX('Metabase Lookup'!$C:$C,MATCH(B483,'Metabase Lookup'!$A:$A,0))="","Pending",INDEX('Metabase Lookup'!$C:$C,MATCH(B483,'Metabase Lookup'!$A:$A,0))))</f>
        <v/>
      </c>
      <c r="X483" s="14">
        <f>IF(ISNA(MATCH(B483,'Metabase Lookup'!$A:$A,0)),"",IF(INDEX('Metabase Lookup'!$D:$D,MATCH(B483,'Metabase Lookup'!$A:$A,0))="","",INDEX('Metabase Lookup'!$D:$D,MATCH(B483,'Metabase Lookup'!$A:$A,0))))</f>
        <v/>
      </c>
      <c r="Y483" s="14">
        <f>IF(ISNUMBER(W483),IF(W483&gt;0,"Yes","No"),"Pending")</f>
        <v/>
      </c>
      <c r="Z483" s="14" t="inlineStr">
        <is>
          <t>Driver not identified (OPS account)</t>
        </is>
      </c>
    </row>
    <row r="484">
      <c r="A484" s="14" t="n">
        <v>483</v>
      </c>
      <c r="B484" s="14" t="inlineStr">
        <is>
          <t>NVMYPKONG000005347</t>
        </is>
      </c>
      <c r="C484" s="15" t="inlineStr">
        <is>
          <t>268782691813</t>
        </is>
      </c>
      <c r="D484" s="16" t="n">
        <v>46291.68726851852</v>
      </c>
      <c r="E484" s="17" t="n">
        <v>46291</v>
      </c>
      <c r="F484" s="14" t="inlineStr">
        <is>
          <t>Sat</t>
        </is>
      </c>
      <c r="G484" s="14" t="inlineStr">
        <is>
          <t>KV</t>
        </is>
      </c>
      <c r="H484" s="14" t="inlineStr">
        <is>
          <t>OUG</t>
        </is>
      </c>
      <c r="I484" s="14" t="inlineStr">
        <is>
          <t>OPS - OUG</t>
        </is>
      </c>
      <c r="J484" s="14" t="inlineStr">
        <is>
          <t>OPS (generic hub account)</t>
        </is>
      </c>
      <c r="K484" s="14" t="inlineStr">
        <is>
          <t>91894863</t>
        </is>
      </c>
      <c r="L484" s="14" t="n">
        <v>1</v>
      </c>
      <c r="M484" s="14" t="inlineStr">
        <is>
          <t>LM</t>
        </is>
      </c>
      <c r="N484" s="14" t="inlineStr">
        <is>
          <t>Fake Fail</t>
        </is>
      </c>
      <c r="O484" s="14" t="inlineStr">
        <is>
          <t>Wrong number called</t>
        </is>
      </c>
      <c r="P484" s="14" t="inlineStr">
        <is>
          <t>No</t>
        </is>
      </c>
      <c r="Q484" s="14" t="inlineStr">
        <is>
          <t>No</t>
        </is>
      </c>
      <c r="R484" s="14" t="inlineStr">
        <is>
          <t>driver attach call log but not show customer contact number</t>
        </is>
      </c>
      <c r="S484" s="14" t="inlineStr">
        <is>
          <t>Zati</t>
        </is>
      </c>
      <c r="T484" s="14">
        <f>COUNTIF($B$2:$B$499,B484)</f>
        <v/>
      </c>
      <c r="U484" s="14">
        <f>COUNTIF($I$2:$I$499,I484)</f>
        <v/>
      </c>
      <c r="V484" s="14">
        <f>IF(ISNA(MATCH(B484,'Metabase Lookup'!$A:$A,0)),"Not found",IF(INDEX('Metabase Lookup'!$B:$B,MATCH(B484,'Metabase Lookup'!$A:$A,0))="","Pending",INDEX('Metabase Lookup'!$B:$B,MATCH(B484,'Metabase Lookup'!$A:$A,0))))</f>
        <v/>
      </c>
      <c r="W484" s="14">
        <f>IF(ISNA(MATCH(B484,'Metabase Lookup'!$A:$A,0)),"Not found",IF(INDEX('Metabase Lookup'!$C:$C,MATCH(B484,'Metabase Lookup'!$A:$A,0))="","Pending",INDEX('Metabase Lookup'!$C:$C,MATCH(B484,'Metabase Lookup'!$A:$A,0))))</f>
        <v/>
      </c>
      <c r="X484" s="14">
        <f>IF(ISNA(MATCH(B484,'Metabase Lookup'!$A:$A,0)),"",IF(INDEX('Metabase Lookup'!$D:$D,MATCH(B484,'Metabase Lookup'!$A:$A,0))="","",INDEX('Metabase Lookup'!$D:$D,MATCH(B484,'Metabase Lookup'!$A:$A,0))))</f>
        <v/>
      </c>
      <c r="Y484" s="14">
        <f>IF(ISNUMBER(W484),IF(W484&gt;0,"Yes","No"),"Pending")</f>
        <v/>
      </c>
      <c r="Z484" s="14" t="inlineStr">
        <is>
          <t>Driver not identified (OPS account)</t>
        </is>
      </c>
    </row>
    <row r="485">
      <c r="A485" s="14" t="n">
        <v>484</v>
      </c>
      <c r="B485" s="14" t="inlineStr">
        <is>
          <t>TNGDV2609216958934590</t>
        </is>
      </c>
      <c r="C485" s="15" t="inlineStr">
        <is>
          <t>267882686236</t>
        </is>
      </c>
      <c r="D485" s="16" t="n">
        <v>46291.68751157408</v>
      </c>
      <c r="E485" s="17" t="n">
        <v>46291</v>
      </c>
      <c r="F485" s="14" t="inlineStr">
        <is>
          <t>Sat</t>
        </is>
      </c>
      <c r="G485" s="14" t="inlineStr">
        <is>
          <t>KV</t>
        </is>
      </c>
      <c r="H485" s="14" t="inlineStr">
        <is>
          <t>STL</t>
        </is>
      </c>
      <c r="I485" s="14" t="inlineStr">
        <is>
          <t>STL - ID - SHAFIQ</t>
        </is>
      </c>
      <c r="J485" s="14" t="inlineStr">
        <is>
          <t>ID (named driver)</t>
        </is>
      </c>
      <c r="K485" s="14" t="inlineStr">
        <is>
          <t>91886121</t>
        </is>
      </c>
      <c r="L485" s="14" t="n">
        <v>1</v>
      </c>
      <c r="M485" s="14" t="inlineStr">
        <is>
          <t>LM</t>
        </is>
      </c>
      <c r="N485" s="14" t="inlineStr">
        <is>
          <t>Fake Success</t>
        </is>
      </c>
      <c r="O485" s="14" t="inlineStr"/>
      <c r="P485" s="14" t="inlineStr"/>
      <c r="Q485" s="14" t="inlineStr"/>
      <c r="R485" s="14" t="inlineStr">
        <is>
          <t>cust receives parcel after made a complaint</t>
        </is>
      </c>
      <c r="S485" s="14" t="inlineStr">
        <is>
          <t>Yana</t>
        </is>
      </c>
      <c r="T485" s="14">
        <f>COUNTIF($B$2:$B$499,B485)</f>
        <v/>
      </c>
      <c r="U485" s="14">
        <f>COUNTIF($I$2:$I$499,I485)</f>
        <v/>
      </c>
      <c r="V485" s="14">
        <f>IF(ISNA(MATCH(B485,'Metabase Lookup'!$A:$A,0)),"Not found",IF(INDEX('Metabase Lookup'!$B:$B,MATCH(B485,'Metabase Lookup'!$A:$A,0))="","Pending",INDEX('Metabase Lookup'!$B:$B,MATCH(B485,'Metabase Lookup'!$A:$A,0))))</f>
        <v/>
      </c>
      <c r="W485" s="14">
        <f>IF(ISNA(MATCH(B485,'Metabase Lookup'!$A:$A,0)),"Not found",IF(INDEX('Metabase Lookup'!$C:$C,MATCH(B485,'Metabase Lookup'!$A:$A,0))="","Pending",INDEX('Metabase Lookup'!$C:$C,MATCH(B485,'Metabase Lookup'!$A:$A,0))))</f>
        <v/>
      </c>
      <c r="X485" s="14">
        <f>IF(ISNA(MATCH(B485,'Metabase Lookup'!$A:$A,0)),"",IF(INDEX('Metabase Lookup'!$D:$D,MATCH(B485,'Metabase Lookup'!$A:$A,0))="","",INDEX('Metabase Lookup'!$D:$D,MATCH(B485,'Metabase Lookup'!$A:$A,0))))</f>
        <v/>
      </c>
      <c r="Y485" s="14">
        <f>IF(ISNUMBER(W485),IF(W485&gt;0,"Yes","No"),"Pending")</f>
        <v/>
      </c>
      <c r="Z485" s="14" t="inlineStr"/>
    </row>
    <row r="486">
      <c r="A486" s="14" t="n">
        <v>485</v>
      </c>
      <c r="B486" s="14" t="inlineStr">
        <is>
          <t>TNGDV2609186880120580</t>
        </is>
      </c>
      <c r="C486" s="15" t="inlineStr">
        <is>
          <t>264512686033</t>
        </is>
      </c>
      <c r="D486" s="16" t="n">
        <v>46291.69598379629</v>
      </c>
      <c r="E486" s="17" t="n">
        <v>46291</v>
      </c>
      <c r="F486" s="14" t="inlineStr">
        <is>
          <t>Sat</t>
        </is>
      </c>
      <c r="G486" s="14" t="inlineStr">
        <is>
          <t>KV</t>
        </is>
      </c>
      <c r="H486" s="14" t="inlineStr">
        <is>
          <t>PUC</t>
        </is>
      </c>
      <c r="I486" s="14" t="inlineStr">
        <is>
          <t>PUC - ID - AZAHAR</t>
        </is>
      </c>
      <c r="J486" s="14" t="inlineStr">
        <is>
          <t>ID (named driver)</t>
        </is>
      </c>
      <c r="K486" s="14" t="inlineStr">
        <is>
          <t>91884728</t>
        </is>
      </c>
      <c r="L486" s="14" t="n">
        <v>1</v>
      </c>
      <c r="M486" s="14" t="inlineStr">
        <is>
          <t>LM</t>
        </is>
      </c>
      <c r="N486" s="14" t="inlineStr">
        <is>
          <t>Deliver to Wrong Address</t>
        </is>
      </c>
      <c r="O486" s="14" t="inlineStr"/>
      <c r="P486" s="14" t="inlineStr"/>
      <c r="Q486" s="14" t="inlineStr"/>
      <c r="R486" s="14" t="inlineStr">
        <is>
          <t>delivered to wrong address</t>
        </is>
      </c>
      <c r="S486" s="14" t="inlineStr">
        <is>
          <t>Abdul</t>
        </is>
      </c>
      <c r="T486" s="14">
        <f>COUNTIF($B$2:$B$499,B486)</f>
        <v/>
      </c>
      <c r="U486" s="14">
        <f>COUNTIF($I$2:$I$499,I486)</f>
        <v/>
      </c>
      <c r="V486" s="14">
        <f>IF(ISNA(MATCH(B486,'Metabase Lookup'!$A:$A,0)),"Not found",IF(INDEX('Metabase Lookup'!$B:$B,MATCH(B486,'Metabase Lookup'!$A:$A,0))="","Pending",INDEX('Metabase Lookup'!$B:$B,MATCH(B486,'Metabase Lookup'!$A:$A,0))))</f>
        <v/>
      </c>
      <c r="W486" s="14">
        <f>IF(ISNA(MATCH(B486,'Metabase Lookup'!$A:$A,0)),"Not found",IF(INDEX('Metabase Lookup'!$C:$C,MATCH(B486,'Metabase Lookup'!$A:$A,0))="","Pending",INDEX('Metabase Lookup'!$C:$C,MATCH(B486,'Metabase Lookup'!$A:$A,0))))</f>
        <v/>
      </c>
      <c r="X486" s="14">
        <f>IF(ISNA(MATCH(B486,'Metabase Lookup'!$A:$A,0)),"",IF(INDEX('Metabase Lookup'!$D:$D,MATCH(B486,'Metabase Lookup'!$A:$A,0))="","",INDEX('Metabase Lookup'!$D:$D,MATCH(B486,'Metabase Lookup'!$A:$A,0))))</f>
        <v/>
      </c>
      <c r="Y486" s="14">
        <f>IF(ISNUMBER(W486),IF(W486&gt;0,"Yes","No"),"Pending")</f>
        <v/>
      </c>
      <c r="Z486" s="14" t="inlineStr">
        <is>
          <t>TID had stray spaces/line breaks (cleaned)</t>
        </is>
      </c>
    </row>
    <row r="487">
      <c r="A487" s="14" t="n">
        <v>486</v>
      </c>
      <c r="B487" s="14" t="inlineStr">
        <is>
          <t>LSGMY5913756</t>
        </is>
      </c>
      <c r="C487" s="15" t="inlineStr">
        <is>
          <t>269112694626</t>
        </is>
      </c>
      <c r="D487" s="16" t="n">
        <v>46291.70712962963</v>
      </c>
      <c r="E487" s="17" t="n">
        <v>46291</v>
      </c>
      <c r="F487" s="14" t="inlineStr">
        <is>
          <t>Sat</t>
        </is>
      </c>
      <c r="G487" s="14" t="inlineStr">
        <is>
          <t>KV</t>
        </is>
      </c>
      <c r="H487" s="14" t="inlineStr">
        <is>
          <t>PJY</t>
        </is>
      </c>
      <c r="I487" s="14" t="inlineStr">
        <is>
          <t>OPS - PJY</t>
        </is>
      </c>
      <c r="J487" s="14" t="inlineStr">
        <is>
          <t>OPS (generic hub account)</t>
        </is>
      </c>
      <c r="K487" s="14" t="inlineStr">
        <is>
          <t>91899226</t>
        </is>
      </c>
      <c r="L487" s="14" t="n">
        <v>1</v>
      </c>
      <c r="M487" s="14" t="inlineStr">
        <is>
          <t>LM</t>
        </is>
      </c>
      <c r="N487" s="14" t="inlineStr">
        <is>
          <t>Fake Fail</t>
        </is>
      </c>
      <c r="O487" s="14" t="inlineStr">
        <is>
          <t>No call / call log missing</t>
        </is>
      </c>
      <c r="P487" s="14" t="inlineStr">
        <is>
          <t>No</t>
        </is>
      </c>
      <c r="Q487" s="14" t="inlineStr">
        <is>
          <t>Yes</t>
        </is>
      </c>
      <c r="R487" s="14" t="inlineStr">
        <is>
          <t>Failed by OPS no call log attach</t>
        </is>
      </c>
      <c r="S487" s="14" t="inlineStr">
        <is>
          <t>Aimenn Aiyad</t>
        </is>
      </c>
      <c r="T487" s="14">
        <f>COUNTIF($B$2:$B$499,B487)</f>
        <v/>
      </c>
      <c r="U487" s="14">
        <f>COUNTIF($I$2:$I$499,I487)</f>
        <v/>
      </c>
      <c r="V487" s="14">
        <f>IF(ISNA(MATCH(B487,'Metabase Lookup'!$A:$A,0)),"Not found",IF(INDEX('Metabase Lookup'!$B:$B,MATCH(B487,'Metabase Lookup'!$A:$A,0))="","Pending",INDEX('Metabase Lookup'!$B:$B,MATCH(B487,'Metabase Lookup'!$A:$A,0))))</f>
        <v/>
      </c>
      <c r="W487" s="14">
        <f>IF(ISNA(MATCH(B487,'Metabase Lookup'!$A:$A,0)),"Not found",IF(INDEX('Metabase Lookup'!$C:$C,MATCH(B487,'Metabase Lookup'!$A:$A,0))="","Pending",INDEX('Metabase Lookup'!$C:$C,MATCH(B487,'Metabase Lookup'!$A:$A,0))))</f>
        <v/>
      </c>
      <c r="X487" s="14">
        <f>IF(ISNA(MATCH(B487,'Metabase Lookup'!$A:$A,0)),"",IF(INDEX('Metabase Lookup'!$D:$D,MATCH(B487,'Metabase Lookup'!$A:$A,0))="","",INDEX('Metabase Lookup'!$D:$D,MATCH(B487,'Metabase Lookup'!$A:$A,0))))</f>
        <v/>
      </c>
      <c r="Y487" s="14">
        <f>IF(ISNUMBER(W487),IF(W487&gt;0,"Yes","No"),"Pending")</f>
        <v/>
      </c>
      <c r="Z487" s="14" t="inlineStr">
        <is>
          <t>Driver not identified (OPS account)</t>
        </is>
      </c>
    </row>
    <row r="488">
      <c r="A488" s="14" t="n">
        <v>487</v>
      </c>
      <c r="B488" s="14" t="inlineStr">
        <is>
          <t>NVMYANSRI001028392</t>
        </is>
      </c>
      <c r="C488" s="15" t="inlineStr">
        <is>
          <t>268562682941</t>
        </is>
      </c>
      <c r="D488" s="16" t="n">
        <v>46291.71041666667</v>
      </c>
      <c r="E488" s="17" t="n">
        <v>46291</v>
      </c>
      <c r="F488" s="14" t="inlineStr">
        <is>
          <t>Sat</t>
        </is>
      </c>
      <c r="G488" s="14" t="inlineStr">
        <is>
          <t>Southern</t>
        </is>
      </c>
      <c r="H488" s="14" t="inlineStr">
        <is>
          <t>TGI</t>
        </is>
      </c>
      <c r="I488" s="14" t="inlineStr">
        <is>
          <t>TGI - ID - ARJUNA OSMAN</t>
        </is>
      </c>
      <c r="J488" s="14" t="inlineStr">
        <is>
          <t>ID (named driver)</t>
        </is>
      </c>
      <c r="K488" s="14" t="inlineStr">
        <is>
          <t>91884998</t>
        </is>
      </c>
      <c r="L488" s="14" t="n">
        <v>1</v>
      </c>
      <c r="M488" s="14" t="inlineStr">
        <is>
          <t>LM</t>
        </is>
      </c>
      <c r="N488" s="14" t="inlineStr">
        <is>
          <t>Deliver to Wrong Address</t>
        </is>
      </c>
      <c r="O488" s="14" t="inlineStr"/>
      <c r="P488" s="14" t="inlineStr"/>
      <c r="Q488" s="14" t="inlineStr"/>
      <c r="R488" s="14" t="inlineStr">
        <is>
          <t>delivered to wrong addresss</t>
        </is>
      </c>
      <c r="S488" s="14" t="inlineStr">
        <is>
          <t>Abdul</t>
        </is>
      </c>
      <c r="T488" s="14">
        <f>COUNTIF($B$2:$B$499,B488)</f>
        <v/>
      </c>
      <c r="U488" s="14">
        <f>COUNTIF($I$2:$I$499,I488)</f>
        <v/>
      </c>
      <c r="V488" s="14">
        <f>IF(ISNA(MATCH(B488,'Metabase Lookup'!$A:$A,0)),"Not found",IF(INDEX('Metabase Lookup'!$B:$B,MATCH(B488,'Metabase Lookup'!$A:$A,0))="","Pending",INDEX('Metabase Lookup'!$B:$B,MATCH(B488,'Metabase Lookup'!$A:$A,0))))</f>
        <v/>
      </c>
      <c r="W488" s="14">
        <f>IF(ISNA(MATCH(B488,'Metabase Lookup'!$A:$A,0)),"Not found",IF(INDEX('Metabase Lookup'!$C:$C,MATCH(B488,'Metabase Lookup'!$A:$A,0))="","Pending",INDEX('Metabase Lookup'!$C:$C,MATCH(B488,'Metabase Lookup'!$A:$A,0))))</f>
        <v/>
      </c>
      <c r="X488" s="14">
        <f>IF(ISNA(MATCH(B488,'Metabase Lookup'!$A:$A,0)),"",IF(INDEX('Metabase Lookup'!$D:$D,MATCH(B488,'Metabase Lookup'!$A:$A,0))="","",INDEX('Metabase Lookup'!$D:$D,MATCH(B488,'Metabase Lookup'!$A:$A,0))))</f>
        <v/>
      </c>
      <c r="Y488" s="14">
        <f>IF(ISNUMBER(W488),IF(W488&gt;0,"Yes","No"),"Pending")</f>
        <v/>
      </c>
      <c r="Z488" s="14" t="inlineStr">
        <is>
          <t>TID had stray spaces/line breaks (cleaned)</t>
        </is>
      </c>
    </row>
    <row r="489">
      <c r="A489" s="14" t="n">
        <v>488</v>
      </c>
      <c r="B489" s="14" t="inlineStr">
        <is>
          <t>AEMYA000634721AEMYA000634535</t>
        </is>
      </c>
      <c r="C489" s="15" t="inlineStr">
        <is>
          <t>265012697156</t>
        </is>
      </c>
      <c r="D489" s="16" t="n">
        <v>46291.71346064815</v>
      </c>
      <c r="E489" s="17" t="n">
        <v>46291</v>
      </c>
      <c r="F489" s="14" t="inlineStr">
        <is>
          <t>Sat</t>
        </is>
      </c>
      <c r="G489" s="14" t="inlineStr">
        <is>
          <t>KV</t>
        </is>
      </c>
      <c r="H489" s="14" t="inlineStr">
        <is>
          <t>KSR</t>
        </is>
      </c>
      <c r="I489" s="14" t="inlineStr">
        <is>
          <t>KSR - ID - ERFAN</t>
        </is>
      </c>
      <c r="J489" s="14" t="inlineStr">
        <is>
          <t>ID (named driver)</t>
        </is>
      </c>
      <c r="K489" s="14" t="inlineStr">
        <is>
          <t>91873701</t>
        </is>
      </c>
      <c r="L489" s="14" t="n">
        <v>1</v>
      </c>
      <c r="M489" s="14" t="inlineStr">
        <is>
          <t>LM</t>
        </is>
      </c>
      <c r="N489" s="14" t="inlineStr">
        <is>
          <t>Fake Fail</t>
        </is>
      </c>
      <c r="O489" s="14" t="inlineStr">
        <is>
          <t>Invalid location / site photo</t>
        </is>
      </c>
      <c r="P489" s="14" t="inlineStr">
        <is>
          <t>Yes</t>
        </is>
      </c>
      <c r="Q489" s="14" t="inlineStr">
        <is>
          <t>No</t>
        </is>
      </c>
      <c r="R489" s="14" t="inlineStr">
        <is>
          <t>driver attach wrong location and not customer house</t>
        </is>
      </c>
      <c r="S489" s="14" t="inlineStr">
        <is>
          <t>Zati</t>
        </is>
      </c>
      <c r="T489" s="14">
        <f>COUNTIF($B$2:$B$499,B489)</f>
        <v/>
      </c>
      <c r="U489" s="14">
        <f>COUNTIF($I$2:$I$499,I489)</f>
        <v/>
      </c>
      <c r="V489" s="14">
        <f>IF(ISNA(MATCH(B489,'Metabase Lookup'!$A:$A,0)),"Not found",IF(INDEX('Metabase Lookup'!$B:$B,MATCH(B489,'Metabase Lookup'!$A:$A,0))="","Pending",INDEX('Metabase Lookup'!$B:$B,MATCH(B489,'Metabase Lookup'!$A:$A,0))))</f>
        <v/>
      </c>
      <c r="W489" s="14">
        <f>IF(ISNA(MATCH(B489,'Metabase Lookup'!$A:$A,0)),"Not found",IF(INDEX('Metabase Lookup'!$C:$C,MATCH(B489,'Metabase Lookup'!$A:$A,0))="","Pending",INDEX('Metabase Lookup'!$C:$C,MATCH(B489,'Metabase Lookup'!$A:$A,0))))</f>
        <v/>
      </c>
      <c r="X489" s="14">
        <f>IF(ISNA(MATCH(B489,'Metabase Lookup'!$A:$A,0)),"",IF(INDEX('Metabase Lookup'!$D:$D,MATCH(B489,'Metabase Lookup'!$A:$A,0))="","",INDEX('Metabase Lookup'!$D:$D,MATCH(B489,'Metabase Lookup'!$A:$A,0))))</f>
        <v/>
      </c>
      <c r="Y489" s="14">
        <f>IF(ISNUMBER(W489),IF(W489&gt;0,"Yes","No"),"Pending")</f>
        <v/>
      </c>
      <c r="Z489" s="14" t="inlineStr">
        <is>
          <t>TID had stray spaces/line breaks (cleaned)</t>
        </is>
      </c>
    </row>
    <row r="490">
      <c r="A490" s="14" t="n">
        <v>489</v>
      </c>
      <c r="B490" s="14" t="inlineStr">
        <is>
          <t>AEMYA000638031</t>
        </is>
      </c>
      <c r="C490" s="15" t="inlineStr">
        <is>
          <t>267972698646</t>
        </is>
      </c>
      <c r="D490" s="16" t="n">
        <v>46291.71405092593</v>
      </c>
      <c r="E490" s="17" t="n">
        <v>46291</v>
      </c>
      <c r="F490" s="14" t="inlineStr">
        <is>
          <t>Sat</t>
        </is>
      </c>
      <c r="G490" s="14" t="inlineStr">
        <is>
          <t>KV</t>
        </is>
      </c>
      <c r="H490" s="14" t="inlineStr">
        <is>
          <t>PJY</t>
        </is>
      </c>
      <c r="I490" s="14" t="inlineStr">
        <is>
          <t>OPS - PJY</t>
        </is>
      </c>
      <c r="J490" s="14" t="inlineStr">
        <is>
          <t>OPS (generic hub account)</t>
        </is>
      </c>
      <c r="K490" s="14" t="inlineStr">
        <is>
          <t>91899226</t>
        </is>
      </c>
      <c r="L490" s="14" t="n">
        <v>1</v>
      </c>
      <c r="M490" s="14" t="inlineStr">
        <is>
          <t>LM</t>
        </is>
      </c>
      <c r="N490" s="14" t="inlineStr">
        <is>
          <t>Fake Fail</t>
        </is>
      </c>
      <c r="O490" s="14" t="inlineStr">
        <is>
          <t>No call / call log missing</t>
        </is>
      </c>
      <c r="P490" s="14" t="inlineStr">
        <is>
          <t>No</t>
        </is>
      </c>
      <c r="Q490" s="14" t="inlineStr">
        <is>
          <t>Yes</t>
        </is>
      </c>
      <c r="R490" s="14" t="inlineStr">
        <is>
          <t>fail by OPS without call log</t>
        </is>
      </c>
      <c r="S490" s="14" t="inlineStr">
        <is>
          <t>Aimenn Aiyad</t>
        </is>
      </c>
      <c r="T490" s="14">
        <f>COUNTIF($B$2:$B$499,B490)</f>
        <v/>
      </c>
      <c r="U490" s="14">
        <f>COUNTIF($I$2:$I$499,I490)</f>
        <v/>
      </c>
      <c r="V490" s="14">
        <f>IF(ISNA(MATCH(B490,'Metabase Lookup'!$A:$A,0)),"Not found",IF(INDEX('Metabase Lookup'!$B:$B,MATCH(B490,'Metabase Lookup'!$A:$A,0))="","Pending",INDEX('Metabase Lookup'!$B:$B,MATCH(B490,'Metabase Lookup'!$A:$A,0))))</f>
        <v/>
      </c>
      <c r="W490" s="14">
        <f>IF(ISNA(MATCH(B490,'Metabase Lookup'!$A:$A,0)),"Not found",IF(INDEX('Metabase Lookup'!$C:$C,MATCH(B490,'Metabase Lookup'!$A:$A,0))="","Pending",INDEX('Metabase Lookup'!$C:$C,MATCH(B490,'Metabase Lookup'!$A:$A,0))))</f>
        <v/>
      </c>
      <c r="X490" s="14">
        <f>IF(ISNA(MATCH(B490,'Metabase Lookup'!$A:$A,0)),"",IF(INDEX('Metabase Lookup'!$D:$D,MATCH(B490,'Metabase Lookup'!$A:$A,0))="","",INDEX('Metabase Lookup'!$D:$D,MATCH(B490,'Metabase Lookup'!$A:$A,0))))</f>
        <v/>
      </c>
      <c r="Y490" s="14">
        <f>IF(ISNUMBER(W490),IF(W490&gt;0,"Yes","No"),"Pending")</f>
        <v/>
      </c>
      <c r="Z490" s="14" t="inlineStr">
        <is>
          <t>Driver not identified (OPS account)</t>
        </is>
      </c>
    </row>
    <row r="491">
      <c r="A491" s="14" t="n">
        <v>490</v>
      </c>
      <c r="B491" s="14" t="inlineStr">
        <is>
          <t>NVMYNINJA002529523</t>
        </is>
      </c>
      <c r="C491" s="15" t="inlineStr">
        <is>
          <t>262072696111</t>
        </is>
      </c>
      <c r="D491" s="16" t="n">
        <v>46291.71416666666</v>
      </c>
      <c r="E491" s="17" t="n">
        <v>46291</v>
      </c>
      <c r="F491" s="14" t="inlineStr">
        <is>
          <t>Sat</t>
        </is>
      </c>
      <c r="G491" s="14" t="inlineStr">
        <is>
          <t>KV</t>
        </is>
      </c>
      <c r="H491" s="14" t="inlineStr">
        <is>
          <t>BTK</t>
        </is>
      </c>
      <c r="I491" s="14" t="inlineStr">
        <is>
          <t>BTK - OPS - AZRUL</t>
        </is>
      </c>
      <c r="J491" s="14" t="inlineStr">
        <is>
          <t>OPS (generic hub account)</t>
        </is>
      </c>
      <c r="K491" s="14" t="inlineStr">
        <is>
          <t>91900050</t>
        </is>
      </c>
      <c r="L491" s="14" t="n">
        <v>1</v>
      </c>
      <c r="M491" s="14" t="inlineStr">
        <is>
          <t>LM</t>
        </is>
      </c>
      <c r="N491" s="14" t="inlineStr">
        <is>
          <t>Fake Fail</t>
        </is>
      </c>
      <c r="O491" s="14" t="inlineStr">
        <is>
          <t>Wrong number called</t>
        </is>
      </c>
      <c r="P491" s="14" t="inlineStr">
        <is>
          <t>No</t>
        </is>
      </c>
      <c r="Q491" s="14" t="inlineStr">
        <is>
          <t>No</t>
        </is>
      </c>
      <c r="R491" s="14" t="inlineStr">
        <is>
          <t>driver attach invalid call log and not belong to customer</t>
        </is>
      </c>
      <c r="S491" s="14" t="inlineStr">
        <is>
          <t>Zati</t>
        </is>
      </c>
      <c r="T491" s="14">
        <f>COUNTIF($B$2:$B$499,B491)</f>
        <v/>
      </c>
      <c r="U491" s="14">
        <f>COUNTIF($I$2:$I$499,I491)</f>
        <v/>
      </c>
      <c r="V491" s="14">
        <f>IF(ISNA(MATCH(B491,'Metabase Lookup'!$A:$A,0)),"Not found",IF(INDEX('Metabase Lookup'!$B:$B,MATCH(B491,'Metabase Lookup'!$A:$A,0))="","Pending",INDEX('Metabase Lookup'!$B:$B,MATCH(B491,'Metabase Lookup'!$A:$A,0))))</f>
        <v/>
      </c>
      <c r="W491" s="14">
        <f>IF(ISNA(MATCH(B491,'Metabase Lookup'!$A:$A,0)),"Not found",IF(INDEX('Metabase Lookup'!$C:$C,MATCH(B491,'Metabase Lookup'!$A:$A,0))="","Pending",INDEX('Metabase Lookup'!$C:$C,MATCH(B491,'Metabase Lookup'!$A:$A,0))))</f>
        <v/>
      </c>
      <c r="X491" s="14">
        <f>IF(ISNA(MATCH(B491,'Metabase Lookup'!$A:$A,0)),"",IF(INDEX('Metabase Lookup'!$D:$D,MATCH(B491,'Metabase Lookup'!$A:$A,0))="","",INDEX('Metabase Lookup'!$D:$D,MATCH(B491,'Metabase Lookup'!$A:$A,0))))</f>
        <v/>
      </c>
      <c r="Y491" s="14">
        <f>IF(ISNUMBER(W491),IF(W491&gt;0,"Yes","No"),"Pending")</f>
        <v/>
      </c>
      <c r="Z491" s="14" t="inlineStr">
        <is>
          <t>Driver not identified (OPS account)</t>
        </is>
      </c>
    </row>
    <row r="492">
      <c r="A492" s="14" t="n">
        <v>491</v>
      </c>
      <c r="B492" s="14" t="inlineStr">
        <is>
          <t>TNGDV2609226930143260</t>
        </is>
      </c>
      <c r="C492" s="15" t="inlineStr">
        <is>
          <t>261362699298</t>
        </is>
      </c>
      <c r="D492" s="16" t="n">
        <v>46291.7158912037</v>
      </c>
      <c r="E492" s="17" t="n">
        <v>46291</v>
      </c>
      <c r="F492" s="14" t="inlineStr">
        <is>
          <t>Sat</t>
        </is>
      </c>
      <c r="G492" s="14" t="inlineStr">
        <is>
          <t>Southern</t>
        </is>
      </c>
      <c r="H492" s="14" t="inlineStr">
        <is>
          <t>PTN</t>
        </is>
      </c>
      <c r="I492" s="14" t="inlineStr">
        <is>
          <t>PTN - OPS - IZZ</t>
        </is>
      </c>
      <c r="J492" s="14" t="inlineStr">
        <is>
          <t>OPS (generic hub account)</t>
        </is>
      </c>
      <c r="K492" s="14" t="inlineStr">
        <is>
          <t>91895065</t>
        </is>
      </c>
      <c r="L492" s="14" t="n">
        <v>1</v>
      </c>
      <c r="M492" s="14" t="inlineStr">
        <is>
          <t>LM</t>
        </is>
      </c>
      <c r="N492" s="14" t="inlineStr">
        <is>
          <t>Fake Fail</t>
        </is>
      </c>
      <c r="O492" s="14" t="inlineStr">
        <is>
          <t>Invalid call log (unspecified)</t>
        </is>
      </c>
      <c r="P492" s="14" t="inlineStr">
        <is>
          <t>No</t>
        </is>
      </c>
      <c r="Q492" s="14" t="inlineStr">
        <is>
          <t>No</t>
        </is>
      </c>
      <c r="R492" s="14" t="inlineStr">
        <is>
          <t>Call log not the customer's number</t>
        </is>
      </c>
      <c r="S492" s="14" t="inlineStr">
        <is>
          <t>Wani</t>
        </is>
      </c>
      <c r="T492" s="14">
        <f>COUNTIF($B$2:$B$499,B492)</f>
        <v/>
      </c>
      <c r="U492" s="14">
        <f>COUNTIF($I$2:$I$499,I492)</f>
        <v/>
      </c>
      <c r="V492" s="14">
        <f>IF(ISNA(MATCH(B492,'Metabase Lookup'!$A:$A,0)),"Not found",IF(INDEX('Metabase Lookup'!$B:$B,MATCH(B492,'Metabase Lookup'!$A:$A,0))="","Pending",INDEX('Metabase Lookup'!$B:$B,MATCH(B492,'Metabase Lookup'!$A:$A,0))))</f>
        <v/>
      </c>
      <c r="W492" s="14">
        <f>IF(ISNA(MATCH(B492,'Metabase Lookup'!$A:$A,0)),"Not found",IF(INDEX('Metabase Lookup'!$C:$C,MATCH(B492,'Metabase Lookup'!$A:$A,0))="","Pending",INDEX('Metabase Lookup'!$C:$C,MATCH(B492,'Metabase Lookup'!$A:$A,0))))</f>
        <v/>
      </c>
      <c r="X492" s="14">
        <f>IF(ISNA(MATCH(B492,'Metabase Lookup'!$A:$A,0)),"",IF(INDEX('Metabase Lookup'!$D:$D,MATCH(B492,'Metabase Lookup'!$A:$A,0))="","",INDEX('Metabase Lookup'!$D:$D,MATCH(B492,'Metabase Lookup'!$A:$A,0))))</f>
        <v/>
      </c>
      <c r="Y492" s="14">
        <f>IF(ISNUMBER(W492),IF(W492&gt;0,"Yes","No"),"Pending")</f>
        <v/>
      </c>
      <c r="Z492" s="14" t="inlineStr">
        <is>
          <t>Driver not identified (OPS account)</t>
        </is>
      </c>
    </row>
    <row r="493">
      <c r="A493" s="14" t="n">
        <v>492</v>
      </c>
      <c r="B493" s="14" t="inlineStr">
        <is>
          <t>TNGDV2609216958016760</t>
        </is>
      </c>
      <c r="C493" s="15" t="inlineStr">
        <is>
          <t>260502686686</t>
        </is>
      </c>
      <c r="D493" s="16" t="n">
        <v>46291.7172337963</v>
      </c>
      <c r="E493" s="17" t="n">
        <v>46291</v>
      </c>
      <c r="F493" s="14" t="inlineStr">
        <is>
          <t>Sat</t>
        </is>
      </c>
      <c r="G493" s="14" t="inlineStr">
        <is>
          <t>KV</t>
        </is>
      </c>
      <c r="H493" s="14" t="inlineStr">
        <is>
          <t>MLT</t>
        </is>
      </c>
      <c r="I493" s="14" t="inlineStr">
        <is>
          <t>MLT - ID - MOHD REDZA</t>
        </is>
      </c>
      <c r="J493" s="14" t="inlineStr">
        <is>
          <t>ID (named driver)</t>
        </is>
      </c>
      <c r="K493" s="14" t="inlineStr">
        <is>
          <t>91882829</t>
        </is>
      </c>
      <c r="L493" s="14" t="n">
        <v>1</v>
      </c>
      <c r="M493" s="14" t="inlineStr">
        <is>
          <t>LM</t>
        </is>
      </c>
      <c r="N493" s="14" t="inlineStr">
        <is>
          <t>Fake Success</t>
        </is>
      </c>
      <c r="O493" s="14" t="inlineStr"/>
      <c r="P493" s="14" t="inlineStr"/>
      <c r="Q493" s="14" t="inlineStr"/>
      <c r="R493" s="14" t="inlineStr">
        <is>
          <t>cust didnt received</t>
        </is>
      </c>
      <c r="S493" s="14" t="inlineStr">
        <is>
          <t>Abdul</t>
        </is>
      </c>
      <c r="T493" s="14">
        <f>COUNTIF($B$2:$B$499,B493)</f>
        <v/>
      </c>
      <c r="U493" s="14">
        <f>COUNTIF($I$2:$I$499,I493)</f>
        <v/>
      </c>
      <c r="V493" s="14">
        <f>IF(ISNA(MATCH(B493,'Metabase Lookup'!$A:$A,0)),"Not found",IF(INDEX('Metabase Lookup'!$B:$B,MATCH(B493,'Metabase Lookup'!$A:$A,0))="","Pending",INDEX('Metabase Lookup'!$B:$B,MATCH(B493,'Metabase Lookup'!$A:$A,0))))</f>
        <v/>
      </c>
      <c r="W493" s="14">
        <f>IF(ISNA(MATCH(B493,'Metabase Lookup'!$A:$A,0)),"Not found",IF(INDEX('Metabase Lookup'!$C:$C,MATCH(B493,'Metabase Lookup'!$A:$A,0))="","Pending",INDEX('Metabase Lookup'!$C:$C,MATCH(B493,'Metabase Lookup'!$A:$A,0))))</f>
        <v/>
      </c>
      <c r="X493" s="14">
        <f>IF(ISNA(MATCH(B493,'Metabase Lookup'!$A:$A,0)),"",IF(INDEX('Metabase Lookup'!$D:$D,MATCH(B493,'Metabase Lookup'!$A:$A,0))="","",INDEX('Metabase Lookup'!$D:$D,MATCH(B493,'Metabase Lookup'!$A:$A,0))))</f>
        <v/>
      </c>
      <c r="Y493" s="14">
        <f>IF(ISNUMBER(W493),IF(W493&gt;0,"Yes","No"),"Pending")</f>
        <v/>
      </c>
      <c r="Z493" s="14" t="inlineStr"/>
    </row>
    <row r="494">
      <c r="A494" s="14" t="n">
        <v>493</v>
      </c>
      <c r="B494" s="14" t="inlineStr">
        <is>
          <t>NVMYMLISS000018021</t>
        </is>
      </c>
      <c r="C494" s="15" t="inlineStr">
        <is>
          <t>264002697334</t>
        </is>
      </c>
      <c r="D494" s="16" t="n">
        <v>46291.72623842592</v>
      </c>
      <c r="E494" s="17" t="n">
        <v>46291</v>
      </c>
      <c r="F494" s="14" t="inlineStr">
        <is>
          <t>Sat</t>
        </is>
      </c>
      <c r="G494" s="14" t="inlineStr">
        <is>
          <t>South West</t>
        </is>
      </c>
      <c r="H494" s="14" t="inlineStr">
        <is>
          <t>BHU</t>
        </is>
      </c>
      <c r="I494" s="14" t="inlineStr">
        <is>
          <t>BHU - ID - USMAN</t>
        </is>
      </c>
      <c r="J494" s="14" t="inlineStr">
        <is>
          <t>ID (named driver)</t>
        </is>
      </c>
      <c r="K494" s="14" t="inlineStr">
        <is>
          <t>91813081</t>
        </is>
      </c>
      <c r="L494" s="14" t="n">
        <v>1</v>
      </c>
      <c r="M494" s="14" t="inlineStr">
        <is>
          <t>LM</t>
        </is>
      </c>
      <c r="N494" s="14" t="inlineStr">
        <is>
          <t>Fake Success</t>
        </is>
      </c>
      <c r="O494" s="14" t="inlineStr"/>
      <c r="P494" s="14" t="inlineStr"/>
      <c r="Q494" s="14" t="inlineStr"/>
      <c r="R494" s="14" t="inlineStr">
        <is>
          <t>Customer complained about not receiving the parcel despite the status showing as completed. The customer claim did not received any notification from the driver which caused the parcel lost. Parcel exceed 7 days claim period.</t>
        </is>
      </c>
      <c r="S494" s="14" t="inlineStr">
        <is>
          <t>Huzair</t>
        </is>
      </c>
      <c r="T494" s="14">
        <f>COUNTIF($B$2:$B$499,B494)</f>
        <v/>
      </c>
      <c r="U494" s="14">
        <f>COUNTIF($I$2:$I$499,I494)</f>
        <v/>
      </c>
      <c r="V494" s="14">
        <f>IF(ISNA(MATCH(B494,'Metabase Lookup'!$A:$A,0)),"Not found",IF(INDEX('Metabase Lookup'!$B:$B,MATCH(B494,'Metabase Lookup'!$A:$A,0))="","Pending",INDEX('Metabase Lookup'!$B:$B,MATCH(B494,'Metabase Lookup'!$A:$A,0))))</f>
        <v/>
      </c>
      <c r="W494" s="14">
        <f>IF(ISNA(MATCH(B494,'Metabase Lookup'!$A:$A,0)),"Not found",IF(INDEX('Metabase Lookup'!$C:$C,MATCH(B494,'Metabase Lookup'!$A:$A,0))="","Pending",INDEX('Metabase Lookup'!$C:$C,MATCH(B494,'Metabase Lookup'!$A:$A,0))))</f>
        <v/>
      </c>
      <c r="X494" s="14">
        <f>IF(ISNA(MATCH(B494,'Metabase Lookup'!$A:$A,0)),"",IF(INDEX('Metabase Lookup'!$D:$D,MATCH(B494,'Metabase Lookup'!$A:$A,0))="","",INDEX('Metabase Lookup'!$D:$D,MATCH(B494,'Metabase Lookup'!$A:$A,0))))</f>
        <v/>
      </c>
      <c r="Y494" s="14">
        <f>IF(ISNUMBER(W494),IF(W494&gt;0,"Yes","No"),"Pending")</f>
        <v/>
      </c>
      <c r="Z494" s="14" t="inlineStr"/>
    </row>
    <row r="495">
      <c r="A495" s="14" t="n">
        <v>494</v>
      </c>
      <c r="B495" s="14" t="inlineStr">
        <is>
          <t>ECMY827980022</t>
        </is>
      </c>
      <c r="C495" s="15" t="inlineStr">
        <is>
          <t>264282695297</t>
        </is>
      </c>
      <c r="D495" s="16" t="n">
        <v>46291.73332175926</v>
      </c>
      <c r="E495" s="17" t="n">
        <v>46291</v>
      </c>
      <c r="F495" s="14" t="inlineStr">
        <is>
          <t>Sat</t>
        </is>
      </c>
      <c r="G495" s="14" t="inlineStr">
        <is>
          <t>KV</t>
        </is>
      </c>
      <c r="H495" s="14" t="inlineStr">
        <is>
          <t>WMJ</t>
        </is>
      </c>
      <c r="I495" s="14" t="inlineStr">
        <is>
          <t>WMJ - ID - MUHAMMAD FAHMI</t>
        </is>
      </c>
      <c r="J495" s="14" t="inlineStr">
        <is>
          <t>ID (named driver)</t>
        </is>
      </c>
      <c r="K495" s="14" t="inlineStr">
        <is>
          <t>91879273</t>
        </is>
      </c>
      <c r="L495" s="14" t="n">
        <v>1</v>
      </c>
      <c r="M495" s="14" t="inlineStr">
        <is>
          <t>LM</t>
        </is>
      </c>
      <c r="N495" s="14" t="inlineStr">
        <is>
          <t>Deliver to Wrong Address</t>
        </is>
      </c>
      <c r="O495" s="14" t="inlineStr"/>
      <c r="P495" s="14" t="inlineStr"/>
      <c r="Q495" s="14" t="inlineStr"/>
      <c r="R495" s="14" t="inlineStr">
        <is>
          <t>deliver wrong address</t>
        </is>
      </c>
      <c r="S495" s="14" t="inlineStr">
        <is>
          <t>Abdul</t>
        </is>
      </c>
      <c r="T495" s="14">
        <f>COUNTIF($B$2:$B$499,B495)</f>
        <v/>
      </c>
      <c r="U495" s="14">
        <f>COUNTIF($I$2:$I$499,I495)</f>
        <v/>
      </c>
      <c r="V495" s="14">
        <f>IF(ISNA(MATCH(B495,'Metabase Lookup'!$A:$A,0)),"Not found",IF(INDEX('Metabase Lookup'!$B:$B,MATCH(B495,'Metabase Lookup'!$A:$A,0))="","Pending",INDEX('Metabase Lookup'!$B:$B,MATCH(B495,'Metabase Lookup'!$A:$A,0))))</f>
        <v/>
      </c>
      <c r="W495" s="14">
        <f>IF(ISNA(MATCH(B495,'Metabase Lookup'!$A:$A,0)),"Not found",IF(INDEX('Metabase Lookup'!$C:$C,MATCH(B495,'Metabase Lookup'!$A:$A,0))="","Pending",INDEX('Metabase Lookup'!$C:$C,MATCH(B495,'Metabase Lookup'!$A:$A,0))))</f>
        <v/>
      </c>
      <c r="X495" s="14">
        <f>IF(ISNA(MATCH(B495,'Metabase Lookup'!$A:$A,0)),"",IF(INDEX('Metabase Lookup'!$D:$D,MATCH(B495,'Metabase Lookup'!$A:$A,0))="","",INDEX('Metabase Lookup'!$D:$D,MATCH(B495,'Metabase Lookup'!$A:$A,0))))</f>
        <v/>
      </c>
      <c r="Y495" s="14">
        <f>IF(ISNUMBER(W495),IF(W495&gt;0,"Yes","No"),"Pending")</f>
        <v/>
      </c>
      <c r="Z495" s="14" t="inlineStr">
        <is>
          <t>TID had stray spaces/line breaks (cleaned)</t>
        </is>
      </c>
    </row>
    <row r="496">
      <c r="A496" s="14" t="n">
        <v>495</v>
      </c>
      <c r="B496" s="14" t="inlineStr">
        <is>
          <t>DOINK24607A</t>
        </is>
      </c>
      <c r="C496" s="15" t="inlineStr">
        <is>
          <t>266322695088</t>
        </is>
      </c>
      <c r="D496" s="16" t="n">
        <v>46291.73371527778</v>
      </c>
      <c r="E496" s="17" t="n">
        <v>46291</v>
      </c>
      <c r="F496" s="14" t="inlineStr">
        <is>
          <t>Sat</t>
        </is>
      </c>
      <c r="G496" s="14" t="inlineStr">
        <is>
          <t>Southern</t>
        </is>
      </c>
      <c r="H496" s="14" t="inlineStr">
        <is>
          <t>NSJ</t>
        </is>
      </c>
      <c r="I496" s="14" t="inlineStr">
        <is>
          <t>OPS - NSJ</t>
        </is>
      </c>
      <c r="J496" s="14" t="inlineStr">
        <is>
          <t>OPS (generic hub account)</t>
        </is>
      </c>
      <c r="K496" s="14" t="inlineStr">
        <is>
          <t>91901146</t>
        </is>
      </c>
      <c r="L496" s="14" t="n">
        <v>1</v>
      </c>
      <c r="M496" s="14" t="inlineStr">
        <is>
          <t>LM</t>
        </is>
      </c>
      <c r="N496" s="14" t="inlineStr">
        <is>
          <t>Fake Fail</t>
        </is>
      </c>
      <c r="O496" s="14" t="inlineStr">
        <is>
          <t>Invalid call log (unspecified)</t>
        </is>
      </c>
      <c r="P496" s="14" t="inlineStr">
        <is>
          <t>No</t>
        </is>
      </c>
      <c r="Q496" s="14" t="inlineStr">
        <is>
          <t>Yes</t>
        </is>
      </c>
      <c r="R496" s="14" t="inlineStr">
        <is>
          <t>failed by OPS without valid call log</t>
        </is>
      </c>
      <c r="S496" s="14" t="inlineStr">
        <is>
          <t>Aimenn Aiyad</t>
        </is>
      </c>
      <c r="T496" s="14">
        <f>COUNTIF($B$2:$B$499,B496)</f>
        <v/>
      </c>
      <c r="U496" s="14">
        <f>COUNTIF($I$2:$I$499,I496)</f>
        <v/>
      </c>
      <c r="V496" s="14">
        <f>IF(ISNA(MATCH(B496,'Metabase Lookup'!$A:$A,0)),"Not found",IF(INDEX('Metabase Lookup'!$B:$B,MATCH(B496,'Metabase Lookup'!$A:$A,0))="","Pending",INDEX('Metabase Lookup'!$B:$B,MATCH(B496,'Metabase Lookup'!$A:$A,0))))</f>
        <v/>
      </c>
      <c r="W496" s="14">
        <f>IF(ISNA(MATCH(B496,'Metabase Lookup'!$A:$A,0)),"Not found",IF(INDEX('Metabase Lookup'!$C:$C,MATCH(B496,'Metabase Lookup'!$A:$A,0))="","Pending",INDEX('Metabase Lookup'!$C:$C,MATCH(B496,'Metabase Lookup'!$A:$A,0))))</f>
        <v/>
      </c>
      <c r="X496" s="14">
        <f>IF(ISNA(MATCH(B496,'Metabase Lookup'!$A:$A,0)),"",IF(INDEX('Metabase Lookup'!$D:$D,MATCH(B496,'Metabase Lookup'!$A:$A,0))="","",INDEX('Metabase Lookup'!$D:$D,MATCH(B496,'Metabase Lookup'!$A:$A,0))))</f>
        <v/>
      </c>
      <c r="Y496" s="14">
        <f>IF(ISNUMBER(W496),IF(W496&gt;0,"Yes","No"),"Pending")</f>
        <v/>
      </c>
      <c r="Z496" s="14" t="inlineStr">
        <is>
          <t>Driver not identified (OPS account)</t>
        </is>
      </c>
    </row>
    <row r="497">
      <c r="A497" s="14" t="n">
        <v>496</v>
      </c>
      <c r="B497" s="14" t="inlineStr">
        <is>
          <t>NVMYNINJA002495587</t>
        </is>
      </c>
      <c r="C497" s="15" t="inlineStr">
        <is>
          <t>269332687434</t>
        </is>
      </c>
      <c r="D497" s="16" t="n">
        <v>46291.73378472222</v>
      </c>
      <c r="E497" s="17" t="n">
        <v>46291</v>
      </c>
      <c r="F497" s="14" t="inlineStr">
        <is>
          <t>Sat</t>
        </is>
      </c>
      <c r="G497" s="14" t="inlineStr">
        <is>
          <t>KV</t>
        </is>
      </c>
      <c r="H497" s="14" t="inlineStr">
        <is>
          <t>SEG</t>
        </is>
      </c>
      <c r="I497" s="14" t="inlineStr">
        <is>
          <t>SEG - ID - RINA ANGRAINI</t>
        </is>
      </c>
      <c r="J497" s="14" t="inlineStr">
        <is>
          <t>ID (named driver)</t>
        </is>
      </c>
      <c r="K497" s="14" t="inlineStr">
        <is>
          <t>91774753</t>
        </is>
      </c>
      <c r="L497" s="14" t="n">
        <v>1</v>
      </c>
      <c r="M497" s="14" t="inlineStr">
        <is>
          <t>LM</t>
        </is>
      </c>
      <c r="N497" s="14" t="inlineStr">
        <is>
          <t>Deliver to Wrong Address</t>
        </is>
      </c>
      <c r="O497" s="14" t="inlineStr"/>
      <c r="P497" s="14" t="inlineStr"/>
      <c r="Q497" s="14" t="inlineStr"/>
      <c r="R497" s="14" t="inlineStr">
        <is>
          <t>driver deliver to wrong address, cust not receievs the parcel</t>
        </is>
      </c>
      <c r="S497" s="14" t="inlineStr">
        <is>
          <t>Yana</t>
        </is>
      </c>
      <c r="T497" s="14">
        <f>COUNTIF($B$2:$B$499,B497)</f>
        <v/>
      </c>
      <c r="U497" s="14">
        <f>COUNTIF($I$2:$I$499,I497)</f>
        <v/>
      </c>
      <c r="V497" s="14">
        <f>IF(ISNA(MATCH(B497,'Metabase Lookup'!$A:$A,0)),"Not found",IF(INDEX('Metabase Lookup'!$B:$B,MATCH(B497,'Metabase Lookup'!$A:$A,0))="","Pending",INDEX('Metabase Lookup'!$B:$B,MATCH(B497,'Metabase Lookup'!$A:$A,0))))</f>
        <v/>
      </c>
      <c r="W497" s="14">
        <f>IF(ISNA(MATCH(B497,'Metabase Lookup'!$A:$A,0)),"Not found",IF(INDEX('Metabase Lookup'!$C:$C,MATCH(B497,'Metabase Lookup'!$A:$A,0))="","Pending",INDEX('Metabase Lookup'!$C:$C,MATCH(B497,'Metabase Lookup'!$A:$A,0))))</f>
        <v/>
      </c>
      <c r="X497" s="14">
        <f>IF(ISNA(MATCH(B497,'Metabase Lookup'!$A:$A,0)),"",IF(INDEX('Metabase Lookup'!$D:$D,MATCH(B497,'Metabase Lookup'!$A:$A,0))="","",INDEX('Metabase Lookup'!$D:$D,MATCH(B497,'Metabase Lookup'!$A:$A,0))))</f>
        <v/>
      </c>
      <c r="Y497" s="14">
        <f>IF(ISNUMBER(W497),IF(W497&gt;0,"Yes","No"),"Pending")</f>
        <v/>
      </c>
      <c r="Z497" s="14" t="inlineStr"/>
    </row>
    <row r="498">
      <c r="A498" s="14" t="n">
        <v>497</v>
      </c>
      <c r="B498" s="14" t="inlineStr">
        <is>
          <t>THLTH1552157980114247680</t>
        </is>
      </c>
      <c r="C498" s="15" t="inlineStr">
        <is>
          <t>265942698217</t>
        </is>
      </c>
      <c r="D498" s="16" t="n">
        <v>46291.73733796296</v>
      </c>
      <c r="E498" s="17" t="n">
        <v>46291</v>
      </c>
      <c r="F498" s="14" t="inlineStr">
        <is>
          <t>Sat</t>
        </is>
      </c>
      <c r="G498" s="14" t="inlineStr">
        <is>
          <t>North East</t>
        </is>
      </c>
      <c r="H498" s="14" t="inlineStr">
        <is>
          <t>BCK</t>
        </is>
      </c>
      <c r="I498" s="14" t="inlineStr">
        <is>
          <t>BCK - ID - RAZLAN</t>
        </is>
      </c>
      <c r="J498" s="14" t="inlineStr">
        <is>
          <t>ID (named driver)</t>
        </is>
      </c>
      <c r="K498" s="14" t="inlineStr">
        <is>
          <t>91892354</t>
        </is>
      </c>
      <c r="L498" s="14" t="n">
        <v>1</v>
      </c>
      <c r="M498" s="14" t="inlineStr">
        <is>
          <t>LM</t>
        </is>
      </c>
      <c r="N498" s="14" t="inlineStr">
        <is>
          <t>Fake Success</t>
        </is>
      </c>
      <c r="O498" s="14" t="inlineStr"/>
      <c r="P498" s="14" t="inlineStr"/>
      <c r="Q498" s="14" t="inlineStr"/>
      <c r="R498" s="14" t="inlineStr">
        <is>
          <t>cust didnt received</t>
        </is>
      </c>
      <c r="S498" s="14" t="inlineStr">
        <is>
          <t>Abdul</t>
        </is>
      </c>
      <c r="T498" s="14">
        <f>COUNTIF($B$2:$B$499,B498)</f>
        <v/>
      </c>
      <c r="U498" s="14">
        <f>COUNTIF($I$2:$I$499,I498)</f>
        <v/>
      </c>
      <c r="V498" s="14">
        <f>IF(ISNA(MATCH(B498,'Metabase Lookup'!$A:$A,0)),"Not found",IF(INDEX('Metabase Lookup'!$B:$B,MATCH(B498,'Metabase Lookup'!$A:$A,0))="","Pending",INDEX('Metabase Lookup'!$B:$B,MATCH(B498,'Metabase Lookup'!$A:$A,0))))</f>
        <v/>
      </c>
      <c r="W498" s="14">
        <f>IF(ISNA(MATCH(B498,'Metabase Lookup'!$A:$A,0)),"Not found",IF(INDEX('Metabase Lookup'!$C:$C,MATCH(B498,'Metabase Lookup'!$A:$A,0))="","Pending",INDEX('Metabase Lookup'!$C:$C,MATCH(B498,'Metabase Lookup'!$A:$A,0))))</f>
        <v/>
      </c>
      <c r="X498" s="14">
        <f>IF(ISNA(MATCH(B498,'Metabase Lookup'!$A:$A,0)),"",IF(INDEX('Metabase Lookup'!$D:$D,MATCH(B498,'Metabase Lookup'!$A:$A,0))="","",INDEX('Metabase Lookup'!$D:$D,MATCH(B498,'Metabase Lookup'!$A:$A,0))))</f>
        <v/>
      </c>
      <c r="Y498" s="14">
        <f>IF(ISNUMBER(W498),IF(W498&gt;0,"Yes","No"),"Pending")</f>
        <v/>
      </c>
      <c r="Z498" s="14" t="inlineStr"/>
    </row>
    <row r="499">
      <c r="A499" s="14" t="n">
        <v>498</v>
      </c>
      <c r="B499" s="14" t="inlineStr">
        <is>
          <t>NVMYNINJA002519165</t>
        </is>
      </c>
      <c r="C499" s="15" t="inlineStr">
        <is>
          <t>268172691043</t>
        </is>
      </c>
      <c r="D499" s="16" t="n">
        <v>46292.60375</v>
      </c>
      <c r="E499" s="17" t="n">
        <v>46292</v>
      </c>
      <c r="F499" s="14" t="inlineStr">
        <is>
          <t>Sun</t>
        </is>
      </c>
      <c r="G499" s="14" t="inlineStr">
        <is>
          <t>Southern</t>
        </is>
      </c>
      <c r="H499" s="14" t="inlineStr">
        <is>
          <t>KEM</t>
        </is>
      </c>
      <c r="I499" s="14" t="inlineStr">
        <is>
          <t>MTG - FM - Shazwan Saupi</t>
        </is>
      </c>
      <c r="J499" s="14" t="inlineStr">
        <is>
          <t>FM (first-mile)</t>
        </is>
      </c>
      <c r="K499" s="14" t="inlineStr">
        <is>
          <t>91894656</t>
        </is>
      </c>
      <c r="L499" s="14" t="n">
        <v>1</v>
      </c>
      <c r="M499" s="14" t="inlineStr">
        <is>
          <t>LM</t>
        </is>
      </c>
      <c r="N499" s="14" t="inlineStr">
        <is>
          <t>CMI (Can't Make It)</t>
        </is>
      </c>
      <c r="O499" s="14" t="inlineStr"/>
      <c r="P499" s="14" t="inlineStr"/>
      <c r="Q499" s="14" t="inlineStr"/>
      <c r="R499" s="14" t="inlineStr">
        <is>
          <t>No call and message provided</t>
        </is>
      </c>
      <c r="S499" s="14" t="inlineStr">
        <is>
          <t>Daus</t>
        </is>
      </c>
      <c r="T499" s="14">
        <f>COUNTIF($B$2:$B$499,B499)</f>
        <v/>
      </c>
      <c r="U499" s="14">
        <f>COUNTIF($I$2:$I$499,I499)</f>
        <v/>
      </c>
      <c r="V499" s="14">
        <f>IF(ISNA(MATCH(B499,'Metabase Lookup'!$A:$A,0)),"Not found",IF(INDEX('Metabase Lookup'!$B:$B,MATCH(B499,'Metabase Lookup'!$A:$A,0))="","Pending",INDEX('Metabase Lookup'!$B:$B,MATCH(B499,'Metabase Lookup'!$A:$A,0))))</f>
        <v/>
      </c>
      <c r="W499" s="14">
        <f>IF(ISNA(MATCH(B499,'Metabase Lookup'!$A:$A,0)),"Not found",IF(INDEX('Metabase Lookup'!$C:$C,MATCH(B499,'Metabase Lookup'!$A:$A,0))="","Pending",INDEX('Metabase Lookup'!$C:$C,MATCH(B499,'Metabase Lookup'!$A:$A,0))))</f>
        <v/>
      </c>
      <c r="X499" s="14">
        <f>IF(ISNA(MATCH(B499,'Metabase Lookup'!$A:$A,0)),"",IF(INDEX('Metabase Lookup'!$D:$D,MATCH(B499,'Metabase Lookup'!$A:$A,0))="","",INDEX('Metabase Lookup'!$D:$D,MATCH(B499,'Metabase Lookup'!$A:$A,0))))</f>
        <v/>
      </c>
      <c r="Y499" s="14">
        <f>IF(ISNUMBER(W499),IF(W499&gt;0,"Yes","No"),"Pending")</f>
        <v/>
      </c>
      <c r="Z499" s="14" t="inlineStr"/>
    </row>
  </sheetData>
  <autoFilter ref="A1:Z499"/>
  <conditionalFormatting sqref="T2:T499">
    <cfRule type="cellIs" priority="1" operator="greaterThan" dxfId="0">
      <formula>1</formula>
    </cfRule>
  </conditionalFormatting>
  <conditionalFormatting sqref="Y2:Y499">
    <cfRule type="cellIs" priority="2" operator="equal" dxfId="0">
      <formula>"Yes"</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98A2B3"/>
    <outlinePr summaryBelow="1" summaryRight="1"/>
    <pageSetUpPr/>
  </sheetPr>
  <dimension ref="A1:O10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1" customWidth="1" min="3" max="3"/>
    <col width="8" customWidth="1" min="4" max="4"/>
    <col width="9" customWidth="1" min="5" max="5"/>
    <col width="9" customWidth="1" min="6" max="6"/>
    <col width="9" customWidth="1" min="7" max="7"/>
    <col width="7" customWidth="1" min="8" max="8"/>
    <col width="9" customWidth="1" min="9" max="9"/>
    <col width="7" customWidth="1" min="10" max="10"/>
    <col width="9" customWidth="1" min="11" max="11"/>
    <col width="10" customWidth="1" min="12" max="12"/>
    <col width="12" customWidth="1" min="13" max="13"/>
    <col width="10" customWidth="1" min="14" max="14"/>
    <col width="10" customWidth="1" min="15" max="15"/>
  </cols>
  <sheetData>
    <row r="1">
      <c r="A1" s="1" t="inlineStr">
        <is>
          <t>Hub Scorecard — W39 (21–27 Sep 2026)</t>
        </is>
      </c>
    </row>
    <row r="2">
      <c r="A2" s="18" t="inlineStr">
        <is>
          <t>Sorted by total complaints. All counts are live formulas on the Cases sheet.</t>
        </is>
      </c>
    </row>
    <row r="4" ht="42" customHeight="1">
      <c r="A4" s="9" t="inlineStr">
        <is>
          <t>Rank</t>
        </is>
      </c>
      <c r="B4" s="9" t="inlineStr">
        <is>
          <t>Hub</t>
        </is>
      </c>
      <c r="C4" s="9" t="inlineStr">
        <is>
          <t>Region</t>
        </is>
      </c>
      <c r="D4" s="9" t="inlineStr">
        <is>
          <t>Total</t>
        </is>
      </c>
      <c r="E4" s="9" t="inlineStr">
        <is>
          <t>Fake Fail</t>
        </is>
      </c>
      <c r="F4" s="9" t="inlineStr">
        <is>
          <t>Fake Success</t>
        </is>
      </c>
      <c r="G4" s="9" t="inlineStr">
        <is>
          <t>Wrong Address</t>
        </is>
      </c>
      <c r="H4" s="9" t="inlineStr">
        <is>
          <t>POR</t>
        </is>
      </c>
      <c r="I4" s="9" t="inlineStr">
        <is>
          <t>Failed Pick-up</t>
        </is>
      </c>
      <c r="J4" s="9" t="inlineStr">
        <is>
          <t>Other</t>
        </is>
      </c>
      <c r="K4" s="9" t="inlineStr">
        <is>
          <t>% Fake Fail</t>
        </is>
      </c>
      <c r="L4" s="9" t="inlineStr">
        <is>
          <t>OPS-account Cases</t>
        </is>
      </c>
      <c r="M4" s="9" t="inlineStr">
        <is>
          <t>% Driver Not Identified</t>
        </is>
      </c>
      <c r="N4" s="9" t="inlineStr">
        <is>
          <t>Named Drivers Involved</t>
        </is>
      </c>
      <c r="O4" s="9" t="inlineStr">
        <is>
          <t>Share of Network</t>
        </is>
      </c>
    </row>
    <row r="5">
      <c r="A5" s="10" t="n">
        <v>1</v>
      </c>
      <c r="B5" s="10" t="inlineStr">
        <is>
          <t>PJY</t>
        </is>
      </c>
      <c r="C5" s="10" t="inlineStr">
        <is>
          <t>KV</t>
        </is>
      </c>
      <c r="D5" s="10">
        <f>COUNTIF(Cases!$H$2:$H$499,B5)</f>
        <v/>
      </c>
      <c r="E5" s="10">
        <f>COUNTIFS(Cases!$H$2:$H$499,$B5,Cases!$N$2:$N$499,"Fake Fail")</f>
        <v/>
      </c>
      <c r="F5" s="10">
        <f>COUNTIFS(Cases!$H$2:$H$499,$B5,Cases!$N$2:$N$499,"Fake Success")</f>
        <v/>
      </c>
      <c r="G5" s="10">
        <f>COUNTIFS(Cases!$H$2:$H$499,$B5,Cases!$N$2:$N$499,"Deliver to Wrong Address")</f>
        <v/>
      </c>
      <c r="H5" s="10">
        <f>COUNTIFS(Cases!$H$2:$H$499,$B5,Cases!$N$2:$N$499,"Pull Out Route (POR)")</f>
        <v/>
      </c>
      <c r="I5" s="10">
        <f>COUNTIFS(Cases!$H$2:$H$499,$B5,Cases!$N$2:$N$499,"Failed pick-up")</f>
        <v/>
      </c>
      <c r="J5" s="10">
        <f>D5-SUM(E5:I5)</f>
        <v/>
      </c>
      <c r="K5" s="11">
        <f>IF(D5=0,0,E5/D5)</f>
        <v/>
      </c>
      <c r="L5" s="10">
        <f>COUNTIFS(Cases!$H$2:$H$499,$B5,Cases!$J$2:$J$499,"OPS (generic hub account)")</f>
        <v/>
      </c>
      <c r="M5" s="11">
        <f>IF(D5=0,0,L5/D5)</f>
        <v/>
      </c>
      <c r="N5" s="10" t="n">
        <v>1</v>
      </c>
      <c r="O5" s="11">
        <f>D5/COUNTA(Cases!$B$2:$B$499)</f>
        <v/>
      </c>
    </row>
    <row r="6">
      <c r="A6" s="10" t="n">
        <v>2</v>
      </c>
      <c r="B6" s="10" t="inlineStr">
        <is>
          <t>GLG</t>
        </is>
      </c>
      <c r="C6" s="10" t="inlineStr">
        <is>
          <t>Southern</t>
        </is>
      </c>
      <c r="D6" s="10">
        <f>COUNTIF(Cases!$H$2:$H$499,B6)</f>
        <v/>
      </c>
      <c r="E6" s="10">
        <f>COUNTIFS(Cases!$H$2:$H$499,$B6,Cases!$N$2:$N$499,"Fake Fail")</f>
        <v/>
      </c>
      <c r="F6" s="10">
        <f>COUNTIFS(Cases!$H$2:$H$499,$B6,Cases!$N$2:$N$499,"Fake Success")</f>
        <v/>
      </c>
      <c r="G6" s="10">
        <f>COUNTIFS(Cases!$H$2:$H$499,$B6,Cases!$N$2:$N$499,"Deliver to Wrong Address")</f>
        <v/>
      </c>
      <c r="H6" s="10">
        <f>COUNTIFS(Cases!$H$2:$H$499,$B6,Cases!$N$2:$N$499,"Pull Out Route (POR)")</f>
        <v/>
      </c>
      <c r="I6" s="10">
        <f>COUNTIFS(Cases!$H$2:$H$499,$B6,Cases!$N$2:$N$499,"Failed pick-up")</f>
        <v/>
      </c>
      <c r="J6" s="10">
        <f>D6-SUM(E6:I6)</f>
        <v/>
      </c>
      <c r="K6" s="11">
        <f>IF(D6=0,0,E6/D6)</f>
        <v/>
      </c>
      <c r="L6" s="10">
        <f>COUNTIFS(Cases!$H$2:$H$499,$B6,Cases!$J$2:$J$499,"OPS (generic hub account)")</f>
        <v/>
      </c>
      <c r="M6" s="11">
        <f>IF(D6=0,0,L6/D6)</f>
        <v/>
      </c>
      <c r="N6" s="10" t="n">
        <v>3</v>
      </c>
      <c r="O6" s="11">
        <f>D6/COUNTA(Cases!$B$2:$B$499)</f>
        <v/>
      </c>
    </row>
    <row r="7">
      <c r="A7" s="10" t="n">
        <v>3</v>
      </c>
      <c r="B7" s="10" t="inlineStr">
        <is>
          <t>KEM</t>
        </is>
      </c>
      <c r="C7" s="10" t="inlineStr">
        <is>
          <t>Southern</t>
        </is>
      </c>
      <c r="D7" s="10">
        <f>COUNTIF(Cases!$H$2:$H$499,B7)</f>
        <v/>
      </c>
      <c r="E7" s="10">
        <f>COUNTIFS(Cases!$H$2:$H$499,$B7,Cases!$N$2:$N$499,"Fake Fail")</f>
        <v/>
      </c>
      <c r="F7" s="10">
        <f>COUNTIFS(Cases!$H$2:$H$499,$B7,Cases!$N$2:$N$499,"Fake Success")</f>
        <v/>
      </c>
      <c r="G7" s="10">
        <f>COUNTIFS(Cases!$H$2:$H$499,$B7,Cases!$N$2:$N$499,"Deliver to Wrong Address")</f>
        <v/>
      </c>
      <c r="H7" s="10">
        <f>COUNTIFS(Cases!$H$2:$H$499,$B7,Cases!$N$2:$N$499,"Pull Out Route (POR)")</f>
        <v/>
      </c>
      <c r="I7" s="10">
        <f>COUNTIFS(Cases!$H$2:$H$499,$B7,Cases!$N$2:$N$499,"Failed pick-up")</f>
        <v/>
      </c>
      <c r="J7" s="10">
        <f>D7-SUM(E7:I7)</f>
        <v/>
      </c>
      <c r="K7" s="11">
        <f>IF(D7=0,0,E7/D7)</f>
        <v/>
      </c>
      <c r="L7" s="10">
        <f>COUNTIFS(Cases!$H$2:$H$499,$B7,Cases!$J$2:$J$499,"OPS (generic hub account)")</f>
        <v/>
      </c>
      <c r="M7" s="11">
        <f>IF(D7=0,0,L7/D7)</f>
        <v/>
      </c>
      <c r="N7" s="10" t="n">
        <v>6</v>
      </c>
      <c r="O7" s="11">
        <f>D7/COUNTA(Cases!$B$2:$B$499)</f>
        <v/>
      </c>
    </row>
    <row r="8">
      <c r="A8" s="10" t="n">
        <v>4</v>
      </c>
      <c r="B8" s="10" t="inlineStr">
        <is>
          <t>OUG</t>
        </is>
      </c>
      <c r="C8" s="10" t="inlineStr">
        <is>
          <t>KV</t>
        </is>
      </c>
      <c r="D8" s="10">
        <f>COUNTIF(Cases!$H$2:$H$499,B8)</f>
        <v/>
      </c>
      <c r="E8" s="10">
        <f>COUNTIFS(Cases!$H$2:$H$499,$B8,Cases!$N$2:$N$499,"Fake Fail")</f>
        <v/>
      </c>
      <c r="F8" s="10">
        <f>COUNTIFS(Cases!$H$2:$H$499,$B8,Cases!$N$2:$N$499,"Fake Success")</f>
        <v/>
      </c>
      <c r="G8" s="10">
        <f>COUNTIFS(Cases!$H$2:$H$499,$B8,Cases!$N$2:$N$499,"Deliver to Wrong Address")</f>
        <v/>
      </c>
      <c r="H8" s="10">
        <f>COUNTIFS(Cases!$H$2:$H$499,$B8,Cases!$N$2:$N$499,"Pull Out Route (POR)")</f>
        <v/>
      </c>
      <c r="I8" s="10">
        <f>COUNTIFS(Cases!$H$2:$H$499,$B8,Cases!$N$2:$N$499,"Failed pick-up")</f>
        <v/>
      </c>
      <c r="J8" s="10">
        <f>D8-SUM(E8:I8)</f>
        <v/>
      </c>
      <c r="K8" s="11">
        <f>IF(D8=0,0,E8/D8)</f>
        <v/>
      </c>
      <c r="L8" s="10">
        <f>COUNTIFS(Cases!$H$2:$H$499,$B8,Cases!$J$2:$J$499,"OPS (generic hub account)")</f>
        <v/>
      </c>
      <c r="M8" s="11">
        <f>IF(D8=0,0,L8/D8)</f>
        <v/>
      </c>
      <c r="N8" s="10" t="n">
        <v>6</v>
      </c>
      <c r="O8" s="11">
        <f>D8/COUNTA(Cases!$B$2:$B$499)</f>
        <v/>
      </c>
    </row>
    <row r="9">
      <c r="A9" s="10" t="n">
        <v>5</v>
      </c>
      <c r="B9" s="10" t="inlineStr">
        <is>
          <t>BTR</t>
        </is>
      </c>
      <c r="C9" s="10" t="inlineStr">
        <is>
          <t>KV</t>
        </is>
      </c>
      <c r="D9" s="10">
        <f>COUNTIF(Cases!$H$2:$H$499,B9)</f>
        <v/>
      </c>
      <c r="E9" s="10">
        <f>COUNTIFS(Cases!$H$2:$H$499,$B9,Cases!$N$2:$N$499,"Fake Fail")</f>
        <v/>
      </c>
      <c r="F9" s="10">
        <f>COUNTIFS(Cases!$H$2:$H$499,$B9,Cases!$N$2:$N$499,"Fake Success")</f>
        <v/>
      </c>
      <c r="G9" s="10">
        <f>COUNTIFS(Cases!$H$2:$H$499,$B9,Cases!$N$2:$N$499,"Deliver to Wrong Address")</f>
        <v/>
      </c>
      <c r="H9" s="10">
        <f>COUNTIFS(Cases!$H$2:$H$499,$B9,Cases!$N$2:$N$499,"Pull Out Route (POR)")</f>
        <v/>
      </c>
      <c r="I9" s="10">
        <f>COUNTIFS(Cases!$H$2:$H$499,$B9,Cases!$N$2:$N$499,"Failed pick-up")</f>
        <v/>
      </c>
      <c r="J9" s="10">
        <f>D9-SUM(E9:I9)</f>
        <v/>
      </c>
      <c r="K9" s="11">
        <f>IF(D9=0,0,E9/D9)</f>
        <v/>
      </c>
      <c r="L9" s="10">
        <f>COUNTIFS(Cases!$H$2:$H$499,$B9,Cases!$J$2:$J$499,"OPS (generic hub account)")</f>
        <v/>
      </c>
      <c r="M9" s="11">
        <f>IF(D9=0,0,L9/D9)</f>
        <v/>
      </c>
      <c r="N9" s="10" t="n">
        <v>6</v>
      </c>
      <c r="O9" s="11">
        <f>D9/COUNTA(Cases!$B$2:$B$499)</f>
        <v/>
      </c>
    </row>
    <row r="10">
      <c r="A10" s="10" t="n">
        <v>6</v>
      </c>
      <c r="B10" s="10" t="inlineStr">
        <is>
          <t>NSJ</t>
        </is>
      </c>
      <c r="C10" s="10" t="inlineStr">
        <is>
          <t>Southern</t>
        </is>
      </c>
      <c r="D10" s="10">
        <f>COUNTIF(Cases!$H$2:$H$499,B10)</f>
        <v/>
      </c>
      <c r="E10" s="10">
        <f>COUNTIFS(Cases!$H$2:$H$499,$B10,Cases!$N$2:$N$499,"Fake Fail")</f>
        <v/>
      </c>
      <c r="F10" s="10">
        <f>COUNTIFS(Cases!$H$2:$H$499,$B10,Cases!$N$2:$N$499,"Fake Success")</f>
        <v/>
      </c>
      <c r="G10" s="10">
        <f>COUNTIFS(Cases!$H$2:$H$499,$B10,Cases!$N$2:$N$499,"Deliver to Wrong Address")</f>
        <v/>
      </c>
      <c r="H10" s="10">
        <f>COUNTIFS(Cases!$H$2:$H$499,$B10,Cases!$N$2:$N$499,"Pull Out Route (POR)")</f>
        <v/>
      </c>
      <c r="I10" s="10">
        <f>COUNTIFS(Cases!$H$2:$H$499,$B10,Cases!$N$2:$N$499,"Failed pick-up")</f>
        <v/>
      </c>
      <c r="J10" s="10">
        <f>D10-SUM(E10:I10)</f>
        <v/>
      </c>
      <c r="K10" s="11">
        <f>IF(D10=0,0,E10/D10)</f>
        <v/>
      </c>
      <c r="L10" s="10">
        <f>COUNTIFS(Cases!$H$2:$H$499,$B10,Cases!$J$2:$J$499,"OPS (generic hub account)")</f>
        <v/>
      </c>
      <c r="M10" s="11">
        <f>IF(D10=0,0,L10/D10)</f>
        <v/>
      </c>
      <c r="N10" s="10" t="n">
        <v>1</v>
      </c>
      <c r="O10" s="11">
        <f>D10/COUNTA(Cases!$B$2:$B$499)</f>
        <v/>
      </c>
    </row>
    <row r="11">
      <c r="A11" s="10" t="n">
        <v>7</v>
      </c>
      <c r="B11" s="10" t="inlineStr">
        <is>
          <t>GEO</t>
        </is>
      </c>
      <c r="C11" s="10" t="inlineStr">
        <is>
          <t>Northern</t>
        </is>
      </c>
      <c r="D11" s="10">
        <f>COUNTIF(Cases!$H$2:$H$499,B11)</f>
        <v/>
      </c>
      <c r="E11" s="10">
        <f>COUNTIFS(Cases!$H$2:$H$499,$B11,Cases!$N$2:$N$499,"Fake Fail")</f>
        <v/>
      </c>
      <c r="F11" s="10">
        <f>COUNTIFS(Cases!$H$2:$H$499,$B11,Cases!$N$2:$N$499,"Fake Success")</f>
        <v/>
      </c>
      <c r="G11" s="10">
        <f>COUNTIFS(Cases!$H$2:$H$499,$B11,Cases!$N$2:$N$499,"Deliver to Wrong Address")</f>
        <v/>
      </c>
      <c r="H11" s="10">
        <f>COUNTIFS(Cases!$H$2:$H$499,$B11,Cases!$N$2:$N$499,"Pull Out Route (POR)")</f>
        <v/>
      </c>
      <c r="I11" s="10">
        <f>COUNTIFS(Cases!$H$2:$H$499,$B11,Cases!$N$2:$N$499,"Failed pick-up")</f>
        <v/>
      </c>
      <c r="J11" s="10">
        <f>D11-SUM(E11:I11)</f>
        <v/>
      </c>
      <c r="K11" s="11">
        <f>IF(D11=0,0,E11/D11)</f>
        <v/>
      </c>
      <c r="L11" s="10">
        <f>COUNTIFS(Cases!$H$2:$H$499,$B11,Cases!$J$2:$J$499,"OPS (generic hub account)")</f>
        <v/>
      </c>
      <c r="M11" s="11">
        <f>IF(D11=0,0,L11/D11)</f>
        <v/>
      </c>
      <c r="N11" s="10" t="n">
        <v>3</v>
      </c>
      <c r="O11" s="11">
        <f>D11/COUNTA(Cases!$B$2:$B$499)</f>
        <v/>
      </c>
    </row>
    <row r="12">
      <c r="A12" s="10" t="n">
        <v>8</v>
      </c>
      <c r="B12" s="10" t="inlineStr">
        <is>
          <t>BKW</t>
        </is>
      </c>
      <c r="C12" s="10" t="inlineStr">
        <is>
          <t>East MY</t>
        </is>
      </c>
      <c r="D12" s="10">
        <f>COUNTIF(Cases!$H$2:$H$499,B12)</f>
        <v/>
      </c>
      <c r="E12" s="10">
        <f>COUNTIFS(Cases!$H$2:$H$499,$B12,Cases!$N$2:$N$499,"Fake Fail")</f>
        <v/>
      </c>
      <c r="F12" s="10">
        <f>COUNTIFS(Cases!$H$2:$H$499,$B12,Cases!$N$2:$N$499,"Fake Success")</f>
        <v/>
      </c>
      <c r="G12" s="10">
        <f>COUNTIFS(Cases!$H$2:$H$499,$B12,Cases!$N$2:$N$499,"Deliver to Wrong Address")</f>
        <v/>
      </c>
      <c r="H12" s="10">
        <f>COUNTIFS(Cases!$H$2:$H$499,$B12,Cases!$N$2:$N$499,"Pull Out Route (POR)")</f>
        <v/>
      </c>
      <c r="I12" s="10">
        <f>COUNTIFS(Cases!$H$2:$H$499,$B12,Cases!$N$2:$N$499,"Failed pick-up")</f>
        <v/>
      </c>
      <c r="J12" s="10">
        <f>D12-SUM(E12:I12)</f>
        <v/>
      </c>
      <c r="K12" s="11">
        <f>IF(D12=0,0,E12/D12)</f>
        <v/>
      </c>
      <c r="L12" s="10">
        <f>COUNTIFS(Cases!$H$2:$H$499,$B12,Cases!$J$2:$J$499,"OPS (generic hub account)")</f>
        <v/>
      </c>
      <c r="M12" s="11">
        <f>IF(D12=0,0,L12/D12)</f>
        <v/>
      </c>
      <c r="N12" s="10" t="n">
        <v>4</v>
      </c>
      <c r="O12" s="11">
        <f>D12/COUNTA(Cases!$B$2:$B$499)</f>
        <v/>
      </c>
    </row>
    <row r="13">
      <c r="A13" s="10" t="n">
        <v>9</v>
      </c>
      <c r="B13" s="10" t="inlineStr">
        <is>
          <t>LKN</t>
        </is>
      </c>
      <c r="C13" s="10" t="inlineStr">
        <is>
          <t>Southern</t>
        </is>
      </c>
      <c r="D13" s="10">
        <f>COUNTIF(Cases!$H$2:$H$499,B13)</f>
        <v/>
      </c>
      <c r="E13" s="10">
        <f>COUNTIFS(Cases!$H$2:$H$499,$B13,Cases!$N$2:$N$499,"Fake Fail")</f>
        <v/>
      </c>
      <c r="F13" s="10">
        <f>COUNTIFS(Cases!$H$2:$H$499,$B13,Cases!$N$2:$N$499,"Fake Success")</f>
        <v/>
      </c>
      <c r="G13" s="10">
        <f>COUNTIFS(Cases!$H$2:$H$499,$B13,Cases!$N$2:$N$499,"Deliver to Wrong Address")</f>
        <v/>
      </c>
      <c r="H13" s="10">
        <f>COUNTIFS(Cases!$H$2:$H$499,$B13,Cases!$N$2:$N$499,"Pull Out Route (POR)")</f>
        <v/>
      </c>
      <c r="I13" s="10">
        <f>COUNTIFS(Cases!$H$2:$H$499,$B13,Cases!$N$2:$N$499,"Failed pick-up")</f>
        <v/>
      </c>
      <c r="J13" s="10">
        <f>D13-SUM(E13:I13)</f>
        <v/>
      </c>
      <c r="K13" s="11">
        <f>IF(D13=0,0,E13/D13)</f>
        <v/>
      </c>
      <c r="L13" s="10">
        <f>COUNTIFS(Cases!$H$2:$H$499,$B13,Cases!$J$2:$J$499,"OPS (generic hub account)")</f>
        <v/>
      </c>
      <c r="M13" s="11">
        <f>IF(D13=0,0,L13/D13)</f>
        <v/>
      </c>
      <c r="N13" s="10" t="n">
        <v>12</v>
      </c>
      <c r="O13" s="11">
        <f>D13/COUNTA(Cases!$B$2:$B$499)</f>
        <v/>
      </c>
    </row>
    <row r="14">
      <c r="A14" s="10" t="n">
        <v>10</v>
      </c>
      <c r="B14" s="10" t="inlineStr">
        <is>
          <t>DSA</t>
        </is>
      </c>
      <c r="C14" s="10" t="inlineStr">
        <is>
          <t>KV</t>
        </is>
      </c>
      <c r="D14" s="10">
        <f>COUNTIF(Cases!$H$2:$H$499,B14)</f>
        <v/>
      </c>
      <c r="E14" s="10">
        <f>COUNTIFS(Cases!$H$2:$H$499,$B14,Cases!$N$2:$N$499,"Fake Fail")</f>
        <v/>
      </c>
      <c r="F14" s="10">
        <f>COUNTIFS(Cases!$H$2:$H$499,$B14,Cases!$N$2:$N$499,"Fake Success")</f>
        <v/>
      </c>
      <c r="G14" s="10">
        <f>COUNTIFS(Cases!$H$2:$H$499,$B14,Cases!$N$2:$N$499,"Deliver to Wrong Address")</f>
        <v/>
      </c>
      <c r="H14" s="10">
        <f>COUNTIFS(Cases!$H$2:$H$499,$B14,Cases!$N$2:$N$499,"Pull Out Route (POR)")</f>
        <v/>
      </c>
      <c r="I14" s="10">
        <f>COUNTIFS(Cases!$H$2:$H$499,$B14,Cases!$N$2:$N$499,"Failed pick-up")</f>
        <v/>
      </c>
      <c r="J14" s="10">
        <f>D14-SUM(E14:I14)</f>
        <v/>
      </c>
      <c r="K14" s="11">
        <f>IF(D14=0,0,E14/D14)</f>
        <v/>
      </c>
      <c r="L14" s="10">
        <f>COUNTIFS(Cases!$H$2:$H$499,$B14,Cases!$J$2:$J$499,"OPS (generic hub account)")</f>
        <v/>
      </c>
      <c r="M14" s="11">
        <f>IF(D14=0,0,L14/D14)</f>
        <v/>
      </c>
      <c r="N14" s="10" t="n">
        <v>3</v>
      </c>
      <c r="O14" s="11">
        <f>D14/COUNTA(Cases!$B$2:$B$499)</f>
        <v/>
      </c>
    </row>
    <row r="15">
      <c r="A15" s="10" t="n">
        <v>11</v>
      </c>
      <c r="B15" s="10" t="inlineStr">
        <is>
          <t>TRM</t>
        </is>
      </c>
      <c r="C15" s="10" t="inlineStr">
        <is>
          <t>Southern</t>
        </is>
      </c>
      <c r="D15" s="10">
        <f>COUNTIF(Cases!$H$2:$H$499,B15)</f>
        <v/>
      </c>
      <c r="E15" s="10">
        <f>COUNTIFS(Cases!$H$2:$H$499,$B15,Cases!$N$2:$N$499,"Fake Fail")</f>
        <v/>
      </c>
      <c r="F15" s="10">
        <f>COUNTIFS(Cases!$H$2:$H$499,$B15,Cases!$N$2:$N$499,"Fake Success")</f>
        <v/>
      </c>
      <c r="G15" s="10">
        <f>COUNTIFS(Cases!$H$2:$H$499,$B15,Cases!$N$2:$N$499,"Deliver to Wrong Address")</f>
        <v/>
      </c>
      <c r="H15" s="10">
        <f>COUNTIFS(Cases!$H$2:$H$499,$B15,Cases!$N$2:$N$499,"Pull Out Route (POR)")</f>
        <v/>
      </c>
      <c r="I15" s="10">
        <f>COUNTIFS(Cases!$H$2:$H$499,$B15,Cases!$N$2:$N$499,"Failed pick-up")</f>
        <v/>
      </c>
      <c r="J15" s="10">
        <f>D15-SUM(E15:I15)</f>
        <v/>
      </c>
      <c r="K15" s="11">
        <f>IF(D15=0,0,E15/D15)</f>
        <v/>
      </c>
      <c r="L15" s="10">
        <f>COUNTIFS(Cases!$H$2:$H$499,$B15,Cases!$J$2:$J$499,"OPS (generic hub account)")</f>
        <v/>
      </c>
      <c r="M15" s="11">
        <f>IF(D15=0,0,L15/D15)</f>
        <v/>
      </c>
      <c r="N15" s="10" t="n">
        <v>4</v>
      </c>
      <c r="O15" s="11">
        <f>D15/COUNTA(Cases!$B$2:$B$499)</f>
        <v/>
      </c>
    </row>
    <row r="16">
      <c r="A16" s="10" t="n">
        <v>12</v>
      </c>
      <c r="B16" s="10" t="inlineStr">
        <is>
          <t>KLI</t>
        </is>
      </c>
      <c r="C16" s="10" t="inlineStr">
        <is>
          <t>Southern</t>
        </is>
      </c>
      <c r="D16" s="10">
        <f>COUNTIF(Cases!$H$2:$H$499,B16)</f>
        <v/>
      </c>
      <c r="E16" s="10">
        <f>COUNTIFS(Cases!$H$2:$H$499,$B16,Cases!$N$2:$N$499,"Fake Fail")</f>
        <v/>
      </c>
      <c r="F16" s="10">
        <f>COUNTIFS(Cases!$H$2:$H$499,$B16,Cases!$N$2:$N$499,"Fake Success")</f>
        <v/>
      </c>
      <c r="G16" s="10">
        <f>COUNTIFS(Cases!$H$2:$H$499,$B16,Cases!$N$2:$N$499,"Deliver to Wrong Address")</f>
        <v/>
      </c>
      <c r="H16" s="10">
        <f>COUNTIFS(Cases!$H$2:$H$499,$B16,Cases!$N$2:$N$499,"Pull Out Route (POR)")</f>
        <v/>
      </c>
      <c r="I16" s="10">
        <f>COUNTIFS(Cases!$H$2:$H$499,$B16,Cases!$N$2:$N$499,"Failed pick-up")</f>
        <v/>
      </c>
      <c r="J16" s="10">
        <f>D16-SUM(E16:I16)</f>
        <v/>
      </c>
      <c r="K16" s="11">
        <f>IF(D16=0,0,E16/D16)</f>
        <v/>
      </c>
      <c r="L16" s="10">
        <f>COUNTIFS(Cases!$H$2:$H$499,$B16,Cases!$J$2:$J$499,"OPS (generic hub account)")</f>
        <v/>
      </c>
      <c r="M16" s="11">
        <f>IF(D16=0,0,L16/D16)</f>
        <v/>
      </c>
      <c r="N16" s="10" t="n">
        <v>2</v>
      </c>
      <c r="O16" s="11">
        <f>D16/COUNTA(Cases!$B$2:$B$499)</f>
        <v/>
      </c>
    </row>
    <row r="17">
      <c r="A17" s="10" t="n">
        <v>13</v>
      </c>
      <c r="B17" s="10" t="inlineStr">
        <is>
          <t>SHA</t>
        </is>
      </c>
      <c r="C17" s="10" t="inlineStr">
        <is>
          <t>KV</t>
        </is>
      </c>
      <c r="D17" s="10">
        <f>COUNTIF(Cases!$H$2:$H$499,B17)</f>
        <v/>
      </c>
      <c r="E17" s="10">
        <f>COUNTIFS(Cases!$H$2:$H$499,$B17,Cases!$N$2:$N$499,"Fake Fail")</f>
        <v/>
      </c>
      <c r="F17" s="10">
        <f>COUNTIFS(Cases!$H$2:$H$499,$B17,Cases!$N$2:$N$499,"Fake Success")</f>
        <v/>
      </c>
      <c r="G17" s="10">
        <f>COUNTIFS(Cases!$H$2:$H$499,$B17,Cases!$N$2:$N$499,"Deliver to Wrong Address")</f>
        <v/>
      </c>
      <c r="H17" s="10">
        <f>COUNTIFS(Cases!$H$2:$H$499,$B17,Cases!$N$2:$N$499,"Pull Out Route (POR)")</f>
        <v/>
      </c>
      <c r="I17" s="10">
        <f>COUNTIFS(Cases!$H$2:$H$499,$B17,Cases!$N$2:$N$499,"Failed pick-up")</f>
        <v/>
      </c>
      <c r="J17" s="10">
        <f>D17-SUM(E17:I17)</f>
        <v/>
      </c>
      <c r="K17" s="11">
        <f>IF(D17=0,0,E17/D17)</f>
        <v/>
      </c>
      <c r="L17" s="10">
        <f>COUNTIFS(Cases!$H$2:$H$499,$B17,Cases!$J$2:$J$499,"OPS (generic hub account)")</f>
        <v/>
      </c>
      <c r="M17" s="11">
        <f>IF(D17=0,0,L17/D17)</f>
        <v/>
      </c>
      <c r="N17" s="10" t="n">
        <v>5</v>
      </c>
      <c r="O17" s="11">
        <f>D17/COUNTA(Cases!$B$2:$B$499)</f>
        <v/>
      </c>
    </row>
    <row r="18">
      <c r="A18" s="10" t="n">
        <v>14</v>
      </c>
      <c r="B18" s="10" t="inlineStr">
        <is>
          <t>SEG</t>
        </is>
      </c>
      <c r="C18" s="10" t="inlineStr">
        <is>
          <t>KV</t>
        </is>
      </c>
      <c r="D18" s="10">
        <f>COUNTIF(Cases!$H$2:$H$499,B18)</f>
        <v/>
      </c>
      <c r="E18" s="10">
        <f>COUNTIFS(Cases!$H$2:$H$499,$B18,Cases!$N$2:$N$499,"Fake Fail")</f>
        <v/>
      </c>
      <c r="F18" s="10">
        <f>COUNTIFS(Cases!$H$2:$H$499,$B18,Cases!$N$2:$N$499,"Fake Success")</f>
        <v/>
      </c>
      <c r="G18" s="10">
        <f>COUNTIFS(Cases!$H$2:$H$499,$B18,Cases!$N$2:$N$499,"Deliver to Wrong Address")</f>
        <v/>
      </c>
      <c r="H18" s="10">
        <f>COUNTIFS(Cases!$H$2:$H$499,$B18,Cases!$N$2:$N$499,"Pull Out Route (POR)")</f>
        <v/>
      </c>
      <c r="I18" s="10">
        <f>COUNTIFS(Cases!$H$2:$H$499,$B18,Cases!$N$2:$N$499,"Failed pick-up")</f>
        <v/>
      </c>
      <c r="J18" s="10">
        <f>D18-SUM(E18:I18)</f>
        <v/>
      </c>
      <c r="K18" s="11">
        <f>IF(D18=0,0,E18/D18)</f>
        <v/>
      </c>
      <c r="L18" s="10">
        <f>COUNTIFS(Cases!$H$2:$H$499,$B18,Cases!$J$2:$J$499,"OPS (generic hub account)")</f>
        <v/>
      </c>
      <c r="M18" s="11">
        <f>IF(D18=0,0,L18/D18)</f>
        <v/>
      </c>
      <c r="N18" s="10" t="n">
        <v>1</v>
      </c>
      <c r="O18" s="11">
        <f>D18/COUNTA(Cases!$B$2:$B$499)</f>
        <v/>
      </c>
    </row>
    <row r="19">
      <c r="A19" s="10" t="n">
        <v>15</v>
      </c>
      <c r="B19" s="10" t="inlineStr">
        <is>
          <t>PTN</t>
        </is>
      </c>
      <c r="C19" s="10" t="inlineStr">
        <is>
          <t>Southern</t>
        </is>
      </c>
      <c r="D19" s="10">
        <f>COUNTIF(Cases!$H$2:$H$499,B19)</f>
        <v/>
      </c>
      <c r="E19" s="10">
        <f>COUNTIFS(Cases!$H$2:$H$499,$B19,Cases!$N$2:$N$499,"Fake Fail")</f>
        <v/>
      </c>
      <c r="F19" s="10">
        <f>COUNTIFS(Cases!$H$2:$H$499,$B19,Cases!$N$2:$N$499,"Fake Success")</f>
        <v/>
      </c>
      <c r="G19" s="10">
        <f>COUNTIFS(Cases!$H$2:$H$499,$B19,Cases!$N$2:$N$499,"Deliver to Wrong Address")</f>
        <v/>
      </c>
      <c r="H19" s="10">
        <f>COUNTIFS(Cases!$H$2:$H$499,$B19,Cases!$N$2:$N$499,"Pull Out Route (POR)")</f>
        <v/>
      </c>
      <c r="I19" s="10">
        <f>COUNTIFS(Cases!$H$2:$H$499,$B19,Cases!$N$2:$N$499,"Failed pick-up")</f>
        <v/>
      </c>
      <c r="J19" s="10">
        <f>D19-SUM(E19:I19)</f>
        <v/>
      </c>
      <c r="K19" s="11">
        <f>IF(D19=0,0,E19/D19)</f>
        <v/>
      </c>
      <c r="L19" s="10">
        <f>COUNTIFS(Cases!$H$2:$H$499,$B19,Cases!$J$2:$J$499,"OPS (generic hub account)")</f>
        <v/>
      </c>
      <c r="M19" s="11">
        <f>IF(D19=0,0,L19/D19)</f>
        <v/>
      </c>
      <c r="N19" s="10" t="n">
        <v>2</v>
      </c>
      <c r="O19" s="11">
        <f>D19/COUNTA(Cases!$B$2:$B$499)</f>
        <v/>
      </c>
    </row>
    <row r="20">
      <c r="A20" s="10" t="n">
        <v>16</v>
      </c>
      <c r="B20" s="10" t="inlineStr">
        <is>
          <t>SIM</t>
        </is>
      </c>
      <c r="C20" s="10" t="inlineStr">
        <is>
          <t>Northern</t>
        </is>
      </c>
      <c r="D20" s="10">
        <f>COUNTIF(Cases!$H$2:$H$499,B20)</f>
        <v/>
      </c>
      <c r="E20" s="10">
        <f>COUNTIFS(Cases!$H$2:$H$499,$B20,Cases!$N$2:$N$499,"Fake Fail")</f>
        <v/>
      </c>
      <c r="F20" s="10">
        <f>COUNTIFS(Cases!$H$2:$H$499,$B20,Cases!$N$2:$N$499,"Fake Success")</f>
        <v/>
      </c>
      <c r="G20" s="10">
        <f>COUNTIFS(Cases!$H$2:$H$499,$B20,Cases!$N$2:$N$499,"Deliver to Wrong Address")</f>
        <v/>
      </c>
      <c r="H20" s="10">
        <f>COUNTIFS(Cases!$H$2:$H$499,$B20,Cases!$N$2:$N$499,"Pull Out Route (POR)")</f>
        <v/>
      </c>
      <c r="I20" s="10">
        <f>COUNTIFS(Cases!$H$2:$H$499,$B20,Cases!$N$2:$N$499,"Failed pick-up")</f>
        <v/>
      </c>
      <c r="J20" s="10">
        <f>D20-SUM(E20:I20)</f>
        <v/>
      </c>
      <c r="K20" s="11">
        <f>IF(D20=0,0,E20/D20)</f>
        <v/>
      </c>
      <c r="L20" s="10">
        <f>COUNTIFS(Cases!$H$2:$H$499,$B20,Cases!$J$2:$J$499,"OPS (generic hub account)")</f>
        <v/>
      </c>
      <c r="M20" s="11">
        <f>IF(D20=0,0,L20/D20)</f>
        <v/>
      </c>
      <c r="N20" s="10" t="n">
        <v>4</v>
      </c>
      <c r="O20" s="11">
        <f>D20/COUNTA(Cases!$B$2:$B$499)</f>
        <v/>
      </c>
    </row>
    <row r="21">
      <c r="A21" s="10" t="n">
        <v>17</v>
      </c>
      <c r="B21" s="10" t="inlineStr">
        <is>
          <t>PSN</t>
        </is>
      </c>
      <c r="C21" s="10" t="inlineStr">
        <is>
          <t>Northern</t>
        </is>
      </c>
      <c r="D21" s="10">
        <f>COUNTIF(Cases!$H$2:$H$499,B21)</f>
        <v/>
      </c>
      <c r="E21" s="10">
        <f>COUNTIFS(Cases!$H$2:$H$499,$B21,Cases!$N$2:$N$499,"Fake Fail")</f>
        <v/>
      </c>
      <c r="F21" s="10">
        <f>COUNTIFS(Cases!$H$2:$H$499,$B21,Cases!$N$2:$N$499,"Fake Success")</f>
        <v/>
      </c>
      <c r="G21" s="10">
        <f>COUNTIFS(Cases!$H$2:$H$499,$B21,Cases!$N$2:$N$499,"Deliver to Wrong Address")</f>
        <v/>
      </c>
      <c r="H21" s="10">
        <f>COUNTIFS(Cases!$H$2:$H$499,$B21,Cases!$N$2:$N$499,"Pull Out Route (POR)")</f>
        <v/>
      </c>
      <c r="I21" s="10">
        <f>COUNTIFS(Cases!$H$2:$H$499,$B21,Cases!$N$2:$N$499,"Failed pick-up")</f>
        <v/>
      </c>
      <c r="J21" s="10">
        <f>D21-SUM(E21:I21)</f>
        <v/>
      </c>
      <c r="K21" s="11">
        <f>IF(D21=0,0,E21/D21)</f>
        <v/>
      </c>
      <c r="L21" s="10">
        <f>COUNTIFS(Cases!$H$2:$H$499,$B21,Cases!$J$2:$J$499,"OPS (generic hub account)")</f>
        <v/>
      </c>
      <c r="M21" s="11">
        <f>IF(D21=0,0,L21/D21)</f>
        <v/>
      </c>
      <c r="N21" s="10" t="n">
        <v>2</v>
      </c>
      <c r="O21" s="11">
        <f>D21/COUNTA(Cases!$B$2:$B$499)</f>
        <v/>
      </c>
    </row>
    <row r="22">
      <c r="A22" s="10" t="n">
        <v>18</v>
      </c>
      <c r="B22" s="10" t="inlineStr">
        <is>
          <t>BRP</t>
        </is>
      </c>
      <c r="C22" s="10" t="inlineStr">
        <is>
          <t>KV</t>
        </is>
      </c>
      <c r="D22" s="10">
        <f>COUNTIF(Cases!$H$2:$H$499,B22)</f>
        <v/>
      </c>
      <c r="E22" s="10">
        <f>COUNTIFS(Cases!$H$2:$H$499,$B22,Cases!$N$2:$N$499,"Fake Fail")</f>
        <v/>
      </c>
      <c r="F22" s="10">
        <f>COUNTIFS(Cases!$H$2:$H$499,$B22,Cases!$N$2:$N$499,"Fake Success")</f>
        <v/>
      </c>
      <c r="G22" s="10">
        <f>COUNTIFS(Cases!$H$2:$H$499,$B22,Cases!$N$2:$N$499,"Deliver to Wrong Address")</f>
        <v/>
      </c>
      <c r="H22" s="10">
        <f>COUNTIFS(Cases!$H$2:$H$499,$B22,Cases!$N$2:$N$499,"Pull Out Route (POR)")</f>
        <v/>
      </c>
      <c r="I22" s="10">
        <f>COUNTIFS(Cases!$H$2:$H$499,$B22,Cases!$N$2:$N$499,"Failed pick-up")</f>
        <v/>
      </c>
      <c r="J22" s="10">
        <f>D22-SUM(E22:I22)</f>
        <v/>
      </c>
      <c r="K22" s="11">
        <f>IF(D22=0,0,E22/D22)</f>
        <v/>
      </c>
      <c r="L22" s="10">
        <f>COUNTIFS(Cases!$H$2:$H$499,$B22,Cases!$J$2:$J$499,"OPS (generic hub account)")</f>
        <v/>
      </c>
      <c r="M22" s="11">
        <f>IF(D22=0,0,L22/D22)</f>
        <v/>
      </c>
      <c r="N22" s="10" t="n">
        <v>3</v>
      </c>
      <c r="O22" s="11">
        <f>D22/COUNTA(Cases!$B$2:$B$499)</f>
        <v/>
      </c>
    </row>
    <row r="23">
      <c r="A23" s="10" t="n">
        <v>19</v>
      </c>
      <c r="B23" s="10" t="inlineStr">
        <is>
          <t>SUN</t>
        </is>
      </c>
      <c r="C23" s="10" t="inlineStr">
        <is>
          <t>KV</t>
        </is>
      </c>
      <c r="D23" s="10">
        <f>COUNTIF(Cases!$H$2:$H$499,B23)</f>
        <v/>
      </c>
      <c r="E23" s="10">
        <f>COUNTIFS(Cases!$H$2:$H$499,$B23,Cases!$N$2:$N$499,"Fake Fail")</f>
        <v/>
      </c>
      <c r="F23" s="10">
        <f>COUNTIFS(Cases!$H$2:$H$499,$B23,Cases!$N$2:$N$499,"Fake Success")</f>
        <v/>
      </c>
      <c r="G23" s="10">
        <f>COUNTIFS(Cases!$H$2:$H$499,$B23,Cases!$N$2:$N$499,"Deliver to Wrong Address")</f>
        <v/>
      </c>
      <c r="H23" s="10">
        <f>COUNTIFS(Cases!$H$2:$H$499,$B23,Cases!$N$2:$N$499,"Pull Out Route (POR)")</f>
        <v/>
      </c>
      <c r="I23" s="10">
        <f>COUNTIFS(Cases!$H$2:$H$499,$B23,Cases!$N$2:$N$499,"Failed pick-up")</f>
        <v/>
      </c>
      <c r="J23" s="10">
        <f>D23-SUM(E23:I23)</f>
        <v/>
      </c>
      <c r="K23" s="11">
        <f>IF(D23=0,0,E23/D23)</f>
        <v/>
      </c>
      <c r="L23" s="10">
        <f>COUNTIFS(Cases!$H$2:$H$499,$B23,Cases!$J$2:$J$499,"OPS (generic hub account)")</f>
        <v/>
      </c>
      <c r="M23" s="11">
        <f>IF(D23=0,0,L23/D23)</f>
        <v/>
      </c>
      <c r="N23" s="10" t="n">
        <v>2</v>
      </c>
      <c r="O23" s="11">
        <f>D23/COUNTA(Cases!$B$2:$B$499)</f>
        <v/>
      </c>
    </row>
    <row r="24">
      <c r="A24" s="10" t="n">
        <v>20</v>
      </c>
      <c r="B24" s="10" t="inlineStr">
        <is>
          <t>HTM</t>
        </is>
      </c>
      <c r="C24" s="10" t="inlineStr">
        <is>
          <t>Southern</t>
        </is>
      </c>
      <c r="D24" s="10">
        <f>COUNTIF(Cases!$H$2:$H$499,B24)</f>
        <v/>
      </c>
      <c r="E24" s="10">
        <f>COUNTIFS(Cases!$H$2:$H$499,$B24,Cases!$N$2:$N$499,"Fake Fail")</f>
        <v/>
      </c>
      <c r="F24" s="10">
        <f>COUNTIFS(Cases!$H$2:$H$499,$B24,Cases!$N$2:$N$499,"Fake Success")</f>
        <v/>
      </c>
      <c r="G24" s="10">
        <f>COUNTIFS(Cases!$H$2:$H$499,$B24,Cases!$N$2:$N$499,"Deliver to Wrong Address")</f>
        <v/>
      </c>
      <c r="H24" s="10">
        <f>COUNTIFS(Cases!$H$2:$H$499,$B24,Cases!$N$2:$N$499,"Pull Out Route (POR)")</f>
        <v/>
      </c>
      <c r="I24" s="10">
        <f>COUNTIFS(Cases!$H$2:$H$499,$B24,Cases!$N$2:$N$499,"Failed pick-up")</f>
        <v/>
      </c>
      <c r="J24" s="10">
        <f>D24-SUM(E24:I24)</f>
        <v/>
      </c>
      <c r="K24" s="11">
        <f>IF(D24=0,0,E24/D24)</f>
        <v/>
      </c>
      <c r="L24" s="10">
        <f>COUNTIFS(Cases!$H$2:$H$499,$B24,Cases!$J$2:$J$499,"OPS (generic hub account)")</f>
        <v/>
      </c>
      <c r="M24" s="11">
        <f>IF(D24=0,0,L24/D24)</f>
        <v/>
      </c>
      <c r="N24" s="10" t="n">
        <v>2</v>
      </c>
      <c r="O24" s="11">
        <f>D24/COUNTA(Cases!$B$2:$B$499)</f>
        <v/>
      </c>
    </row>
    <row r="25">
      <c r="A25" s="10" t="n">
        <v>21</v>
      </c>
      <c r="B25" s="10" t="inlineStr">
        <is>
          <t>BPT</t>
        </is>
      </c>
      <c r="C25" s="10" t="inlineStr">
        <is>
          <t>Southern</t>
        </is>
      </c>
      <c r="D25" s="10">
        <f>COUNTIF(Cases!$H$2:$H$499,B25)</f>
        <v/>
      </c>
      <c r="E25" s="10">
        <f>COUNTIFS(Cases!$H$2:$H$499,$B25,Cases!$N$2:$N$499,"Fake Fail")</f>
        <v/>
      </c>
      <c r="F25" s="10">
        <f>COUNTIFS(Cases!$H$2:$H$499,$B25,Cases!$N$2:$N$499,"Fake Success")</f>
        <v/>
      </c>
      <c r="G25" s="10">
        <f>COUNTIFS(Cases!$H$2:$H$499,$B25,Cases!$N$2:$N$499,"Deliver to Wrong Address")</f>
        <v/>
      </c>
      <c r="H25" s="10">
        <f>COUNTIFS(Cases!$H$2:$H$499,$B25,Cases!$N$2:$N$499,"Pull Out Route (POR)")</f>
        <v/>
      </c>
      <c r="I25" s="10">
        <f>COUNTIFS(Cases!$H$2:$H$499,$B25,Cases!$N$2:$N$499,"Failed pick-up")</f>
        <v/>
      </c>
      <c r="J25" s="10">
        <f>D25-SUM(E25:I25)</f>
        <v/>
      </c>
      <c r="K25" s="11">
        <f>IF(D25=0,0,E25/D25)</f>
        <v/>
      </c>
      <c r="L25" s="10">
        <f>COUNTIFS(Cases!$H$2:$H$499,$B25,Cases!$J$2:$J$499,"OPS (generic hub account)")</f>
        <v/>
      </c>
      <c r="M25" s="11">
        <f>IF(D25=0,0,L25/D25)</f>
        <v/>
      </c>
      <c r="N25" s="10" t="n">
        <v>2</v>
      </c>
      <c r="O25" s="11">
        <f>D25/COUNTA(Cases!$B$2:$B$499)</f>
        <v/>
      </c>
    </row>
    <row r="26">
      <c r="A26" s="10" t="n">
        <v>22</v>
      </c>
      <c r="B26" s="10" t="inlineStr">
        <is>
          <t>CJY</t>
        </is>
      </c>
      <c r="C26" s="10" t="inlineStr">
        <is>
          <t>KV</t>
        </is>
      </c>
      <c r="D26" s="10">
        <f>COUNTIF(Cases!$H$2:$H$499,B26)</f>
        <v/>
      </c>
      <c r="E26" s="10">
        <f>COUNTIFS(Cases!$H$2:$H$499,$B26,Cases!$N$2:$N$499,"Fake Fail")</f>
        <v/>
      </c>
      <c r="F26" s="10">
        <f>COUNTIFS(Cases!$H$2:$H$499,$B26,Cases!$N$2:$N$499,"Fake Success")</f>
        <v/>
      </c>
      <c r="G26" s="10">
        <f>COUNTIFS(Cases!$H$2:$H$499,$B26,Cases!$N$2:$N$499,"Deliver to Wrong Address")</f>
        <v/>
      </c>
      <c r="H26" s="10">
        <f>COUNTIFS(Cases!$H$2:$H$499,$B26,Cases!$N$2:$N$499,"Pull Out Route (POR)")</f>
        <v/>
      </c>
      <c r="I26" s="10">
        <f>COUNTIFS(Cases!$H$2:$H$499,$B26,Cases!$N$2:$N$499,"Failed pick-up")</f>
        <v/>
      </c>
      <c r="J26" s="10">
        <f>D26-SUM(E26:I26)</f>
        <v/>
      </c>
      <c r="K26" s="11">
        <f>IF(D26=0,0,E26/D26)</f>
        <v/>
      </c>
      <c r="L26" s="10">
        <f>COUNTIFS(Cases!$H$2:$H$499,$B26,Cases!$J$2:$J$499,"OPS (generic hub account)")</f>
        <v/>
      </c>
      <c r="M26" s="11">
        <f>IF(D26=0,0,L26/D26)</f>
        <v/>
      </c>
      <c r="N26" s="10" t="n">
        <v>3</v>
      </c>
      <c r="O26" s="11">
        <f>D26/COUNTA(Cases!$B$2:$B$499)</f>
        <v/>
      </c>
    </row>
    <row r="27">
      <c r="A27" s="10" t="n">
        <v>23</v>
      </c>
      <c r="B27" s="10" t="inlineStr">
        <is>
          <t>AUS</t>
        </is>
      </c>
      <c r="C27" s="10" t="inlineStr">
        <is>
          <t>Southern</t>
        </is>
      </c>
      <c r="D27" s="10">
        <f>COUNTIF(Cases!$H$2:$H$499,B27)</f>
        <v/>
      </c>
      <c r="E27" s="10">
        <f>COUNTIFS(Cases!$H$2:$H$499,$B27,Cases!$N$2:$N$499,"Fake Fail")</f>
        <v/>
      </c>
      <c r="F27" s="10">
        <f>COUNTIFS(Cases!$H$2:$H$499,$B27,Cases!$N$2:$N$499,"Fake Success")</f>
        <v/>
      </c>
      <c r="G27" s="10">
        <f>COUNTIFS(Cases!$H$2:$H$499,$B27,Cases!$N$2:$N$499,"Deliver to Wrong Address")</f>
        <v/>
      </c>
      <c r="H27" s="10">
        <f>COUNTIFS(Cases!$H$2:$H$499,$B27,Cases!$N$2:$N$499,"Pull Out Route (POR)")</f>
        <v/>
      </c>
      <c r="I27" s="10">
        <f>COUNTIFS(Cases!$H$2:$H$499,$B27,Cases!$N$2:$N$499,"Failed pick-up")</f>
        <v/>
      </c>
      <c r="J27" s="10">
        <f>D27-SUM(E27:I27)</f>
        <v/>
      </c>
      <c r="K27" s="11">
        <f>IF(D27=0,0,E27/D27)</f>
        <v/>
      </c>
      <c r="L27" s="10">
        <f>COUNTIFS(Cases!$H$2:$H$499,$B27,Cases!$J$2:$J$499,"OPS (generic hub account)")</f>
        <v/>
      </c>
      <c r="M27" s="11">
        <f>IF(D27=0,0,L27/D27)</f>
        <v/>
      </c>
      <c r="N27" s="10" t="n">
        <v>4</v>
      </c>
      <c r="O27" s="11">
        <f>D27/COUNTA(Cases!$B$2:$B$499)</f>
        <v/>
      </c>
    </row>
    <row r="28">
      <c r="A28" s="10" t="n">
        <v>24</v>
      </c>
      <c r="B28" s="10" t="inlineStr">
        <is>
          <t>MAS</t>
        </is>
      </c>
      <c r="C28" s="10" t="inlineStr">
        <is>
          <t>Southern</t>
        </is>
      </c>
      <c r="D28" s="10">
        <f>COUNTIF(Cases!$H$2:$H$499,B28)</f>
        <v/>
      </c>
      <c r="E28" s="10">
        <f>COUNTIFS(Cases!$H$2:$H$499,$B28,Cases!$N$2:$N$499,"Fake Fail")</f>
        <v/>
      </c>
      <c r="F28" s="10">
        <f>COUNTIFS(Cases!$H$2:$H$499,$B28,Cases!$N$2:$N$499,"Fake Success")</f>
        <v/>
      </c>
      <c r="G28" s="10">
        <f>COUNTIFS(Cases!$H$2:$H$499,$B28,Cases!$N$2:$N$499,"Deliver to Wrong Address")</f>
        <v/>
      </c>
      <c r="H28" s="10">
        <f>COUNTIFS(Cases!$H$2:$H$499,$B28,Cases!$N$2:$N$499,"Pull Out Route (POR)")</f>
        <v/>
      </c>
      <c r="I28" s="10">
        <f>COUNTIFS(Cases!$H$2:$H$499,$B28,Cases!$N$2:$N$499,"Failed pick-up")</f>
        <v/>
      </c>
      <c r="J28" s="10">
        <f>D28-SUM(E28:I28)</f>
        <v/>
      </c>
      <c r="K28" s="11">
        <f>IF(D28=0,0,E28/D28)</f>
        <v/>
      </c>
      <c r="L28" s="10">
        <f>COUNTIFS(Cases!$H$2:$H$499,$B28,Cases!$J$2:$J$499,"OPS (generic hub account)")</f>
        <v/>
      </c>
      <c r="M28" s="11">
        <f>IF(D28=0,0,L28/D28)</f>
        <v/>
      </c>
      <c r="N28" s="10" t="n">
        <v>4</v>
      </c>
      <c r="O28" s="11">
        <f>D28/COUNTA(Cases!$B$2:$B$499)</f>
        <v/>
      </c>
    </row>
    <row r="29">
      <c r="A29" s="10" t="n">
        <v>25</v>
      </c>
      <c r="B29" s="10" t="inlineStr">
        <is>
          <t>STL</t>
        </is>
      </c>
      <c r="C29" s="10" t="inlineStr">
        <is>
          <t>KV</t>
        </is>
      </c>
      <c r="D29" s="10">
        <f>COUNTIF(Cases!$H$2:$H$499,B29)</f>
        <v/>
      </c>
      <c r="E29" s="10">
        <f>COUNTIFS(Cases!$H$2:$H$499,$B29,Cases!$N$2:$N$499,"Fake Fail")</f>
        <v/>
      </c>
      <c r="F29" s="10">
        <f>COUNTIFS(Cases!$H$2:$H$499,$B29,Cases!$N$2:$N$499,"Fake Success")</f>
        <v/>
      </c>
      <c r="G29" s="10">
        <f>COUNTIFS(Cases!$H$2:$H$499,$B29,Cases!$N$2:$N$499,"Deliver to Wrong Address")</f>
        <v/>
      </c>
      <c r="H29" s="10">
        <f>COUNTIFS(Cases!$H$2:$H$499,$B29,Cases!$N$2:$N$499,"Pull Out Route (POR)")</f>
        <v/>
      </c>
      <c r="I29" s="10">
        <f>COUNTIFS(Cases!$H$2:$H$499,$B29,Cases!$N$2:$N$499,"Failed pick-up")</f>
        <v/>
      </c>
      <c r="J29" s="10">
        <f>D29-SUM(E29:I29)</f>
        <v/>
      </c>
      <c r="K29" s="11">
        <f>IF(D29=0,0,E29/D29)</f>
        <v/>
      </c>
      <c r="L29" s="10">
        <f>COUNTIFS(Cases!$H$2:$H$499,$B29,Cases!$J$2:$J$499,"OPS (generic hub account)")</f>
        <v/>
      </c>
      <c r="M29" s="11">
        <f>IF(D29=0,0,L29/D29)</f>
        <v/>
      </c>
      <c r="N29" s="10" t="n">
        <v>5</v>
      </c>
      <c r="O29" s="11">
        <f>D29/COUNTA(Cases!$B$2:$B$499)</f>
        <v/>
      </c>
    </row>
    <row r="30">
      <c r="A30" s="10" t="n">
        <v>26</v>
      </c>
      <c r="B30" s="10" t="inlineStr">
        <is>
          <t>JIT</t>
        </is>
      </c>
      <c r="C30" s="10" t="inlineStr">
        <is>
          <t>Northern</t>
        </is>
      </c>
      <c r="D30" s="10">
        <f>COUNTIF(Cases!$H$2:$H$499,B30)</f>
        <v/>
      </c>
      <c r="E30" s="10">
        <f>COUNTIFS(Cases!$H$2:$H$499,$B30,Cases!$N$2:$N$499,"Fake Fail")</f>
        <v/>
      </c>
      <c r="F30" s="10">
        <f>COUNTIFS(Cases!$H$2:$H$499,$B30,Cases!$N$2:$N$499,"Fake Success")</f>
        <v/>
      </c>
      <c r="G30" s="10">
        <f>COUNTIFS(Cases!$H$2:$H$499,$B30,Cases!$N$2:$N$499,"Deliver to Wrong Address")</f>
        <v/>
      </c>
      <c r="H30" s="10">
        <f>COUNTIFS(Cases!$H$2:$H$499,$B30,Cases!$N$2:$N$499,"Pull Out Route (POR)")</f>
        <v/>
      </c>
      <c r="I30" s="10">
        <f>COUNTIFS(Cases!$H$2:$H$499,$B30,Cases!$N$2:$N$499,"Failed pick-up")</f>
        <v/>
      </c>
      <c r="J30" s="10">
        <f>D30-SUM(E30:I30)</f>
        <v/>
      </c>
      <c r="K30" s="11">
        <f>IF(D30=0,0,E30/D30)</f>
        <v/>
      </c>
      <c r="L30" s="10">
        <f>COUNTIFS(Cases!$H$2:$H$499,$B30,Cases!$J$2:$J$499,"OPS (generic hub account)")</f>
        <v/>
      </c>
      <c r="M30" s="11">
        <f>IF(D30=0,0,L30/D30)</f>
        <v/>
      </c>
      <c r="N30" s="10" t="n">
        <v>1</v>
      </c>
      <c r="O30" s="11">
        <f>D30/COUNTA(Cases!$B$2:$B$499)</f>
        <v/>
      </c>
    </row>
    <row r="31">
      <c r="A31" s="10" t="n">
        <v>27</v>
      </c>
      <c r="B31" s="10" t="inlineStr">
        <is>
          <t>BHU</t>
        </is>
      </c>
      <c r="C31" s="10" t="inlineStr">
        <is>
          <t>South West</t>
        </is>
      </c>
      <c r="D31" s="10">
        <f>COUNTIF(Cases!$H$2:$H$499,B31)</f>
        <v/>
      </c>
      <c r="E31" s="10">
        <f>COUNTIFS(Cases!$H$2:$H$499,$B31,Cases!$N$2:$N$499,"Fake Fail")</f>
        <v/>
      </c>
      <c r="F31" s="10">
        <f>COUNTIFS(Cases!$H$2:$H$499,$B31,Cases!$N$2:$N$499,"Fake Success")</f>
        <v/>
      </c>
      <c r="G31" s="10">
        <f>COUNTIFS(Cases!$H$2:$H$499,$B31,Cases!$N$2:$N$499,"Deliver to Wrong Address")</f>
        <v/>
      </c>
      <c r="H31" s="10">
        <f>COUNTIFS(Cases!$H$2:$H$499,$B31,Cases!$N$2:$N$499,"Pull Out Route (POR)")</f>
        <v/>
      </c>
      <c r="I31" s="10">
        <f>COUNTIFS(Cases!$H$2:$H$499,$B31,Cases!$N$2:$N$499,"Failed pick-up")</f>
        <v/>
      </c>
      <c r="J31" s="10">
        <f>D31-SUM(E31:I31)</f>
        <v/>
      </c>
      <c r="K31" s="11">
        <f>IF(D31=0,0,E31/D31)</f>
        <v/>
      </c>
      <c r="L31" s="10">
        <f>COUNTIFS(Cases!$H$2:$H$499,$B31,Cases!$J$2:$J$499,"OPS (generic hub account)")</f>
        <v/>
      </c>
      <c r="M31" s="11">
        <f>IF(D31=0,0,L31/D31)</f>
        <v/>
      </c>
      <c r="N31" s="10" t="n">
        <v>3</v>
      </c>
      <c r="O31" s="11">
        <f>D31/COUNTA(Cases!$B$2:$B$499)</f>
        <v/>
      </c>
    </row>
    <row r="32">
      <c r="A32" s="10" t="n">
        <v>28</v>
      </c>
      <c r="B32" s="10" t="inlineStr">
        <is>
          <t>BTS</t>
        </is>
      </c>
      <c r="C32" s="10" t="inlineStr">
        <is>
          <t>Northern</t>
        </is>
      </c>
      <c r="D32" s="10">
        <f>COUNTIF(Cases!$H$2:$H$499,B32)</f>
        <v/>
      </c>
      <c r="E32" s="10">
        <f>COUNTIFS(Cases!$H$2:$H$499,$B32,Cases!$N$2:$N$499,"Fake Fail")</f>
        <v/>
      </c>
      <c r="F32" s="10">
        <f>COUNTIFS(Cases!$H$2:$H$499,$B32,Cases!$N$2:$N$499,"Fake Success")</f>
        <v/>
      </c>
      <c r="G32" s="10">
        <f>COUNTIFS(Cases!$H$2:$H$499,$B32,Cases!$N$2:$N$499,"Deliver to Wrong Address")</f>
        <v/>
      </c>
      <c r="H32" s="10">
        <f>COUNTIFS(Cases!$H$2:$H$499,$B32,Cases!$N$2:$N$499,"Pull Out Route (POR)")</f>
        <v/>
      </c>
      <c r="I32" s="10">
        <f>COUNTIFS(Cases!$H$2:$H$499,$B32,Cases!$N$2:$N$499,"Failed pick-up")</f>
        <v/>
      </c>
      <c r="J32" s="10">
        <f>D32-SUM(E32:I32)</f>
        <v/>
      </c>
      <c r="K32" s="11">
        <f>IF(D32=0,0,E32/D32)</f>
        <v/>
      </c>
      <c r="L32" s="10">
        <f>COUNTIFS(Cases!$H$2:$H$499,$B32,Cases!$J$2:$J$499,"OPS (generic hub account)")</f>
        <v/>
      </c>
      <c r="M32" s="11">
        <f>IF(D32=0,0,L32/D32)</f>
        <v/>
      </c>
      <c r="N32" s="10" t="n">
        <v>3</v>
      </c>
      <c r="O32" s="11">
        <f>D32/COUNTA(Cases!$B$2:$B$499)</f>
        <v/>
      </c>
    </row>
    <row r="33">
      <c r="A33" s="10" t="n">
        <v>29</v>
      </c>
      <c r="B33" s="10" t="inlineStr">
        <is>
          <t>BAG</t>
        </is>
      </c>
      <c r="C33" s="10" t="inlineStr">
        <is>
          <t>North West</t>
        </is>
      </c>
      <c r="D33" s="10">
        <f>COUNTIF(Cases!$H$2:$H$499,B33)</f>
        <v/>
      </c>
      <c r="E33" s="10">
        <f>COUNTIFS(Cases!$H$2:$H$499,$B33,Cases!$N$2:$N$499,"Fake Fail")</f>
        <v/>
      </c>
      <c r="F33" s="10">
        <f>COUNTIFS(Cases!$H$2:$H$499,$B33,Cases!$N$2:$N$499,"Fake Success")</f>
        <v/>
      </c>
      <c r="G33" s="10">
        <f>COUNTIFS(Cases!$H$2:$H$499,$B33,Cases!$N$2:$N$499,"Deliver to Wrong Address")</f>
        <v/>
      </c>
      <c r="H33" s="10">
        <f>COUNTIFS(Cases!$H$2:$H$499,$B33,Cases!$N$2:$N$499,"Pull Out Route (POR)")</f>
        <v/>
      </c>
      <c r="I33" s="10">
        <f>COUNTIFS(Cases!$H$2:$H$499,$B33,Cases!$N$2:$N$499,"Failed pick-up")</f>
        <v/>
      </c>
      <c r="J33" s="10">
        <f>D33-SUM(E33:I33)</f>
        <v/>
      </c>
      <c r="K33" s="11">
        <f>IF(D33=0,0,E33/D33)</f>
        <v/>
      </c>
      <c r="L33" s="10">
        <f>COUNTIFS(Cases!$H$2:$H$499,$B33,Cases!$J$2:$J$499,"OPS (generic hub account)")</f>
        <v/>
      </c>
      <c r="M33" s="11">
        <f>IF(D33=0,0,L33/D33)</f>
        <v/>
      </c>
      <c r="N33" s="10" t="n">
        <v>2</v>
      </c>
      <c r="O33" s="11">
        <f>D33/COUNTA(Cases!$B$2:$B$499)</f>
        <v/>
      </c>
    </row>
    <row r="34">
      <c r="A34" s="10" t="n">
        <v>30</v>
      </c>
      <c r="B34" s="10" t="inlineStr">
        <is>
          <t>KSR</t>
        </is>
      </c>
      <c r="C34" s="10" t="inlineStr">
        <is>
          <t>KV</t>
        </is>
      </c>
      <c r="D34" s="10">
        <f>COUNTIF(Cases!$H$2:$H$499,B34)</f>
        <v/>
      </c>
      <c r="E34" s="10">
        <f>COUNTIFS(Cases!$H$2:$H$499,$B34,Cases!$N$2:$N$499,"Fake Fail")</f>
        <v/>
      </c>
      <c r="F34" s="10">
        <f>COUNTIFS(Cases!$H$2:$H$499,$B34,Cases!$N$2:$N$499,"Fake Success")</f>
        <v/>
      </c>
      <c r="G34" s="10">
        <f>COUNTIFS(Cases!$H$2:$H$499,$B34,Cases!$N$2:$N$499,"Deliver to Wrong Address")</f>
        <v/>
      </c>
      <c r="H34" s="10">
        <f>COUNTIFS(Cases!$H$2:$H$499,$B34,Cases!$N$2:$N$499,"Pull Out Route (POR)")</f>
        <v/>
      </c>
      <c r="I34" s="10">
        <f>COUNTIFS(Cases!$H$2:$H$499,$B34,Cases!$N$2:$N$499,"Failed pick-up")</f>
        <v/>
      </c>
      <c r="J34" s="10">
        <f>D34-SUM(E34:I34)</f>
        <v/>
      </c>
      <c r="K34" s="11">
        <f>IF(D34=0,0,E34/D34)</f>
        <v/>
      </c>
      <c r="L34" s="10">
        <f>COUNTIFS(Cases!$H$2:$H$499,$B34,Cases!$J$2:$J$499,"OPS (generic hub account)")</f>
        <v/>
      </c>
      <c r="M34" s="11">
        <f>IF(D34=0,0,L34/D34)</f>
        <v/>
      </c>
      <c r="N34" s="10" t="n">
        <v>3</v>
      </c>
      <c r="O34" s="11">
        <f>D34/COUNTA(Cases!$B$2:$B$499)</f>
        <v/>
      </c>
    </row>
    <row r="35">
      <c r="A35" s="10" t="n">
        <v>31</v>
      </c>
      <c r="B35" s="10" t="inlineStr">
        <is>
          <t>BTK</t>
        </is>
      </c>
      <c r="C35" s="10" t="inlineStr">
        <is>
          <t>KV</t>
        </is>
      </c>
      <c r="D35" s="10">
        <f>COUNTIF(Cases!$H$2:$H$499,B35)</f>
        <v/>
      </c>
      <c r="E35" s="10">
        <f>COUNTIFS(Cases!$H$2:$H$499,$B35,Cases!$N$2:$N$499,"Fake Fail")</f>
        <v/>
      </c>
      <c r="F35" s="10">
        <f>COUNTIFS(Cases!$H$2:$H$499,$B35,Cases!$N$2:$N$499,"Fake Success")</f>
        <v/>
      </c>
      <c r="G35" s="10">
        <f>COUNTIFS(Cases!$H$2:$H$499,$B35,Cases!$N$2:$N$499,"Deliver to Wrong Address")</f>
        <v/>
      </c>
      <c r="H35" s="10">
        <f>COUNTIFS(Cases!$H$2:$H$499,$B35,Cases!$N$2:$N$499,"Pull Out Route (POR)")</f>
        <v/>
      </c>
      <c r="I35" s="10">
        <f>COUNTIFS(Cases!$H$2:$H$499,$B35,Cases!$N$2:$N$499,"Failed pick-up")</f>
        <v/>
      </c>
      <c r="J35" s="10">
        <f>D35-SUM(E35:I35)</f>
        <v/>
      </c>
      <c r="K35" s="11">
        <f>IF(D35=0,0,E35/D35)</f>
        <v/>
      </c>
      <c r="L35" s="10">
        <f>COUNTIFS(Cases!$H$2:$H$499,$B35,Cases!$J$2:$J$499,"OPS (generic hub account)")</f>
        <v/>
      </c>
      <c r="M35" s="11">
        <f>IF(D35=0,0,L35/D35)</f>
        <v/>
      </c>
      <c r="N35" s="10" t="n">
        <v>3</v>
      </c>
      <c r="O35" s="11">
        <f>D35/COUNTA(Cases!$B$2:$B$499)</f>
        <v/>
      </c>
    </row>
    <row r="36">
      <c r="A36" s="10" t="n">
        <v>32</v>
      </c>
      <c r="B36" s="10" t="inlineStr">
        <is>
          <t>RBY</t>
        </is>
      </c>
      <c r="C36" s="10" t="inlineStr">
        <is>
          <t>KV</t>
        </is>
      </c>
      <c r="D36" s="10">
        <f>COUNTIF(Cases!$H$2:$H$499,B36)</f>
        <v/>
      </c>
      <c r="E36" s="10">
        <f>COUNTIFS(Cases!$H$2:$H$499,$B36,Cases!$N$2:$N$499,"Fake Fail")</f>
        <v/>
      </c>
      <c r="F36" s="10">
        <f>COUNTIFS(Cases!$H$2:$H$499,$B36,Cases!$N$2:$N$499,"Fake Success")</f>
        <v/>
      </c>
      <c r="G36" s="10">
        <f>COUNTIFS(Cases!$H$2:$H$499,$B36,Cases!$N$2:$N$499,"Deliver to Wrong Address")</f>
        <v/>
      </c>
      <c r="H36" s="10">
        <f>COUNTIFS(Cases!$H$2:$H$499,$B36,Cases!$N$2:$N$499,"Pull Out Route (POR)")</f>
        <v/>
      </c>
      <c r="I36" s="10">
        <f>COUNTIFS(Cases!$H$2:$H$499,$B36,Cases!$N$2:$N$499,"Failed pick-up")</f>
        <v/>
      </c>
      <c r="J36" s="10">
        <f>D36-SUM(E36:I36)</f>
        <v/>
      </c>
      <c r="K36" s="11">
        <f>IF(D36=0,0,E36/D36)</f>
        <v/>
      </c>
      <c r="L36" s="10">
        <f>COUNTIFS(Cases!$H$2:$H$499,$B36,Cases!$J$2:$J$499,"OPS (generic hub account)")</f>
        <v/>
      </c>
      <c r="M36" s="11">
        <f>IF(D36=0,0,L36/D36)</f>
        <v/>
      </c>
      <c r="N36" s="10" t="n">
        <v>2</v>
      </c>
      <c r="O36" s="11">
        <f>D36/COUNTA(Cases!$B$2:$B$499)</f>
        <v/>
      </c>
    </row>
    <row r="37">
      <c r="A37" s="10" t="n">
        <v>33</v>
      </c>
      <c r="B37" s="10" t="inlineStr">
        <is>
          <t>PSG</t>
        </is>
      </c>
      <c r="C37" s="10" t="inlineStr">
        <is>
          <t>Southern</t>
        </is>
      </c>
      <c r="D37" s="10">
        <f>COUNTIF(Cases!$H$2:$H$499,B37)</f>
        <v/>
      </c>
      <c r="E37" s="10">
        <f>COUNTIFS(Cases!$H$2:$H$499,$B37,Cases!$N$2:$N$499,"Fake Fail")</f>
        <v/>
      </c>
      <c r="F37" s="10">
        <f>COUNTIFS(Cases!$H$2:$H$499,$B37,Cases!$N$2:$N$499,"Fake Success")</f>
        <v/>
      </c>
      <c r="G37" s="10">
        <f>COUNTIFS(Cases!$H$2:$H$499,$B37,Cases!$N$2:$N$499,"Deliver to Wrong Address")</f>
        <v/>
      </c>
      <c r="H37" s="10">
        <f>COUNTIFS(Cases!$H$2:$H$499,$B37,Cases!$N$2:$N$499,"Pull Out Route (POR)")</f>
        <v/>
      </c>
      <c r="I37" s="10">
        <f>COUNTIFS(Cases!$H$2:$H$499,$B37,Cases!$N$2:$N$499,"Failed pick-up")</f>
        <v/>
      </c>
      <c r="J37" s="10">
        <f>D37-SUM(E37:I37)</f>
        <v/>
      </c>
      <c r="K37" s="11">
        <f>IF(D37=0,0,E37/D37)</f>
        <v/>
      </c>
      <c r="L37" s="10">
        <f>COUNTIFS(Cases!$H$2:$H$499,$B37,Cases!$J$2:$J$499,"OPS (generic hub account)")</f>
        <v/>
      </c>
      <c r="M37" s="11">
        <f>IF(D37=0,0,L37/D37)</f>
        <v/>
      </c>
      <c r="N37" s="10" t="n">
        <v>3</v>
      </c>
      <c r="O37" s="11">
        <f>D37/COUNTA(Cases!$B$2:$B$499)</f>
        <v/>
      </c>
    </row>
    <row r="38">
      <c r="A38" s="10" t="n">
        <v>34</v>
      </c>
      <c r="B38" s="10" t="inlineStr">
        <is>
          <t>KLM</t>
        </is>
      </c>
      <c r="C38" s="10" t="inlineStr">
        <is>
          <t>Northern</t>
        </is>
      </c>
      <c r="D38" s="10">
        <f>COUNTIF(Cases!$H$2:$H$499,B38)</f>
        <v/>
      </c>
      <c r="E38" s="10">
        <f>COUNTIFS(Cases!$H$2:$H$499,$B38,Cases!$N$2:$N$499,"Fake Fail")</f>
        <v/>
      </c>
      <c r="F38" s="10">
        <f>COUNTIFS(Cases!$H$2:$H$499,$B38,Cases!$N$2:$N$499,"Fake Success")</f>
        <v/>
      </c>
      <c r="G38" s="10">
        <f>COUNTIFS(Cases!$H$2:$H$499,$B38,Cases!$N$2:$N$499,"Deliver to Wrong Address")</f>
        <v/>
      </c>
      <c r="H38" s="10">
        <f>COUNTIFS(Cases!$H$2:$H$499,$B38,Cases!$N$2:$N$499,"Pull Out Route (POR)")</f>
        <v/>
      </c>
      <c r="I38" s="10">
        <f>COUNTIFS(Cases!$H$2:$H$499,$B38,Cases!$N$2:$N$499,"Failed pick-up")</f>
        <v/>
      </c>
      <c r="J38" s="10">
        <f>D38-SUM(E38:I38)</f>
        <v/>
      </c>
      <c r="K38" s="11">
        <f>IF(D38=0,0,E38/D38)</f>
        <v/>
      </c>
      <c r="L38" s="10">
        <f>COUNTIFS(Cases!$H$2:$H$499,$B38,Cases!$J$2:$J$499,"OPS (generic hub account)")</f>
        <v/>
      </c>
      <c r="M38" s="11">
        <f>IF(D38=0,0,L38/D38)</f>
        <v/>
      </c>
      <c r="N38" s="10" t="n">
        <v>5</v>
      </c>
      <c r="O38" s="11">
        <f>D38/COUNTA(Cases!$B$2:$B$499)</f>
        <v/>
      </c>
    </row>
    <row r="39">
      <c r="A39" s="10" t="n">
        <v>35</v>
      </c>
      <c r="B39" s="10" t="inlineStr">
        <is>
          <t>RWG</t>
        </is>
      </c>
      <c r="C39" s="10" t="inlineStr">
        <is>
          <t>KV</t>
        </is>
      </c>
      <c r="D39" s="10">
        <f>COUNTIF(Cases!$H$2:$H$499,B39)</f>
        <v/>
      </c>
      <c r="E39" s="10">
        <f>COUNTIFS(Cases!$H$2:$H$499,$B39,Cases!$N$2:$N$499,"Fake Fail")</f>
        <v/>
      </c>
      <c r="F39" s="10">
        <f>COUNTIFS(Cases!$H$2:$H$499,$B39,Cases!$N$2:$N$499,"Fake Success")</f>
        <v/>
      </c>
      <c r="G39" s="10">
        <f>COUNTIFS(Cases!$H$2:$H$499,$B39,Cases!$N$2:$N$499,"Deliver to Wrong Address")</f>
        <v/>
      </c>
      <c r="H39" s="10">
        <f>COUNTIFS(Cases!$H$2:$H$499,$B39,Cases!$N$2:$N$499,"Pull Out Route (POR)")</f>
        <v/>
      </c>
      <c r="I39" s="10">
        <f>COUNTIFS(Cases!$H$2:$H$499,$B39,Cases!$N$2:$N$499,"Failed pick-up")</f>
        <v/>
      </c>
      <c r="J39" s="10">
        <f>D39-SUM(E39:I39)</f>
        <v/>
      </c>
      <c r="K39" s="11">
        <f>IF(D39=0,0,E39/D39)</f>
        <v/>
      </c>
      <c r="L39" s="10">
        <f>COUNTIFS(Cases!$H$2:$H$499,$B39,Cases!$J$2:$J$499,"OPS (generic hub account)")</f>
        <v/>
      </c>
      <c r="M39" s="11">
        <f>IF(D39=0,0,L39/D39)</f>
        <v/>
      </c>
      <c r="N39" s="10" t="n">
        <v>3</v>
      </c>
      <c r="O39" s="11">
        <f>D39/COUNTA(Cases!$B$2:$B$499)</f>
        <v/>
      </c>
    </row>
    <row r="40">
      <c r="A40" s="10" t="n">
        <v>36</v>
      </c>
      <c r="B40" s="10" t="inlineStr">
        <is>
          <t>AOR</t>
        </is>
      </c>
      <c r="C40" s="10" t="inlineStr">
        <is>
          <t>Northern</t>
        </is>
      </c>
      <c r="D40" s="10">
        <f>COUNTIF(Cases!$H$2:$H$499,B40)</f>
        <v/>
      </c>
      <c r="E40" s="10">
        <f>COUNTIFS(Cases!$H$2:$H$499,$B40,Cases!$N$2:$N$499,"Fake Fail")</f>
        <v/>
      </c>
      <c r="F40" s="10">
        <f>COUNTIFS(Cases!$H$2:$H$499,$B40,Cases!$N$2:$N$499,"Fake Success")</f>
        <v/>
      </c>
      <c r="G40" s="10">
        <f>COUNTIFS(Cases!$H$2:$H$499,$B40,Cases!$N$2:$N$499,"Deliver to Wrong Address")</f>
        <v/>
      </c>
      <c r="H40" s="10">
        <f>COUNTIFS(Cases!$H$2:$H$499,$B40,Cases!$N$2:$N$499,"Pull Out Route (POR)")</f>
        <v/>
      </c>
      <c r="I40" s="10">
        <f>COUNTIFS(Cases!$H$2:$H$499,$B40,Cases!$N$2:$N$499,"Failed pick-up")</f>
        <v/>
      </c>
      <c r="J40" s="10">
        <f>D40-SUM(E40:I40)</f>
        <v/>
      </c>
      <c r="K40" s="11">
        <f>IF(D40=0,0,E40/D40)</f>
        <v/>
      </c>
      <c r="L40" s="10">
        <f>COUNTIFS(Cases!$H$2:$H$499,$B40,Cases!$J$2:$J$499,"OPS (generic hub account)")</f>
        <v/>
      </c>
      <c r="M40" s="11">
        <f>IF(D40=0,0,L40/D40)</f>
        <v/>
      </c>
      <c r="N40" s="10" t="n">
        <v>1</v>
      </c>
      <c r="O40" s="11">
        <f>D40/COUNTA(Cases!$B$2:$B$499)</f>
        <v/>
      </c>
    </row>
    <row r="41">
      <c r="A41" s="10" t="n">
        <v>37</v>
      </c>
      <c r="B41" s="10" t="inlineStr">
        <is>
          <t>BMC</t>
        </is>
      </c>
      <c r="C41" s="10" t="inlineStr">
        <is>
          <t>KV</t>
        </is>
      </c>
      <c r="D41" s="10">
        <f>COUNTIF(Cases!$H$2:$H$499,B41)</f>
        <v/>
      </c>
      <c r="E41" s="10">
        <f>COUNTIFS(Cases!$H$2:$H$499,$B41,Cases!$N$2:$N$499,"Fake Fail")</f>
        <v/>
      </c>
      <c r="F41" s="10">
        <f>COUNTIFS(Cases!$H$2:$H$499,$B41,Cases!$N$2:$N$499,"Fake Success")</f>
        <v/>
      </c>
      <c r="G41" s="10">
        <f>COUNTIFS(Cases!$H$2:$H$499,$B41,Cases!$N$2:$N$499,"Deliver to Wrong Address")</f>
        <v/>
      </c>
      <c r="H41" s="10">
        <f>COUNTIFS(Cases!$H$2:$H$499,$B41,Cases!$N$2:$N$499,"Pull Out Route (POR)")</f>
        <v/>
      </c>
      <c r="I41" s="10">
        <f>COUNTIFS(Cases!$H$2:$H$499,$B41,Cases!$N$2:$N$499,"Failed pick-up")</f>
        <v/>
      </c>
      <c r="J41" s="10">
        <f>D41-SUM(E41:I41)</f>
        <v/>
      </c>
      <c r="K41" s="11">
        <f>IF(D41=0,0,E41/D41)</f>
        <v/>
      </c>
      <c r="L41" s="10">
        <f>COUNTIFS(Cases!$H$2:$H$499,$B41,Cases!$J$2:$J$499,"OPS (generic hub account)")</f>
        <v/>
      </c>
      <c r="M41" s="11">
        <f>IF(D41=0,0,L41/D41)</f>
        <v/>
      </c>
      <c r="N41" s="10" t="n">
        <v>3</v>
      </c>
      <c r="O41" s="11">
        <f>D41/COUNTA(Cases!$B$2:$B$499)</f>
        <v/>
      </c>
    </row>
    <row r="42">
      <c r="A42" s="10" t="n">
        <v>38</v>
      </c>
      <c r="B42" s="10" t="inlineStr">
        <is>
          <t>BWH</t>
        </is>
      </c>
      <c r="C42" s="10" t="inlineStr">
        <is>
          <t>Northern</t>
        </is>
      </c>
      <c r="D42" s="10">
        <f>COUNTIF(Cases!$H$2:$H$499,B42)</f>
        <v/>
      </c>
      <c r="E42" s="10">
        <f>COUNTIFS(Cases!$H$2:$H$499,$B42,Cases!$N$2:$N$499,"Fake Fail")</f>
        <v/>
      </c>
      <c r="F42" s="10">
        <f>COUNTIFS(Cases!$H$2:$H$499,$B42,Cases!$N$2:$N$499,"Fake Success")</f>
        <v/>
      </c>
      <c r="G42" s="10">
        <f>COUNTIFS(Cases!$H$2:$H$499,$B42,Cases!$N$2:$N$499,"Deliver to Wrong Address")</f>
        <v/>
      </c>
      <c r="H42" s="10">
        <f>COUNTIFS(Cases!$H$2:$H$499,$B42,Cases!$N$2:$N$499,"Pull Out Route (POR)")</f>
        <v/>
      </c>
      <c r="I42" s="10">
        <f>COUNTIFS(Cases!$H$2:$H$499,$B42,Cases!$N$2:$N$499,"Failed pick-up")</f>
        <v/>
      </c>
      <c r="J42" s="10">
        <f>D42-SUM(E42:I42)</f>
        <v/>
      </c>
      <c r="K42" s="11">
        <f>IF(D42=0,0,E42/D42)</f>
        <v/>
      </c>
      <c r="L42" s="10">
        <f>COUNTIFS(Cases!$H$2:$H$499,$B42,Cases!$J$2:$J$499,"OPS (generic hub account)")</f>
        <v/>
      </c>
      <c r="M42" s="11">
        <f>IF(D42=0,0,L42/D42)</f>
        <v/>
      </c>
      <c r="N42" s="10" t="n">
        <v>2</v>
      </c>
      <c r="O42" s="11">
        <f>D42/COUNTA(Cases!$B$2:$B$499)</f>
        <v/>
      </c>
    </row>
    <row r="43">
      <c r="A43" s="10" t="n">
        <v>39</v>
      </c>
      <c r="B43" s="10" t="inlineStr">
        <is>
          <t>PTJ</t>
        </is>
      </c>
      <c r="C43" s="10" t="inlineStr">
        <is>
          <t>East MY</t>
        </is>
      </c>
      <c r="D43" s="10">
        <f>COUNTIF(Cases!$H$2:$H$499,B43)</f>
        <v/>
      </c>
      <c r="E43" s="10">
        <f>COUNTIFS(Cases!$H$2:$H$499,$B43,Cases!$N$2:$N$499,"Fake Fail")</f>
        <v/>
      </c>
      <c r="F43" s="10">
        <f>COUNTIFS(Cases!$H$2:$H$499,$B43,Cases!$N$2:$N$499,"Fake Success")</f>
        <v/>
      </c>
      <c r="G43" s="10">
        <f>COUNTIFS(Cases!$H$2:$H$499,$B43,Cases!$N$2:$N$499,"Deliver to Wrong Address")</f>
        <v/>
      </c>
      <c r="H43" s="10">
        <f>COUNTIFS(Cases!$H$2:$H$499,$B43,Cases!$N$2:$N$499,"Pull Out Route (POR)")</f>
        <v/>
      </c>
      <c r="I43" s="10">
        <f>COUNTIFS(Cases!$H$2:$H$499,$B43,Cases!$N$2:$N$499,"Failed pick-up")</f>
        <v/>
      </c>
      <c r="J43" s="10">
        <f>D43-SUM(E43:I43)</f>
        <v/>
      </c>
      <c r="K43" s="11">
        <f>IF(D43=0,0,E43/D43)</f>
        <v/>
      </c>
      <c r="L43" s="10">
        <f>COUNTIFS(Cases!$H$2:$H$499,$B43,Cases!$J$2:$J$499,"OPS (generic hub account)")</f>
        <v/>
      </c>
      <c r="M43" s="11">
        <f>IF(D43=0,0,L43/D43)</f>
        <v/>
      </c>
      <c r="N43" s="10" t="n">
        <v>3</v>
      </c>
      <c r="O43" s="11">
        <f>D43/COUNTA(Cases!$B$2:$B$499)</f>
        <v/>
      </c>
    </row>
    <row r="44">
      <c r="A44" s="10" t="n">
        <v>40</v>
      </c>
      <c r="B44" s="10" t="inlineStr">
        <is>
          <t>SHM</t>
        </is>
      </c>
      <c r="C44" s="10" t="inlineStr">
        <is>
          <t>KV</t>
        </is>
      </c>
      <c r="D44" s="10">
        <f>COUNTIF(Cases!$H$2:$H$499,B44)</f>
        <v/>
      </c>
      <c r="E44" s="10">
        <f>COUNTIFS(Cases!$H$2:$H$499,$B44,Cases!$N$2:$N$499,"Fake Fail")</f>
        <v/>
      </c>
      <c r="F44" s="10">
        <f>COUNTIFS(Cases!$H$2:$H$499,$B44,Cases!$N$2:$N$499,"Fake Success")</f>
        <v/>
      </c>
      <c r="G44" s="10">
        <f>COUNTIFS(Cases!$H$2:$H$499,$B44,Cases!$N$2:$N$499,"Deliver to Wrong Address")</f>
        <v/>
      </c>
      <c r="H44" s="10">
        <f>COUNTIFS(Cases!$H$2:$H$499,$B44,Cases!$N$2:$N$499,"Pull Out Route (POR)")</f>
        <v/>
      </c>
      <c r="I44" s="10">
        <f>COUNTIFS(Cases!$H$2:$H$499,$B44,Cases!$N$2:$N$499,"Failed pick-up")</f>
        <v/>
      </c>
      <c r="J44" s="10">
        <f>D44-SUM(E44:I44)</f>
        <v/>
      </c>
      <c r="K44" s="11">
        <f>IF(D44=0,0,E44/D44)</f>
        <v/>
      </c>
      <c r="L44" s="10">
        <f>COUNTIFS(Cases!$H$2:$H$499,$B44,Cases!$J$2:$J$499,"OPS (generic hub account)")</f>
        <v/>
      </c>
      <c r="M44" s="11">
        <f>IF(D44=0,0,L44/D44)</f>
        <v/>
      </c>
      <c r="N44" s="10" t="n">
        <v>1</v>
      </c>
      <c r="O44" s="11">
        <f>D44/COUNTA(Cases!$B$2:$B$499)</f>
        <v/>
      </c>
    </row>
    <row r="45">
      <c r="A45" s="10" t="n">
        <v>41</v>
      </c>
      <c r="B45" s="10" t="inlineStr">
        <is>
          <t>PUC</t>
        </is>
      </c>
      <c r="C45" s="10" t="inlineStr">
        <is>
          <t>KV</t>
        </is>
      </c>
      <c r="D45" s="10">
        <f>COUNTIF(Cases!$H$2:$H$499,B45)</f>
        <v/>
      </c>
      <c r="E45" s="10">
        <f>COUNTIFS(Cases!$H$2:$H$499,$B45,Cases!$N$2:$N$499,"Fake Fail")</f>
        <v/>
      </c>
      <c r="F45" s="10">
        <f>COUNTIFS(Cases!$H$2:$H$499,$B45,Cases!$N$2:$N$499,"Fake Success")</f>
        <v/>
      </c>
      <c r="G45" s="10">
        <f>COUNTIFS(Cases!$H$2:$H$499,$B45,Cases!$N$2:$N$499,"Deliver to Wrong Address")</f>
        <v/>
      </c>
      <c r="H45" s="10">
        <f>COUNTIFS(Cases!$H$2:$H$499,$B45,Cases!$N$2:$N$499,"Pull Out Route (POR)")</f>
        <v/>
      </c>
      <c r="I45" s="10">
        <f>COUNTIFS(Cases!$H$2:$H$499,$B45,Cases!$N$2:$N$499,"Failed pick-up")</f>
        <v/>
      </c>
      <c r="J45" s="10">
        <f>D45-SUM(E45:I45)</f>
        <v/>
      </c>
      <c r="K45" s="11">
        <f>IF(D45=0,0,E45/D45)</f>
        <v/>
      </c>
      <c r="L45" s="10">
        <f>COUNTIFS(Cases!$H$2:$H$499,$B45,Cases!$J$2:$J$499,"OPS (generic hub account)")</f>
        <v/>
      </c>
      <c r="M45" s="11">
        <f>IF(D45=0,0,L45/D45)</f>
        <v/>
      </c>
      <c r="N45" s="10" t="n">
        <v>4</v>
      </c>
      <c r="O45" s="11">
        <f>D45/COUNTA(Cases!$B$2:$B$499)</f>
        <v/>
      </c>
    </row>
    <row r="46">
      <c r="A46" s="10" t="n">
        <v>42</v>
      </c>
      <c r="B46" s="10" t="inlineStr">
        <is>
          <t>TIN</t>
        </is>
      </c>
      <c r="C46" s="10" t="inlineStr">
        <is>
          <t>North West</t>
        </is>
      </c>
      <c r="D46" s="10">
        <f>COUNTIF(Cases!$H$2:$H$499,B46)</f>
        <v/>
      </c>
      <c r="E46" s="10">
        <f>COUNTIFS(Cases!$H$2:$H$499,$B46,Cases!$N$2:$N$499,"Fake Fail")</f>
        <v/>
      </c>
      <c r="F46" s="10">
        <f>COUNTIFS(Cases!$H$2:$H$499,$B46,Cases!$N$2:$N$499,"Fake Success")</f>
        <v/>
      </c>
      <c r="G46" s="10">
        <f>COUNTIFS(Cases!$H$2:$H$499,$B46,Cases!$N$2:$N$499,"Deliver to Wrong Address")</f>
        <v/>
      </c>
      <c r="H46" s="10">
        <f>COUNTIFS(Cases!$H$2:$H$499,$B46,Cases!$N$2:$N$499,"Pull Out Route (POR)")</f>
        <v/>
      </c>
      <c r="I46" s="10">
        <f>COUNTIFS(Cases!$H$2:$H$499,$B46,Cases!$N$2:$N$499,"Failed pick-up")</f>
        <v/>
      </c>
      <c r="J46" s="10">
        <f>D46-SUM(E46:I46)</f>
        <v/>
      </c>
      <c r="K46" s="11">
        <f>IF(D46=0,0,E46/D46)</f>
        <v/>
      </c>
      <c r="L46" s="10">
        <f>COUNTIFS(Cases!$H$2:$H$499,$B46,Cases!$J$2:$J$499,"OPS (generic hub account)")</f>
        <v/>
      </c>
      <c r="M46" s="11">
        <f>IF(D46=0,0,L46/D46)</f>
        <v/>
      </c>
      <c r="N46" s="10" t="n">
        <v>2</v>
      </c>
      <c r="O46" s="11">
        <f>D46/COUNTA(Cases!$B$2:$B$499)</f>
        <v/>
      </c>
    </row>
    <row r="47">
      <c r="A47" s="10" t="n">
        <v>43</v>
      </c>
      <c r="B47" s="10" t="inlineStr">
        <is>
          <t>WMJ</t>
        </is>
      </c>
      <c r="C47" s="10" t="inlineStr">
        <is>
          <t>KV</t>
        </is>
      </c>
      <c r="D47" s="10">
        <f>COUNTIF(Cases!$H$2:$H$499,B47)</f>
        <v/>
      </c>
      <c r="E47" s="10">
        <f>COUNTIFS(Cases!$H$2:$H$499,$B47,Cases!$N$2:$N$499,"Fake Fail")</f>
        <v/>
      </c>
      <c r="F47" s="10">
        <f>COUNTIFS(Cases!$H$2:$H$499,$B47,Cases!$N$2:$N$499,"Fake Success")</f>
        <v/>
      </c>
      <c r="G47" s="10">
        <f>COUNTIFS(Cases!$H$2:$H$499,$B47,Cases!$N$2:$N$499,"Deliver to Wrong Address")</f>
        <v/>
      </c>
      <c r="H47" s="10">
        <f>COUNTIFS(Cases!$H$2:$H$499,$B47,Cases!$N$2:$N$499,"Pull Out Route (POR)")</f>
        <v/>
      </c>
      <c r="I47" s="10">
        <f>COUNTIFS(Cases!$H$2:$H$499,$B47,Cases!$N$2:$N$499,"Failed pick-up")</f>
        <v/>
      </c>
      <c r="J47" s="10">
        <f>D47-SUM(E47:I47)</f>
        <v/>
      </c>
      <c r="K47" s="11">
        <f>IF(D47=0,0,E47/D47)</f>
        <v/>
      </c>
      <c r="L47" s="10">
        <f>COUNTIFS(Cases!$H$2:$H$499,$B47,Cases!$J$2:$J$499,"OPS (generic hub account)")</f>
        <v/>
      </c>
      <c r="M47" s="11">
        <f>IF(D47=0,0,L47/D47)</f>
        <v/>
      </c>
      <c r="N47" s="10" t="n">
        <v>3</v>
      </c>
      <c r="O47" s="11">
        <f>D47/COUNTA(Cases!$B$2:$B$499)</f>
        <v/>
      </c>
    </row>
    <row r="48">
      <c r="A48" s="10" t="n">
        <v>44</v>
      </c>
      <c r="B48" s="10" t="inlineStr">
        <is>
          <t>BAY</t>
        </is>
      </c>
      <c r="C48" s="10" t="inlineStr">
        <is>
          <t>Northern</t>
        </is>
      </c>
      <c r="D48" s="10">
        <f>COUNTIF(Cases!$H$2:$H$499,B48)</f>
        <v/>
      </c>
      <c r="E48" s="10">
        <f>COUNTIFS(Cases!$H$2:$H$499,$B48,Cases!$N$2:$N$499,"Fake Fail")</f>
        <v/>
      </c>
      <c r="F48" s="10">
        <f>COUNTIFS(Cases!$H$2:$H$499,$B48,Cases!$N$2:$N$499,"Fake Success")</f>
        <v/>
      </c>
      <c r="G48" s="10">
        <f>COUNTIFS(Cases!$H$2:$H$499,$B48,Cases!$N$2:$N$499,"Deliver to Wrong Address")</f>
        <v/>
      </c>
      <c r="H48" s="10">
        <f>COUNTIFS(Cases!$H$2:$H$499,$B48,Cases!$N$2:$N$499,"Pull Out Route (POR)")</f>
        <v/>
      </c>
      <c r="I48" s="10">
        <f>COUNTIFS(Cases!$H$2:$H$499,$B48,Cases!$N$2:$N$499,"Failed pick-up")</f>
        <v/>
      </c>
      <c r="J48" s="10">
        <f>D48-SUM(E48:I48)</f>
        <v/>
      </c>
      <c r="K48" s="11">
        <f>IF(D48=0,0,E48/D48)</f>
        <v/>
      </c>
      <c r="L48" s="10">
        <f>COUNTIFS(Cases!$H$2:$H$499,$B48,Cases!$J$2:$J$499,"OPS (generic hub account)")</f>
        <v/>
      </c>
      <c r="M48" s="11">
        <f>IF(D48=0,0,L48/D48)</f>
        <v/>
      </c>
      <c r="N48" s="10" t="n">
        <v>2</v>
      </c>
      <c r="O48" s="11">
        <f>D48/COUNTA(Cases!$B$2:$B$499)</f>
        <v/>
      </c>
    </row>
    <row r="49">
      <c r="A49" s="10" t="n">
        <v>45</v>
      </c>
      <c r="B49" s="10" t="inlineStr">
        <is>
          <t>SLG</t>
        </is>
      </c>
      <c r="C49" s="10" t="inlineStr">
        <is>
          <t>KV</t>
        </is>
      </c>
      <c r="D49" s="10">
        <f>COUNTIF(Cases!$H$2:$H$499,B49)</f>
        <v/>
      </c>
      <c r="E49" s="10">
        <f>COUNTIFS(Cases!$H$2:$H$499,$B49,Cases!$N$2:$N$499,"Fake Fail")</f>
        <v/>
      </c>
      <c r="F49" s="10">
        <f>COUNTIFS(Cases!$H$2:$H$499,$B49,Cases!$N$2:$N$499,"Fake Success")</f>
        <v/>
      </c>
      <c r="G49" s="10">
        <f>COUNTIFS(Cases!$H$2:$H$499,$B49,Cases!$N$2:$N$499,"Deliver to Wrong Address")</f>
        <v/>
      </c>
      <c r="H49" s="10">
        <f>COUNTIFS(Cases!$H$2:$H$499,$B49,Cases!$N$2:$N$499,"Pull Out Route (POR)")</f>
        <v/>
      </c>
      <c r="I49" s="10">
        <f>COUNTIFS(Cases!$H$2:$H$499,$B49,Cases!$N$2:$N$499,"Failed pick-up")</f>
        <v/>
      </c>
      <c r="J49" s="10">
        <f>D49-SUM(E49:I49)</f>
        <v/>
      </c>
      <c r="K49" s="11">
        <f>IF(D49=0,0,E49/D49)</f>
        <v/>
      </c>
      <c r="L49" s="10">
        <f>COUNTIFS(Cases!$H$2:$H$499,$B49,Cases!$J$2:$J$499,"OPS (generic hub account)")</f>
        <v/>
      </c>
      <c r="M49" s="11">
        <f>IF(D49=0,0,L49/D49)</f>
        <v/>
      </c>
      <c r="N49" s="10" t="n">
        <v>1</v>
      </c>
      <c r="O49" s="11">
        <f>D49/COUNTA(Cases!$B$2:$B$499)</f>
        <v/>
      </c>
    </row>
    <row r="50">
      <c r="A50" s="10" t="n">
        <v>46</v>
      </c>
      <c r="B50" s="10" t="inlineStr">
        <is>
          <t>CKT</t>
        </is>
      </c>
      <c r="C50" s="10" t="inlineStr">
        <is>
          <t>KV</t>
        </is>
      </c>
      <c r="D50" s="10">
        <f>COUNTIF(Cases!$H$2:$H$499,B50)</f>
        <v/>
      </c>
      <c r="E50" s="10">
        <f>COUNTIFS(Cases!$H$2:$H$499,$B50,Cases!$N$2:$N$499,"Fake Fail")</f>
        <v/>
      </c>
      <c r="F50" s="10">
        <f>COUNTIFS(Cases!$H$2:$H$499,$B50,Cases!$N$2:$N$499,"Fake Success")</f>
        <v/>
      </c>
      <c r="G50" s="10">
        <f>COUNTIFS(Cases!$H$2:$H$499,$B50,Cases!$N$2:$N$499,"Deliver to Wrong Address")</f>
        <v/>
      </c>
      <c r="H50" s="10">
        <f>COUNTIFS(Cases!$H$2:$H$499,$B50,Cases!$N$2:$N$499,"Pull Out Route (POR)")</f>
        <v/>
      </c>
      <c r="I50" s="10">
        <f>COUNTIFS(Cases!$H$2:$H$499,$B50,Cases!$N$2:$N$499,"Failed pick-up")</f>
        <v/>
      </c>
      <c r="J50" s="10">
        <f>D50-SUM(E50:I50)</f>
        <v/>
      </c>
      <c r="K50" s="11">
        <f>IF(D50=0,0,E50/D50)</f>
        <v/>
      </c>
      <c r="L50" s="10">
        <f>COUNTIFS(Cases!$H$2:$H$499,$B50,Cases!$J$2:$J$499,"OPS (generic hub account)")</f>
        <v/>
      </c>
      <c r="M50" s="11">
        <f>IF(D50=0,0,L50/D50)</f>
        <v/>
      </c>
      <c r="N50" s="10" t="n">
        <v>3</v>
      </c>
      <c r="O50" s="11">
        <f>D50/COUNTA(Cases!$B$2:$B$499)</f>
        <v/>
      </c>
    </row>
    <row r="51">
      <c r="A51" s="10" t="n">
        <v>47</v>
      </c>
      <c r="B51" s="10" t="inlineStr">
        <is>
          <t>GMR</t>
        </is>
      </c>
      <c r="C51" s="10" t="inlineStr">
        <is>
          <t>Southern</t>
        </is>
      </c>
      <c r="D51" s="10">
        <f>COUNTIF(Cases!$H$2:$H$499,B51)</f>
        <v/>
      </c>
      <c r="E51" s="10">
        <f>COUNTIFS(Cases!$H$2:$H$499,$B51,Cases!$N$2:$N$499,"Fake Fail")</f>
        <v/>
      </c>
      <c r="F51" s="10">
        <f>COUNTIFS(Cases!$H$2:$H$499,$B51,Cases!$N$2:$N$499,"Fake Success")</f>
        <v/>
      </c>
      <c r="G51" s="10">
        <f>COUNTIFS(Cases!$H$2:$H$499,$B51,Cases!$N$2:$N$499,"Deliver to Wrong Address")</f>
        <v/>
      </c>
      <c r="H51" s="10">
        <f>COUNTIFS(Cases!$H$2:$H$499,$B51,Cases!$N$2:$N$499,"Pull Out Route (POR)")</f>
        <v/>
      </c>
      <c r="I51" s="10">
        <f>COUNTIFS(Cases!$H$2:$H$499,$B51,Cases!$N$2:$N$499,"Failed pick-up")</f>
        <v/>
      </c>
      <c r="J51" s="10">
        <f>D51-SUM(E51:I51)</f>
        <v/>
      </c>
      <c r="K51" s="11">
        <f>IF(D51=0,0,E51/D51)</f>
        <v/>
      </c>
      <c r="L51" s="10">
        <f>COUNTIFS(Cases!$H$2:$H$499,$B51,Cases!$J$2:$J$499,"OPS (generic hub account)")</f>
        <v/>
      </c>
      <c r="M51" s="11">
        <f>IF(D51=0,0,L51/D51)</f>
        <v/>
      </c>
      <c r="N51" s="10" t="n">
        <v>3</v>
      </c>
      <c r="O51" s="11">
        <f>D51/COUNTA(Cases!$B$2:$B$499)</f>
        <v/>
      </c>
    </row>
    <row r="52">
      <c r="A52" s="10" t="n">
        <v>48</v>
      </c>
      <c r="B52" s="10" t="inlineStr">
        <is>
          <t>SBW</t>
        </is>
      </c>
      <c r="C52" s="10" t="inlineStr">
        <is>
          <t>East MY</t>
        </is>
      </c>
      <c r="D52" s="10">
        <f>COUNTIF(Cases!$H$2:$H$499,B52)</f>
        <v/>
      </c>
      <c r="E52" s="10">
        <f>COUNTIFS(Cases!$H$2:$H$499,$B52,Cases!$N$2:$N$499,"Fake Fail")</f>
        <v/>
      </c>
      <c r="F52" s="10">
        <f>COUNTIFS(Cases!$H$2:$H$499,$B52,Cases!$N$2:$N$499,"Fake Success")</f>
        <v/>
      </c>
      <c r="G52" s="10">
        <f>COUNTIFS(Cases!$H$2:$H$499,$B52,Cases!$N$2:$N$499,"Deliver to Wrong Address")</f>
        <v/>
      </c>
      <c r="H52" s="10">
        <f>COUNTIFS(Cases!$H$2:$H$499,$B52,Cases!$N$2:$N$499,"Pull Out Route (POR)")</f>
        <v/>
      </c>
      <c r="I52" s="10">
        <f>COUNTIFS(Cases!$H$2:$H$499,$B52,Cases!$N$2:$N$499,"Failed pick-up")</f>
        <v/>
      </c>
      <c r="J52" s="10">
        <f>D52-SUM(E52:I52)</f>
        <v/>
      </c>
      <c r="K52" s="11">
        <f>IF(D52=0,0,E52/D52)</f>
        <v/>
      </c>
      <c r="L52" s="10">
        <f>COUNTIFS(Cases!$H$2:$H$499,$B52,Cases!$J$2:$J$499,"OPS (generic hub account)")</f>
        <v/>
      </c>
      <c r="M52" s="11">
        <f>IF(D52=0,0,L52/D52)</f>
        <v/>
      </c>
      <c r="N52" s="10" t="n">
        <v>2</v>
      </c>
      <c r="O52" s="11">
        <f>D52/COUNTA(Cases!$B$2:$B$499)</f>
        <v/>
      </c>
    </row>
    <row r="53">
      <c r="A53" s="10" t="n">
        <v>49</v>
      </c>
      <c r="B53" s="10" t="inlineStr">
        <is>
          <t>MYY</t>
        </is>
      </c>
      <c r="C53" s="10" t="inlineStr">
        <is>
          <t>East MY</t>
        </is>
      </c>
      <c r="D53" s="10">
        <f>COUNTIF(Cases!$H$2:$H$499,B53)</f>
        <v/>
      </c>
      <c r="E53" s="10">
        <f>COUNTIFS(Cases!$H$2:$H$499,$B53,Cases!$N$2:$N$499,"Fake Fail")</f>
        <v/>
      </c>
      <c r="F53" s="10">
        <f>COUNTIFS(Cases!$H$2:$H$499,$B53,Cases!$N$2:$N$499,"Fake Success")</f>
        <v/>
      </c>
      <c r="G53" s="10">
        <f>COUNTIFS(Cases!$H$2:$H$499,$B53,Cases!$N$2:$N$499,"Deliver to Wrong Address")</f>
        <v/>
      </c>
      <c r="H53" s="10">
        <f>COUNTIFS(Cases!$H$2:$H$499,$B53,Cases!$N$2:$N$499,"Pull Out Route (POR)")</f>
        <v/>
      </c>
      <c r="I53" s="10">
        <f>COUNTIFS(Cases!$H$2:$H$499,$B53,Cases!$N$2:$N$499,"Failed pick-up")</f>
        <v/>
      </c>
      <c r="J53" s="10">
        <f>D53-SUM(E53:I53)</f>
        <v/>
      </c>
      <c r="K53" s="11">
        <f>IF(D53=0,0,E53/D53)</f>
        <v/>
      </c>
      <c r="L53" s="10">
        <f>COUNTIFS(Cases!$H$2:$H$499,$B53,Cases!$J$2:$J$499,"OPS (generic hub account)")</f>
        <v/>
      </c>
      <c r="M53" s="11">
        <f>IF(D53=0,0,L53/D53)</f>
        <v/>
      </c>
      <c r="N53" s="10" t="n">
        <v>2</v>
      </c>
      <c r="O53" s="11">
        <f>D53/COUNTA(Cases!$B$2:$B$499)</f>
        <v/>
      </c>
    </row>
    <row r="54">
      <c r="A54" s="10" t="n">
        <v>50</v>
      </c>
      <c r="B54" s="10" t="inlineStr">
        <is>
          <t>SBN</t>
        </is>
      </c>
      <c r="C54" s="10" t="inlineStr">
        <is>
          <t>South West</t>
        </is>
      </c>
      <c r="D54" s="10">
        <f>COUNTIF(Cases!$H$2:$H$499,B54)</f>
        <v/>
      </c>
      <c r="E54" s="10">
        <f>COUNTIFS(Cases!$H$2:$H$499,$B54,Cases!$N$2:$N$499,"Fake Fail")</f>
        <v/>
      </c>
      <c r="F54" s="10">
        <f>COUNTIFS(Cases!$H$2:$H$499,$B54,Cases!$N$2:$N$499,"Fake Success")</f>
        <v/>
      </c>
      <c r="G54" s="10">
        <f>COUNTIFS(Cases!$H$2:$H$499,$B54,Cases!$N$2:$N$499,"Deliver to Wrong Address")</f>
        <v/>
      </c>
      <c r="H54" s="10">
        <f>COUNTIFS(Cases!$H$2:$H$499,$B54,Cases!$N$2:$N$499,"Pull Out Route (POR)")</f>
        <v/>
      </c>
      <c r="I54" s="10">
        <f>COUNTIFS(Cases!$H$2:$H$499,$B54,Cases!$N$2:$N$499,"Failed pick-up")</f>
        <v/>
      </c>
      <c r="J54" s="10">
        <f>D54-SUM(E54:I54)</f>
        <v/>
      </c>
      <c r="K54" s="11">
        <f>IF(D54=0,0,E54/D54)</f>
        <v/>
      </c>
      <c r="L54" s="10">
        <f>COUNTIFS(Cases!$H$2:$H$499,$B54,Cases!$J$2:$J$499,"OPS (generic hub account)")</f>
        <v/>
      </c>
      <c r="M54" s="11">
        <f>IF(D54=0,0,L54/D54)</f>
        <v/>
      </c>
      <c r="N54" s="10" t="n">
        <v>2</v>
      </c>
      <c r="O54" s="11">
        <f>D54/COUNTA(Cases!$B$2:$B$499)</f>
        <v/>
      </c>
    </row>
    <row r="55">
      <c r="A55" s="10" t="n">
        <v>51</v>
      </c>
      <c r="B55" s="10" t="inlineStr">
        <is>
          <t>MUA</t>
        </is>
      </c>
      <c r="C55" s="10" t="inlineStr">
        <is>
          <t>Southern</t>
        </is>
      </c>
      <c r="D55" s="10">
        <f>COUNTIF(Cases!$H$2:$H$499,B55)</f>
        <v/>
      </c>
      <c r="E55" s="10">
        <f>COUNTIFS(Cases!$H$2:$H$499,$B55,Cases!$N$2:$N$499,"Fake Fail")</f>
        <v/>
      </c>
      <c r="F55" s="10">
        <f>COUNTIFS(Cases!$H$2:$H$499,$B55,Cases!$N$2:$N$499,"Fake Success")</f>
        <v/>
      </c>
      <c r="G55" s="10">
        <f>COUNTIFS(Cases!$H$2:$H$499,$B55,Cases!$N$2:$N$499,"Deliver to Wrong Address")</f>
        <v/>
      </c>
      <c r="H55" s="10">
        <f>COUNTIFS(Cases!$H$2:$H$499,$B55,Cases!$N$2:$N$499,"Pull Out Route (POR)")</f>
        <v/>
      </c>
      <c r="I55" s="10">
        <f>COUNTIFS(Cases!$H$2:$H$499,$B55,Cases!$N$2:$N$499,"Failed pick-up")</f>
        <v/>
      </c>
      <c r="J55" s="10">
        <f>D55-SUM(E55:I55)</f>
        <v/>
      </c>
      <c r="K55" s="11">
        <f>IF(D55=0,0,E55/D55)</f>
        <v/>
      </c>
      <c r="L55" s="10">
        <f>COUNTIFS(Cases!$H$2:$H$499,$B55,Cases!$J$2:$J$499,"OPS (generic hub account)")</f>
        <v/>
      </c>
      <c r="M55" s="11">
        <f>IF(D55=0,0,L55/D55)</f>
        <v/>
      </c>
      <c r="N55" s="10" t="n">
        <v>2</v>
      </c>
      <c r="O55" s="11">
        <f>D55/COUNTA(Cases!$B$2:$B$499)</f>
        <v/>
      </c>
    </row>
    <row r="56">
      <c r="A56" s="10" t="n">
        <v>52</v>
      </c>
      <c r="B56" s="10" t="inlineStr">
        <is>
          <t>KGR</t>
        </is>
      </c>
      <c r="C56" s="10" t="inlineStr">
        <is>
          <t>Northern</t>
        </is>
      </c>
      <c r="D56" s="10">
        <f>COUNTIF(Cases!$H$2:$H$499,B56)</f>
        <v/>
      </c>
      <c r="E56" s="10">
        <f>COUNTIFS(Cases!$H$2:$H$499,$B56,Cases!$N$2:$N$499,"Fake Fail")</f>
        <v/>
      </c>
      <c r="F56" s="10">
        <f>COUNTIFS(Cases!$H$2:$H$499,$B56,Cases!$N$2:$N$499,"Fake Success")</f>
        <v/>
      </c>
      <c r="G56" s="10">
        <f>COUNTIFS(Cases!$H$2:$H$499,$B56,Cases!$N$2:$N$499,"Deliver to Wrong Address")</f>
        <v/>
      </c>
      <c r="H56" s="10">
        <f>COUNTIFS(Cases!$H$2:$H$499,$B56,Cases!$N$2:$N$499,"Pull Out Route (POR)")</f>
        <v/>
      </c>
      <c r="I56" s="10">
        <f>COUNTIFS(Cases!$H$2:$H$499,$B56,Cases!$N$2:$N$499,"Failed pick-up")</f>
        <v/>
      </c>
      <c r="J56" s="10">
        <f>D56-SUM(E56:I56)</f>
        <v/>
      </c>
      <c r="K56" s="11">
        <f>IF(D56=0,0,E56/D56)</f>
        <v/>
      </c>
      <c r="L56" s="10">
        <f>COUNTIFS(Cases!$H$2:$H$499,$B56,Cases!$J$2:$J$499,"OPS (generic hub account)")</f>
        <v/>
      </c>
      <c r="M56" s="11">
        <f>IF(D56=0,0,L56/D56)</f>
        <v/>
      </c>
      <c r="N56" s="10" t="n">
        <v>1</v>
      </c>
      <c r="O56" s="11">
        <f>D56/COUNTA(Cases!$B$2:$B$499)</f>
        <v/>
      </c>
    </row>
    <row r="57">
      <c r="A57" s="10" t="n">
        <v>53</v>
      </c>
      <c r="B57" s="10" t="inlineStr">
        <is>
          <t>TPG</t>
        </is>
      </c>
      <c r="C57" s="10" t="inlineStr">
        <is>
          <t>North West</t>
        </is>
      </c>
      <c r="D57" s="10">
        <f>COUNTIF(Cases!$H$2:$H$499,B57)</f>
        <v/>
      </c>
      <c r="E57" s="10">
        <f>COUNTIFS(Cases!$H$2:$H$499,$B57,Cases!$N$2:$N$499,"Fake Fail")</f>
        <v/>
      </c>
      <c r="F57" s="10">
        <f>COUNTIFS(Cases!$H$2:$H$499,$B57,Cases!$N$2:$N$499,"Fake Success")</f>
        <v/>
      </c>
      <c r="G57" s="10">
        <f>COUNTIFS(Cases!$H$2:$H$499,$B57,Cases!$N$2:$N$499,"Deliver to Wrong Address")</f>
        <v/>
      </c>
      <c r="H57" s="10">
        <f>COUNTIFS(Cases!$H$2:$H$499,$B57,Cases!$N$2:$N$499,"Pull Out Route (POR)")</f>
        <v/>
      </c>
      <c r="I57" s="10">
        <f>COUNTIFS(Cases!$H$2:$H$499,$B57,Cases!$N$2:$N$499,"Failed pick-up")</f>
        <v/>
      </c>
      <c r="J57" s="10">
        <f>D57-SUM(E57:I57)</f>
        <v/>
      </c>
      <c r="K57" s="11">
        <f>IF(D57=0,0,E57/D57)</f>
        <v/>
      </c>
      <c r="L57" s="10">
        <f>COUNTIFS(Cases!$H$2:$H$499,$B57,Cases!$J$2:$J$499,"OPS (generic hub account)")</f>
        <v/>
      </c>
      <c r="M57" s="11">
        <f>IF(D57=0,0,L57/D57)</f>
        <v/>
      </c>
      <c r="N57" s="10" t="n">
        <v>2</v>
      </c>
      <c r="O57" s="11">
        <f>D57/COUNTA(Cases!$B$2:$B$499)</f>
        <v/>
      </c>
    </row>
    <row r="58">
      <c r="A58" s="10" t="n">
        <v>54</v>
      </c>
      <c r="B58" s="10" t="inlineStr">
        <is>
          <t>KLG</t>
        </is>
      </c>
      <c r="C58" s="10" t="inlineStr">
        <is>
          <t>KV</t>
        </is>
      </c>
      <c r="D58" s="10">
        <f>COUNTIF(Cases!$H$2:$H$499,B58)</f>
        <v/>
      </c>
      <c r="E58" s="10">
        <f>COUNTIFS(Cases!$H$2:$H$499,$B58,Cases!$N$2:$N$499,"Fake Fail")</f>
        <v/>
      </c>
      <c r="F58" s="10">
        <f>COUNTIFS(Cases!$H$2:$H$499,$B58,Cases!$N$2:$N$499,"Fake Success")</f>
        <v/>
      </c>
      <c r="G58" s="10">
        <f>COUNTIFS(Cases!$H$2:$H$499,$B58,Cases!$N$2:$N$499,"Deliver to Wrong Address")</f>
        <v/>
      </c>
      <c r="H58" s="10">
        <f>COUNTIFS(Cases!$H$2:$H$499,$B58,Cases!$N$2:$N$499,"Pull Out Route (POR)")</f>
        <v/>
      </c>
      <c r="I58" s="10">
        <f>COUNTIFS(Cases!$H$2:$H$499,$B58,Cases!$N$2:$N$499,"Failed pick-up")</f>
        <v/>
      </c>
      <c r="J58" s="10">
        <f>D58-SUM(E58:I58)</f>
        <v/>
      </c>
      <c r="K58" s="11">
        <f>IF(D58=0,0,E58/D58)</f>
        <v/>
      </c>
      <c r="L58" s="10">
        <f>COUNTIFS(Cases!$H$2:$H$499,$B58,Cases!$J$2:$J$499,"OPS (generic hub account)")</f>
        <v/>
      </c>
      <c r="M58" s="11">
        <f>IF(D58=0,0,L58/D58)</f>
        <v/>
      </c>
      <c r="N58" s="10" t="n">
        <v>0</v>
      </c>
      <c r="O58" s="11">
        <f>D58/COUNTA(Cases!$B$2:$B$499)</f>
        <v/>
      </c>
    </row>
    <row r="59">
      <c r="A59" s="10" t="n">
        <v>55</v>
      </c>
      <c r="B59" s="10" t="inlineStr">
        <is>
          <t>KCH</t>
        </is>
      </c>
      <c r="C59" s="10" t="inlineStr">
        <is>
          <t>East MY</t>
        </is>
      </c>
      <c r="D59" s="10">
        <f>COUNTIF(Cases!$H$2:$H$499,B59)</f>
        <v/>
      </c>
      <c r="E59" s="10">
        <f>COUNTIFS(Cases!$H$2:$H$499,$B59,Cases!$N$2:$N$499,"Fake Fail")</f>
        <v/>
      </c>
      <c r="F59" s="10">
        <f>COUNTIFS(Cases!$H$2:$H$499,$B59,Cases!$N$2:$N$499,"Fake Success")</f>
        <v/>
      </c>
      <c r="G59" s="10">
        <f>COUNTIFS(Cases!$H$2:$H$499,$B59,Cases!$N$2:$N$499,"Deliver to Wrong Address")</f>
        <v/>
      </c>
      <c r="H59" s="10">
        <f>COUNTIFS(Cases!$H$2:$H$499,$B59,Cases!$N$2:$N$499,"Pull Out Route (POR)")</f>
        <v/>
      </c>
      <c r="I59" s="10">
        <f>COUNTIFS(Cases!$H$2:$H$499,$B59,Cases!$N$2:$N$499,"Failed pick-up")</f>
        <v/>
      </c>
      <c r="J59" s="10">
        <f>D59-SUM(E59:I59)</f>
        <v/>
      </c>
      <c r="K59" s="11">
        <f>IF(D59=0,0,E59/D59)</f>
        <v/>
      </c>
      <c r="L59" s="10">
        <f>COUNTIFS(Cases!$H$2:$H$499,$B59,Cases!$J$2:$J$499,"OPS (generic hub account)")</f>
        <v/>
      </c>
      <c r="M59" s="11">
        <f>IF(D59=0,0,L59/D59)</f>
        <v/>
      </c>
      <c r="N59" s="10" t="n">
        <v>1</v>
      </c>
      <c r="O59" s="11">
        <f>D59/COUNTA(Cases!$B$2:$B$499)</f>
        <v/>
      </c>
    </row>
    <row r="60">
      <c r="A60" s="10" t="n">
        <v>56</v>
      </c>
      <c r="B60" s="10" t="inlineStr">
        <is>
          <t>DAM</t>
        </is>
      </c>
      <c r="C60" s="10" t="inlineStr">
        <is>
          <t>KV</t>
        </is>
      </c>
      <c r="D60" s="10">
        <f>COUNTIF(Cases!$H$2:$H$499,B60)</f>
        <v/>
      </c>
      <c r="E60" s="10">
        <f>COUNTIFS(Cases!$H$2:$H$499,$B60,Cases!$N$2:$N$499,"Fake Fail")</f>
        <v/>
      </c>
      <c r="F60" s="10">
        <f>COUNTIFS(Cases!$H$2:$H$499,$B60,Cases!$N$2:$N$499,"Fake Success")</f>
        <v/>
      </c>
      <c r="G60" s="10">
        <f>COUNTIFS(Cases!$H$2:$H$499,$B60,Cases!$N$2:$N$499,"Deliver to Wrong Address")</f>
        <v/>
      </c>
      <c r="H60" s="10">
        <f>COUNTIFS(Cases!$H$2:$H$499,$B60,Cases!$N$2:$N$499,"Pull Out Route (POR)")</f>
        <v/>
      </c>
      <c r="I60" s="10">
        <f>COUNTIFS(Cases!$H$2:$H$499,$B60,Cases!$N$2:$N$499,"Failed pick-up")</f>
        <v/>
      </c>
      <c r="J60" s="10">
        <f>D60-SUM(E60:I60)</f>
        <v/>
      </c>
      <c r="K60" s="11">
        <f>IF(D60=0,0,E60/D60)</f>
        <v/>
      </c>
      <c r="L60" s="10">
        <f>COUNTIFS(Cases!$H$2:$H$499,$B60,Cases!$J$2:$J$499,"OPS (generic hub account)")</f>
        <v/>
      </c>
      <c r="M60" s="11">
        <f>IF(D60=0,0,L60/D60)</f>
        <v/>
      </c>
      <c r="N60" s="10" t="n">
        <v>2</v>
      </c>
      <c r="O60" s="11">
        <f>D60/COUNTA(Cases!$B$2:$B$499)</f>
        <v/>
      </c>
    </row>
    <row r="61">
      <c r="A61" s="10" t="n">
        <v>57</v>
      </c>
      <c r="B61" s="10" t="inlineStr">
        <is>
          <t>ARA</t>
        </is>
      </c>
      <c r="C61" s="10" t="inlineStr">
        <is>
          <t>KV</t>
        </is>
      </c>
      <c r="D61" s="10">
        <f>COUNTIF(Cases!$H$2:$H$499,B61)</f>
        <v/>
      </c>
      <c r="E61" s="10">
        <f>COUNTIFS(Cases!$H$2:$H$499,$B61,Cases!$N$2:$N$499,"Fake Fail")</f>
        <v/>
      </c>
      <c r="F61" s="10">
        <f>COUNTIFS(Cases!$H$2:$H$499,$B61,Cases!$N$2:$N$499,"Fake Success")</f>
        <v/>
      </c>
      <c r="G61" s="10">
        <f>COUNTIFS(Cases!$H$2:$H$499,$B61,Cases!$N$2:$N$499,"Deliver to Wrong Address")</f>
        <v/>
      </c>
      <c r="H61" s="10">
        <f>COUNTIFS(Cases!$H$2:$H$499,$B61,Cases!$N$2:$N$499,"Pull Out Route (POR)")</f>
        <v/>
      </c>
      <c r="I61" s="10">
        <f>COUNTIFS(Cases!$H$2:$H$499,$B61,Cases!$N$2:$N$499,"Failed pick-up")</f>
        <v/>
      </c>
      <c r="J61" s="10">
        <f>D61-SUM(E61:I61)</f>
        <v/>
      </c>
      <c r="K61" s="11">
        <f>IF(D61=0,0,E61/D61)</f>
        <v/>
      </c>
      <c r="L61" s="10">
        <f>COUNTIFS(Cases!$H$2:$H$499,$B61,Cases!$J$2:$J$499,"OPS (generic hub account)")</f>
        <v/>
      </c>
      <c r="M61" s="11">
        <f>IF(D61=0,0,L61/D61)</f>
        <v/>
      </c>
      <c r="N61" s="10" t="n">
        <v>2</v>
      </c>
      <c r="O61" s="11">
        <f>D61/COUNTA(Cases!$B$2:$B$499)</f>
        <v/>
      </c>
    </row>
    <row r="62">
      <c r="A62" s="10" t="n">
        <v>58</v>
      </c>
      <c r="B62" s="10" t="inlineStr">
        <is>
          <t>SLM</t>
        </is>
      </c>
      <c r="C62" s="10" t="inlineStr">
        <is>
          <t>North West</t>
        </is>
      </c>
      <c r="D62" s="10">
        <f>COUNTIF(Cases!$H$2:$H$499,B62)</f>
        <v/>
      </c>
      <c r="E62" s="10">
        <f>COUNTIFS(Cases!$H$2:$H$499,$B62,Cases!$N$2:$N$499,"Fake Fail")</f>
        <v/>
      </c>
      <c r="F62" s="10">
        <f>COUNTIFS(Cases!$H$2:$H$499,$B62,Cases!$N$2:$N$499,"Fake Success")</f>
        <v/>
      </c>
      <c r="G62" s="10">
        <f>COUNTIFS(Cases!$H$2:$H$499,$B62,Cases!$N$2:$N$499,"Deliver to Wrong Address")</f>
        <v/>
      </c>
      <c r="H62" s="10">
        <f>COUNTIFS(Cases!$H$2:$H$499,$B62,Cases!$N$2:$N$499,"Pull Out Route (POR)")</f>
        <v/>
      </c>
      <c r="I62" s="10">
        <f>COUNTIFS(Cases!$H$2:$H$499,$B62,Cases!$N$2:$N$499,"Failed pick-up")</f>
        <v/>
      </c>
      <c r="J62" s="10">
        <f>D62-SUM(E62:I62)</f>
        <v/>
      </c>
      <c r="K62" s="11">
        <f>IF(D62=0,0,E62/D62)</f>
        <v/>
      </c>
      <c r="L62" s="10">
        <f>COUNTIFS(Cases!$H$2:$H$499,$B62,Cases!$J$2:$J$499,"OPS (generic hub account)")</f>
        <v/>
      </c>
      <c r="M62" s="11">
        <f>IF(D62=0,0,L62/D62)</f>
        <v/>
      </c>
      <c r="N62" s="10" t="n">
        <v>2</v>
      </c>
      <c r="O62" s="11">
        <f>D62/COUNTA(Cases!$B$2:$B$499)</f>
        <v/>
      </c>
    </row>
    <row r="63">
      <c r="A63" s="10" t="n">
        <v>59</v>
      </c>
      <c r="B63" s="10" t="inlineStr">
        <is>
          <t>SAR</t>
        </is>
      </c>
      <c r="C63" s="10" t="inlineStr">
        <is>
          <t>North West</t>
        </is>
      </c>
      <c r="D63" s="10">
        <f>COUNTIF(Cases!$H$2:$H$499,B63)</f>
        <v/>
      </c>
      <c r="E63" s="10">
        <f>COUNTIFS(Cases!$H$2:$H$499,$B63,Cases!$N$2:$N$499,"Fake Fail")</f>
        <v/>
      </c>
      <c r="F63" s="10">
        <f>COUNTIFS(Cases!$H$2:$H$499,$B63,Cases!$N$2:$N$499,"Fake Success")</f>
        <v/>
      </c>
      <c r="G63" s="10">
        <f>COUNTIFS(Cases!$H$2:$H$499,$B63,Cases!$N$2:$N$499,"Deliver to Wrong Address")</f>
        <v/>
      </c>
      <c r="H63" s="10">
        <f>COUNTIFS(Cases!$H$2:$H$499,$B63,Cases!$N$2:$N$499,"Pull Out Route (POR)")</f>
        <v/>
      </c>
      <c r="I63" s="10">
        <f>COUNTIFS(Cases!$H$2:$H$499,$B63,Cases!$N$2:$N$499,"Failed pick-up")</f>
        <v/>
      </c>
      <c r="J63" s="10">
        <f>D63-SUM(E63:I63)</f>
        <v/>
      </c>
      <c r="K63" s="11">
        <f>IF(D63=0,0,E63/D63)</f>
        <v/>
      </c>
      <c r="L63" s="10">
        <f>COUNTIFS(Cases!$H$2:$H$499,$B63,Cases!$J$2:$J$499,"OPS (generic hub account)")</f>
        <v/>
      </c>
      <c r="M63" s="11">
        <f>IF(D63=0,0,L63/D63)</f>
        <v/>
      </c>
      <c r="N63" s="10" t="n">
        <v>0</v>
      </c>
      <c r="O63" s="11">
        <f>D63/COUNTA(Cases!$B$2:$B$499)</f>
        <v/>
      </c>
    </row>
    <row r="64">
      <c r="A64" s="10" t="n">
        <v>60</v>
      </c>
      <c r="B64" s="10" t="inlineStr">
        <is>
          <t>SYH</t>
        </is>
      </c>
      <c r="C64" s="10" t="inlineStr">
        <is>
          <t>KV</t>
        </is>
      </c>
      <c r="D64" s="10">
        <f>COUNTIF(Cases!$H$2:$H$499,B64)</f>
        <v/>
      </c>
      <c r="E64" s="10">
        <f>COUNTIFS(Cases!$H$2:$H$499,$B64,Cases!$N$2:$N$499,"Fake Fail")</f>
        <v/>
      </c>
      <c r="F64" s="10">
        <f>COUNTIFS(Cases!$H$2:$H$499,$B64,Cases!$N$2:$N$499,"Fake Success")</f>
        <v/>
      </c>
      <c r="G64" s="10">
        <f>COUNTIFS(Cases!$H$2:$H$499,$B64,Cases!$N$2:$N$499,"Deliver to Wrong Address")</f>
        <v/>
      </c>
      <c r="H64" s="10">
        <f>COUNTIFS(Cases!$H$2:$H$499,$B64,Cases!$N$2:$N$499,"Pull Out Route (POR)")</f>
        <v/>
      </c>
      <c r="I64" s="10">
        <f>COUNTIFS(Cases!$H$2:$H$499,$B64,Cases!$N$2:$N$499,"Failed pick-up")</f>
        <v/>
      </c>
      <c r="J64" s="10">
        <f>D64-SUM(E64:I64)</f>
        <v/>
      </c>
      <c r="K64" s="11">
        <f>IF(D64=0,0,E64/D64)</f>
        <v/>
      </c>
      <c r="L64" s="10">
        <f>COUNTIFS(Cases!$H$2:$H$499,$B64,Cases!$J$2:$J$499,"OPS (generic hub account)")</f>
        <v/>
      </c>
      <c r="M64" s="11">
        <f>IF(D64=0,0,L64/D64)</f>
        <v/>
      </c>
      <c r="N64" s="10" t="n">
        <v>1</v>
      </c>
      <c r="O64" s="11">
        <f>D64/COUNTA(Cases!$B$2:$B$499)</f>
        <v/>
      </c>
    </row>
    <row r="65">
      <c r="A65" s="10" t="n">
        <v>61</v>
      </c>
      <c r="B65" s="10" t="inlineStr">
        <is>
          <t>STW</t>
        </is>
      </c>
      <c r="C65" s="10" t="inlineStr">
        <is>
          <t>North West</t>
        </is>
      </c>
      <c r="D65" s="10">
        <f>COUNTIF(Cases!$H$2:$H$499,B65)</f>
        <v/>
      </c>
      <c r="E65" s="10">
        <f>COUNTIFS(Cases!$H$2:$H$499,$B65,Cases!$N$2:$N$499,"Fake Fail")</f>
        <v/>
      </c>
      <c r="F65" s="10">
        <f>COUNTIFS(Cases!$H$2:$H$499,$B65,Cases!$N$2:$N$499,"Fake Success")</f>
        <v/>
      </c>
      <c r="G65" s="10">
        <f>COUNTIFS(Cases!$H$2:$H$499,$B65,Cases!$N$2:$N$499,"Deliver to Wrong Address")</f>
        <v/>
      </c>
      <c r="H65" s="10">
        <f>COUNTIFS(Cases!$H$2:$H$499,$B65,Cases!$N$2:$N$499,"Pull Out Route (POR)")</f>
        <v/>
      </c>
      <c r="I65" s="10">
        <f>COUNTIFS(Cases!$H$2:$H$499,$B65,Cases!$N$2:$N$499,"Failed pick-up")</f>
        <v/>
      </c>
      <c r="J65" s="10">
        <f>D65-SUM(E65:I65)</f>
        <v/>
      </c>
      <c r="K65" s="11">
        <f>IF(D65=0,0,E65/D65)</f>
        <v/>
      </c>
      <c r="L65" s="10">
        <f>COUNTIFS(Cases!$H$2:$H$499,$B65,Cases!$J$2:$J$499,"OPS (generic hub account)")</f>
        <v/>
      </c>
      <c r="M65" s="11">
        <f>IF(D65=0,0,L65/D65)</f>
        <v/>
      </c>
      <c r="N65" s="10" t="n">
        <v>0</v>
      </c>
      <c r="O65" s="11">
        <f>D65/COUNTA(Cases!$B$2:$B$499)</f>
        <v/>
      </c>
    </row>
    <row r="66">
      <c r="A66" s="10" t="n">
        <v>62</v>
      </c>
      <c r="B66" s="10" t="inlineStr">
        <is>
          <t>SPT</t>
        </is>
      </c>
      <c r="C66" s="10" t="inlineStr">
        <is>
          <t>Northern</t>
        </is>
      </c>
      <c r="D66" s="10">
        <f>COUNTIF(Cases!$H$2:$H$499,B66)</f>
        <v/>
      </c>
      <c r="E66" s="10">
        <f>COUNTIFS(Cases!$H$2:$H$499,$B66,Cases!$N$2:$N$499,"Fake Fail")</f>
        <v/>
      </c>
      <c r="F66" s="10">
        <f>COUNTIFS(Cases!$H$2:$H$499,$B66,Cases!$N$2:$N$499,"Fake Success")</f>
        <v/>
      </c>
      <c r="G66" s="10">
        <f>COUNTIFS(Cases!$H$2:$H$499,$B66,Cases!$N$2:$N$499,"Deliver to Wrong Address")</f>
        <v/>
      </c>
      <c r="H66" s="10">
        <f>COUNTIFS(Cases!$H$2:$H$499,$B66,Cases!$N$2:$N$499,"Pull Out Route (POR)")</f>
        <v/>
      </c>
      <c r="I66" s="10">
        <f>COUNTIFS(Cases!$H$2:$H$499,$B66,Cases!$N$2:$N$499,"Failed pick-up")</f>
        <v/>
      </c>
      <c r="J66" s="10">
        <f>D66-SUM(E66:I66)</f>
        <v/>
      </c>
      <c r="K66" s="11">
        <f>IF(D66=0,0,E66/D66)</f>
        <v/>
      </c>
      <c r="L66" s="10">
        <f>COUNTIFS(Cases!$H$2:$H$499,$B66,Cases!$J$2:$J$499,"OPS (generic hub account)")</f>
        <v/>
      </c>
      <c r="M66" s="11">
        <f>IF(D66=0,0,L66/D66)</f>
        <v/>
      </c>
      <c r="N66" s="10" t="n">
        <v>2</v>
      </c>
      <c r="O66" s="11">
        <f>D66/COUNTA(Cases!$B$2:$B$499)</f>
        <v/>
      </c>
    </row>
    <row r="67">
      <c r="A67" s="10" t="n">
        <v>63</v>
      </c>
      <c r="B67" s="10" t="inlineStr">
        <is>
          <t>KEP</t>
        </is>
      </c>
      <c r="C67" s="10" t="inlineStr">
        <is>
          <t>KV</t>
        </is>
      </c>
      <c r="D67" s="10">
        <f>COUNTIF(Cases!$H$2:$H$499,B67)</f>
        <v/>
      </c>
      <c r="E67" s="10">
        <f>COUNTIFS(Cases!$H$2:$H$499,$B67,Cases!$N$2:$N$499,"Fake Fail")</f>
        <v/>
      </c>
      <c r="F67" s="10">
        <f>COUNTIFS(Cases!$H$2:$H$499,$B67,Cases!$N$2:$N$499,"Fake Success")</f>
        <v/>
      </c>
      <c r="G67" s="10">
        <f>COUNTIFS(Cases!$H$2:$H$499,$B67,Cases!$N$2:$N$499,"Deliver to Wrong Address")</f>
        <v/>
      </c>
      <c r="H67" s="10">
        <f>COUNTIFS(Cases!$H$2:$H$499,$B67,Cases!$N$2:$N$499,"Pull Out Route (POR)")</f>
        <v/>
      </c>
      <c r="I67" s="10">
        <f>COUNTIFS(Cases!$H$2:$H$499,$B67,Cases!$N$2:$N$499,"Failed pick-up")</f>
        <v/>
      </c>
      <c r="J67" s="10">
        <f>D67-SUM(E67:I67)</f>
        <v/>
      </c>
      <c r="K67" s="11">
        <f>IF(D67=0,0,E67/D67)</f>
        <v/>
      </c>
      <c r="L67" s="10">
        <f>COUNTIFS(Cases!$H$2:$H$499,$B67,Cases!$J$2:$J$499,"OPS (generic hub account)")</f>
        <v/>
      </c>
      <c r="M67" s="11">
        <f>IF(D67=0,0,L67/D67)</f>
        <v/>
      </c>
      <c r="N67" s="10" t="n">
        <v>2</v>
      </c>
      <c r="O67" s="11">
        <f>D67/COUNTA(Cases!$B$2:$B$499)</f>
        <v/>
      </c>
    </row>
    <row r="68">
      <c r="A68" s="10" t="n">
        <v>64</v>
      </c>
      <c r="B68" s="10" t="inlineStr">
        <is>
          <t>KAJ</t>
        </is>
      </c>
      <c r="C68" s="10" t="inlineStr">
        <is>
          <t>KV</t>
        </is>
      </c>
      <c r="D68" s="10">
        <f>COUNTIF(Cases!$H$2:$H$499,B68)</f>
        <v/>
      </c>
      <c r="E68" s="10">
        <f>COUNTIFS(Cases!$H$2:$H$499,$B68,Cases!$N$2:$N$499,"Fake Fail")</f>
        <v/>
      </c>
      <c r="F68" s="10">
        <f>COUNTIFS(Cases!$H$2:$H$499,$B68,Cases!$N$2:$N$499,"Fake Success")</f>
        <v/>
      </c>
      <c r="G68" s="10">
        <f>COUNTIFS(Cases!$H$2:$H$499,$B68,Cases!$N$2:$N$499,"Deliver to Wrong Address")</f>
        <v/>
      </c>
      <c r="H68" s="10">
        <f>COUNTIFS(Cases!$H$2:$H$499,$B68,Cases!$N$2:$N$499,"Pull Out Route (POR)")</f>
        <v/>
      </c>
      <c r="I68" s="10">
        <f>COUNTIFS(Cases!$H$2:$H$499,$B68,Cases!$N$2:$N$499,"Failed pick-up")</f>
        <v/>
      </c>
      <c r="J68" s="10">
        <f>D68-SUM(E68:I68)</f>
        <v/>
      </c>
      <c r="K68" s="11">
        <f>IF(D68=0,0,E68/D68)</f>
        <v/>
      </c>
      <c r="L68" s="10">
        <f>COUNTIFS(Cases!$H$2:$H$499,$B68,Cases!$J$2:$J$499,"OPS (generic hub account)")</f>
        <v/>
      </c>
      <c r="M68" s="11">
        <f>IF(D68=0,0,L68/D68)</f>
        <v/>
      </c>
      <c r="N68" s="10" t="n">
        <v>2</v>
      </c>
      <c r="O68" s="11">
        <f>D68/COUNTA(Cases!$B$2:$B$499)</f>
        <v/>
      </c>
    </row>
    <row r="69">
      <c r="A69" s="10" t="n">
        <v>65</v>
      </c>
      <c r="B69" s="10" t="inlineStr">
        <is>
          <t>MTG</t>
        </is>
      </c>
      <c r="C69" s="10" t="inlineStr">
        <is>
          <t>South West</t>
        </is>
      </c>
      <c r="D69" s="10">
        <f>COUNTIF(Cases!$H$2:$H$499,B69)</f>
        <v/>
      </c>
      <c r="E69" s="10">
        <f>COUNTIFS(Cases!$H$2:$H$499,$B69,Cases!$N$2:$N$499,"Fake Fail")</f>
        <v/>
      </c>
      <c r="F69" s="10">
        <f>COUNTIFS(Cases!$H$2:$H$499,$B69,Cases!$N$2:$N$499,"Fake Success")</f>
        <v/>
      </c>
      <c r="G69" s="10">
        <f>COUNTIFS(Cases!$H$2:$H$499,$B69,Cases!$N$2:$N$499,"Deliver to Wrong Address")</f>
        <v/>
      </c>
      <c r="H69" s="10">
        <f>COUNTIFS(Cases!$H$2:$H$499,$B69,Cases!$N$2:$N$499,"Pull Out Route (POR)")</f>
        <v/>
      </c>
      <c r="I69" s="10">
        <f>COUNTIFS(Cases!$H$2:$H$499,$B69,Cases!$N$2:$N$499,"Failed pick-up")</f>
        <v/>
      </c>
      <c r="J69" s="10">
        <f>D69-SUM(E69:I69)</f>
        <v/>
      </c>
      <c r="K69" s="11">
        <f>IF(D69=0,0,E69/D69)</f>
        <v/>
      </c>
      <c r="L69" s="10">
        <f>COUNTIFS(Cases!$H$2:$H$499,$B69,Cases!$J$2:$J$499,"OPS (generic hub account)")</f>
        <v/>
      </c>
      <c r="M69" s="11">
        <f>IF(D69=0,0,L69/D69)</f>
        <v/>
      </c>
      <c r="N69" s="10" t="n">
        <v>2</v>
      </c>
      <c r="O69" s="11">
        <f>D69/COUNTA(Cases!$B$2:$B$499)</f>
        <v/>
      </c>
    </row>
    <row r="70">
      <c r="A70" s="10" t="n">
        <v>66</v>
      </c>
      <c r="B70" s="10" t="inlineStr">
        <is>
          <t>BGI</t>
        </is>
      </c>
      <c r="C70" s="10" t="inlineStr">
        <is>
          <t>KV</t>
        </is>
      </c>
      <c r="D70" s="10">
        <f>COUNTIF(Cases!$H$2:$H$499,B70)</f>
        <v/>
      </c>
      <c r="E70" s="10">
        <f>COUNTIFS(Cases!$H$2:$H$499,$B70,Cases!$N$2:$N$499,"Fake Fail")</f>
        <v/>
      </c>
      <c r="F70" s="10">
        <f>COUNTIFS(Cases!$H$2:$H$499,$B70,Cases!$N$2:$N$499,"Fake Success")</f>
        <v/>
      </c>
      <c r="G70" s="10">
        <f>COUNTIFS(Cases!$H$2:$H$499,$B70,Cases!$N$2:$N$499,"Deliver to Wrong Address")</f>
        <v/>
      </c>
      <c r="H70" s="10">
        <f>COUNTIFS(Cases!$H$2:$H$499,$B70,Cases!$N$2:$N$499,"Pull Out Route (POR)")</f>
        <v/>
      </c>
      <c r="I70" s="10">
        <f>COUNTIFS(Cases!$H$2:$H$499,$B70,Cases!$N$2:$N$499,"Failed pick-up")</f>
        <v/>
      </c>
      <c r="J70" s="10">
        <f>D70-SUM(E70:I70)</f>
        <v/>
      </c>
      <c r="K70" s="11">
        <f>IF(D70=0,0,E70/D70)</f>
        <v/>
      </c>
      <c r="L70" s="10">
        <f>COUNTIFS(Cases!$H$2:$H$499,$B70,Cases!$J$2:$J$499,"OPS (generic hub account)")</f>
        <v/>
      </c>
      <c r="M70" s="11">
        <f>IF(D70=0,0,L70/D70)</f>
        <v/>
      </c>
      <c r="N70" s="10" t="n">
        <v>2</v>
      </c>
      <c r="O70" s="11">
        <f>D70/COUNTA(Cases!$B$2:$B$499)</f>
        <v/>
      </c>
    </row>
    <row r="71">
      <c r="A71" s="10" t="n">
        <v>67</v>
      </c>
      <c r="B71" s="10" t="inlineStr">
        <is>
          <t>BKM</t>
        </is>
      </c>
      <c r="C71" s="10" t="inlineStr">
        <is>
          <t>Northern</t>
        </is>
      </c>
      <c r="D71" s="10">
        <f>COUNTIF(Cases!$H$2:$H$499,B71)</f>
        <v/>
      </c>
      <c r="E71" s="10">
        <f>COUNTIFS(Cases!$H$2:$H$499,$B71,Cases!$N$2:$N$499,"Fake Fail")</f>
        <v/>
      </c>
      <c r="F71" s="10">
        <f>COUNTIFS(Cases!$H$2:$H$499,$B71,Cases!$N$2:$N$499,"Fake Success")</f>
        <v/>
      </c>
      <c r="G71" s="10">
        <f>COUNTIFS(Cases!$H$2:$H$499,$B71,Cases!$N$2:$N$499,"Deliver to Wrong Address")</f>
        <v/>
      </c>
      <c r="H71" s="10">
        <f>COUNTIFS(Cases!$H$2:$H$499,$B71,Cases!$N$2:$N$499,"Pull Out Route (POR)")</f>
        <v/>
      </c>
      <c r="I71" s="10">
        <f>COUNTIFS(Cases!$H$2:$H$499,$B71,Cases!$N$2:$N$499,"Failed pick-up")</f>
        <v/>
      </c>
      <c r="J71" s="10">
        <f>D71-SUM(E71:I71)</f>
        <v/>
      </c>
      <c r="K71" s="11">
        <f>IF(D71=0,0,E71/D71)</f>
        <v/>
      </c>
      <c r="L71" s="10">
        <f>COUNTIFS(Cases!$H$2:$H$499,$B71,Cases!$J$2:$J$499,"OPS (generic hub account)")</f>
        <v/>
      </c>
      <c r="M71" s="11">
        <f>IF(D71=0,0,L71/D71)</f>
        <v/>
      </c>
      <c r="N71" s="10" t="n">
        <v>1</v>
      </c>
      <c r="O71" s="11">
        <f>D71/COUNTA(Cases!$B$2:$B$499)</f>
        <v/>
      </c>
    </row>
    <row r="72">
      <c r="A72" s="10" t="n">
        <v>68</v>
      </c>
      <c r="B72" s="10" t="inlineStr">
        <is>
          <t>FLM</t>
        </is>
      </c>
      <c r="C72" s="10" t="inlineStr">
        <is>
          <t>Northern</t>
        </is>
      </c>
      <c r="D72" s="10">
        <f>COUNTIF(Cases!$H$2:$H$499,B72)</f>
        <v/>
      </c>
      <c r="E72" s="10">
        <f>COUNTIFS(Cases!$H$2:$H$499,$B72,Cases!$N$2:$N$499,"Fake Fail")</f>
        <v/>
      </c>
      <c r="F72" s="10">
        <f>COUNTIFS(Cases!$H$2:$H$499,$B72,Cases!$N$2:$N$499,"Fake Success")</f>
        <v/>
      </c>
      <c r="G72" s="10">
        <f>COUNTIFS(Cases!$H$2:$H$499,$B72,Cases!$N$2:$N$499,"Deliver to Wrong Address")</f>
        <v/>
      </c>
      <c r="H72" s="10">
        <f>COUNTIFS(Cases!$H$2:$H$499,$B72,Cases!$N$2:$N$499,"Pull Out Route (POR)")</f>
        <v/>
      </c>
      <c r="I72" s="10">
        <f>COUNTIFS(Cases!$H$2:$H$499,$B72,Cases!$N$2:$N$499,"Failed pick-up")</f>
        <v/>
      </c>
      <c r="J72" s="10">
        <f>D72-SUM(E72:I72)</f>
        <v/>
      </c>
      <c r="K72" s="11">
        <f>IF(D72=0,0,E72/D72)</f>
        <v/>
      </c>
      <c r="L72" s="10">
        <f>COUNTIFS(Cases!$H$2:$H$499,$B72,Cases!$J$2:$J$499,"OPS (generic hub account)")</f>
        <v/>
      </c>
      <c r="M72" s="11">
        <f>IF(D72=0,0,L72/D72)</f>
        <v/>
      </c>
      <c r="N72" s="10" t="n">
        <v>2</v>
      </c>
      <c r="O72" s="11">
        <f>D72/COUNTA(Cases!$B$2:$B$499)</f>
        <v/>
      </c>
    </row>
    <row r="73">
      <c r="A73" s="10" t="n">
        <v>69</v>
      </c>
      <c r="B73" s="10" t="inlineStr">
        <is>
          <t>BCK</t>
        </is>
      </c>
      <c r="C73" s="10" t="inlineStr">
        <is>
          <t>North East</t>
        </is>
      </c>
      <c r="D73" s="10">
        <f>COUNTIF(Cases!$H$2:$H$499,B73)</f>
        <v/>
      </c>
      <c r="E73" s="10">
        <f>COUNTIFS(Cases!$H$2:$H$499,$B73,Cases!$N$2:$N$499,"Fake Fail")</f>
        <v/>
      </c>
      <c r="F73" s="10">
        <f>COUNTIFS(Cases!$H$2:$H$499,$B73,Cases!$N$2:$N$499,"Fake Success")</f>
        <v/>
      </c>
      <c r="G73" s="10">
        <f>COUNTIFS(Cases!$H$2:$H$499,$B73,Cases!$N$2:$N$499,"Deliver to Wrong Address")</f>
        <v/>
      </c>
      <c r="H73" s="10">
        <f>COUNTIFS(Cases!$H$2:$H$499,$B73,Cases!$N$2:$N$499,"Pull Out Route (POR)")</f>
        <v/>
      </c>
      <c r="I73" s="10">
        <f>COUNTIFS(Cases!$H$2:$H$499,$B73,Cases!$N$2:$N$499,"Failed pick-up")</f>
        <v/>
      </c>
      <c r="J73" s="10">
        <f>D73-SUM(E73:I73)</f>
        <v/>
      </c>
      <c r="K73" s="11">
        <f>IF(D73=0,0,E73/D73)</f>
        <v/>
      </c>
      <c r="L73" s="10">
        <f>COUNTIFS(Cases!$H$2:$H$499,$B73,Cases!$J$2:$J$499,"OPS (generic hub account)")</f>
        <v/>
      </c>
      <c r="M73" s="11">
        <f>IF(D73=0,0,L73/D73)</f>
        <v/>
      </c>
      <c r="N73" s="10" t="n">
        <v>2</v>
      </c>
      <c r="O73" s="11">
        <f>D73/COUNTA(Cases!$B$2:$B$499)</f>
        <v/>
      </c>
    </row>
    <row r="74">
      <c r="A74" s="10" t="n">
        <v>70</v>
      </c>
      <c r="B74" s="10" t="inlineStr">
        <is>
          <t>BGR</t>
        </is>
      </c>
      <c r="C74" s="10" t="inlineStr">
        <is>
          <t>KV</t>
        </is>
      </c>
      <c r="D74" s="10">
        <f>COUNTIF(Cases!$H$2:$H$499,B74)</f>
        <v/>
      </c>
      <c r="E74" s="10">
        <f>COUNTIFS(Cases!$H$2:$H$499,$B74,Cases!$N$2:$N$499,"Fake Fail")</f>
        <v/>
      </c>
      <c r="F74" s="10">
        <f>COUNTIFS(Cases!$H$2:$H$499,$B74,Cases!$N$2:$N$499,"Fake Success")</f>
        <v/>
      </c>
      <c r="G74" s="10">
        <f>COUNTIFS(Cases!$H$2:$H$499,$B74,Cases!$N$2:$N$499,"Deliver to Wrong Address")</f>
        <v/>
      </c>
      <c r="H74" s="10">
        <f>COUNTIFS(Cases!$H$2:$H$499,$B74,Cases!$N$2:$N$499,"Pull Out Route (POR)")</f>
        <v/>
      </c>
      <c r="I74" s="10">
        <f>COUNTIFS(Cases!$H$2:$H$499,$B74,Cases!$N$2:$N$499,"Failed pick-up")</f>
        <v/>
      </c>
      <c r="J74" s="10">
        <f>D74-SUM(E74:I74)</f>
        <v/>
      </c>
      <c r="K74" s="11">
        <f>IF(D74=0,0,E74/D74)</f>
        <v/>
      </c>
      <c r="L74" s="10">
        <f>COUNTIFS(Cases!$H$2:$H$499,$B74,Cases!$J$2:$J$499,"OPS (generic hub account)")</f>
        <v/>
      </c>
      <c r="M74" s="11">
        <f>IF(D74=0,0,L74/D74)</f>
        <v/>
      </c>
      <c r="N74" s="10" t="n">
        <v>2</v>
      </c>
      <c r="O74" s="11">
        <f>D74/COUNTA(Cases!$B$2:$B$499)</f>
        <v/>
      </c>
    </row>
    <row r="75">
      <c r="A75" s="10" t="n">
        <v>71</v>
      </c>
      <c r="B75" s="10" t="inlineStr">
        <is>
          <t>AMP</t>
        </is>
      </c>
      <c r="C75" s="10" t="inlineStr">
        <is>
          <t>KV</t>
        </is>
      </c>
      <c r="D75" s="10">
        <f>COUNTIF(Cases!$H$2:$H$499,B75)</f>
        <v/>
      </c>
      <c r="E75" s="10">
        <f>COUNTIFS(Cases!$H$2:$H$499,$B75,Cases!$N$2:$N$499,"Fake Fail")</f>
        <v/>
      </c>
      <c r="F75" s="10">
        <f>COUNTIFS(Cases!$H$2:$H$499,$B75,Cases!$N$2:$N$499,"Fake Success")</f>
        <v/>
      </c>
      <c r="G75" s="10">
        <f>COUNTIFS(Cases!$H$2:$H$499,$B75,Cases!$N$2:$N$499,"Deliver to Wrong Address")</f>
        <v/>
      </c>
      <c r="H75" s="10">
        <f>COUNTIFS(Cases!$H$2:$H$499,$B75,Cases!$N$2:$N$499,"Pull Out Route (POR)")</f>
        <v/>
      </c>
      <c r="I75" s="10">
        <f>COUNTIFS(Cases!$H$2:$H$499,$B75,Cases!$N$2:$N$499,"Failed pick-up")</f>
        <v/>
      </c>
      <c r="J75" s="10">
        <f>D75-SUM(E75:I75)</f>
        <v/>
      </c>
      <c r="K75" s="11">
        <f>IF(D75=0,0,E75/D75)</f>
        <v/>
      </c>
      <c r="L75" s="10">
        <f>COUNTIFS(Cases!$H$2:$H$499,$B75,Cases!$J$2:$J$499,"OPS (generic hub account)")</f>
        <v/>
      </c>
      <c r="M75" s="11">
        <f>IF(D75=0,0,L75/D75)</f>
        <v/>
      </c>
      <c r="N75" s="10" t="n">
        <v>1</v>
      </c>
      <c r="O75" s="11">
        <f>D75/COUNTA(Cases!$B$2:$B$499)</f>
        <v/>
      </c>
    </row>
    <row r="76">
      <c r="A76" s="10" t="n">
        <v>72</v>
      </c>
      <c r="B76" s="10" t="inlineStr">
        <is>
          <t>JHB</t>
        </is>
      </c>
      <c r="C76" s="10" t="inlineStr">
        <is>
          <t>Southern</t>
        </is>
      </c>
      <c r="D76" s="10">
        <f>COUNTIF(Cases!$H$2:$H$499,B76)</f>
        <v/>
      </c>
      <c r="E76" s="10">
        <f>COUNTIFS(Cases!$H$2:$H$499,$B76,Cases!$N$2:$N$499,"Fake Fail")</f>
        <v/>
      </c>
      <c r="F76" s="10">
        <f>COUNTIFS(Cases!$H$2:$H$499,$B76,Cases!$N$2:$N$499,"Fake Success")</f>
        <v/>
      </c>
      <c r="G76" s="10">
        <f>COUNTIFS(Cases!$H$2:$H$499,$B76,Cases!$N$2:$N$499,"Deliver to Wrong Address")</f>
        <v/>
      </c>
      <c r="H76" s="10">
        <f>COUNTIFS(Cases!$H$2:$H$499,$B76,Cases!$N$2:$N$499,"Pull Out Route (POR)")</f>
        <v/>
      </c>
      <c r="I76" s="10">
        <f>COUNTIFS(Cases!$H$2:$H$499,$B76,Cases!$N$2:$N$499,"Failed pick-up")</f>
        <v/>
      </c>
      <c r="J76" s="10">
        <f>D76-SUM(E76:I76)</f>
        <v/>
      </c>
      <c r="K76" s="11">
        <f>IF(D76=0,0,E76/D76)</f>
        <v/>
      </c>
      <c r="L76" s="10">
        <f>COUNTIFS(Cases!$H$2:$H$499,$B76,Cases!$J$2:$J$499,"OPS (generic hub account)")</f>
        <v/>
      </c>
      <c r="M76" s="11">
        <f>IF(D76=0,0,L76/D76)</f>
        <v/>
      </c>
      <c r="N76" s="10" t="n">
        <v>1</v>
      </c>
      <c r="O76" s="11">
        <f>D76/COUNTA(Cases!$B$2:$B$499)</f>
        <v/>
      </c>
    </row>
    <row r="77">
      <c r="A77" s="10" t="n">
        <v>73</v>
      </c>
      <c r="B77" s="10" t="inlineStr">
        <is>
          <t>IPH</t>
        </is>
      </c>
      <c r="C77" s="10" t="inlineStr">
        <is>
          <t>North West</t>
        </is>
      </c>
      <c r="D77" s="10">
        <f>COUNTIF(Cases!$H$2:$H$499,B77)</f>
        <v/>
      </c>
      <c r="E77" s="10">
        <f>COUNTIFS(Cases!$H$2:$H$499,$B77,Cases!$N$2:$N$499,"Fake Fail")</f>
        <v/>
      </c>
      <c r="F77" s="10">
        <f>COUNTIFS(Cases!$H$2:$H$499,$B77,Cases!$N$2:$N$499,"Fake Success")</f>
        <v/>
      </c>
      <c r="G77" s="10">
        <f>COUNTIFS(Cases!$H$2:$H$499,$B77,Cases!$N$2:$N$499,"Deliver to Wrong Address")</f>
        <v/>
      </c>
      <c r="H77" s="10">
        <f>COUNTIFS(Cases!$H$2:$H$499,$B77,Cases!$N$2:$N$499,"Pull Out Route (POR)")</f>
        <v/>
      </c>
      <c r="I77" s="10">
        <f>COUNTIFS(Cases!$H$2:$H$499,$B77,Cases!$N$2:$N$499,"Failed pick-up")</f>
        <v/>
      </c>
      <c r="J77" s="10">
        <f>D77-SUM(E77:I77)</f>
        <v/>
      </c>
      <c r="K77" s="11">
        <f>IF(D77=0,0,E77/D77)</f>
        <v/>
      </c>
      <c r="L77" s="10">
        <f>COUNTIFS(Cases!$H$2:$H$499,$B77,Cases!$J$2:$J$499,"OPS (generic hub account)")</f>
        <v/>
      </c>
      <c r="M77" s="11">
        <f>IF(D77=0,0,L77/D77)</f>
        <v/>
      </c>
      <c r="N77" s="10" t="n">
        <v>1</v>
      </c>
      <c r="O77" s="11">
        <f>D77/COUNTA(Cases!$B$2:$B$499)</f>
        <v/>
      </c>
    </row>
    <row r="78">
      <c r="A78" s="10" t="n">
        <v>74</v>
      </c>
      <c r="B78" s="10" t="inlineStr">
        <is>
          <t>INM</t>
        </is>
      </c>
      <c r="C78" s="10" t="inlineStr">
        <is>
          <t>East MY</t>
        </is>
      </c>
      <c r="D78" s="10">
        <f>COUNTIF(Cases!$H$2:$H$499,B78)</f>
        <v/>
      </c>
      <c r="E78" s="10">
        <f>COUNTIFS(Cases!$H$2:$H$499,$B78,Cases!$N$2:$N$499,"Fake Fail")</f>
        <v/>
      </c>
      <c r="F78" s="10">
        <f>COUNTIFS(Cases!$H$2:$H$499,$B78,Cases!$N$2:$N$499,"Fake Success")</f>
        <v/>
      </c>
      <c r="G78" s="10">
        <f>COUNTIFS(Cases!$H$2:$H$499,$B78,Cases!$N$2:$N$499,"Deliver to Wrong Address")</f>
        <v/>
      </c>
      <c r="H78" s="10">
        <f>COUNTIFS(Cases!$H$2:$H$499,$B78,Cases!$N$2:$N$499,"Pull Out Route (POR)")</f>
        <v/>
      </c>
      <c r="I78" s="10">
        <f>COUNTIFS(Cases!$H$2:$H$499,$B78,Cases!$N$2:$N$499,"Failed pick-up")</f>
        <v/>
      </c>
      <c r="J78" s="10">
        <f>D78-SUM(E78:I78)</f>
        <v/>
      </c>
      <c r="K78" s="11">
        <f>IF(D78=0,0,E78/D78)</f>
        <v/>
      </c>
      <c r="L78" s="10">
        <f>COUNTIFS(Cases!$H$2:$H$499,$B78,Cases!$J$2:$J$499,"OPS (generic hub account)")</f>
        <v/>
      </c>
      <c r="M78" s="11">
        <f>IF(D78=0,0,L78/D78)</f>
        <v/>
      </c>
      <c r="N78" s="10" t="n">
        <v>1</v>
      </c>
      <c r="O78" s="11">
        <f>D78/COUNTA(Cases!$B$2:$B$499)</f>
        <v/>
      </c>
    </row>
    <row r="79">
      <c r="A79" s="10" t="n">
        <v>75</v>
      </c>
      <c r="B79" s="10" t="inlineStr">
        <is>
          <t>GUA</t>
        </is>
      </c>
      <c r="C79" s="10" t="inlineStr">
        <is>
          <t>North East</t>
        </is>
      </c>
      <c r="D79" s="10">
        <f>COUNTIF(Cases!$H$2:$H$499,B79)</f>
        <v/>
      </c>
      <c r="E79" s="10">
        <f>COUNTIFS(Cases!$H$2:$H$499,$B79,Cases!$N$2:$N$499,"Fake Fail")</f>
        <v/>
      </c>
      <c r="F79" s="10">
        <f>COUNTIFS(Cases!$H$2:$H$499,$B79,Cases!$N$2:$N$499,"Fake Success")</f>
        <v/>
      </c>
      <c r="G79" s="10">
        <f>COUNTIFS(Cases!$H$2:$H$499,$B79,Cases!$N$2:$N$499,"Deliver to Wrong Address")</f>
        <v/>
      </c>
      <c r="H79" s="10">
        <f>COUNTIFS(Cases!$H$2:$H$499,$B79,Cases!$N$2:$N$499,"Pull Out Route (POR)")</f>
        <v/>
      </c>
      <c r="I79" s="10">
        <f>COUNTIFS(Cases!$H$2:$H$499,$B79,Cases!$N$2:$N$499,"Failed pick-up")</f>
        <v/>
      </c>
      <c r="J79" s="10">
        <f>D79-SUM(E79:I79)</f>
        <v/>
      </c>
      <c r="K79" s="11">
        <f>IF(D79=0,0,E79/D79)</f>
        <v/>
      </c>
      <c r="L79" s="10">
        <f>COUNTIFS(Cases!$H$2:$H$499,$B79,Cases!$J$2:$J$499,"OPS (generic hub account)")</f>
        <v/>
      </c>
      <c r="M79" s="11">
        <f>IF(D79=0,0,L79/D79)</f>
        <v/>
      </c>
      <c r="N79" s="10" t="n">
        <v>1</v>
      </c>
      <c r="O79" s="11">
        <f>D79/COUNTA(Cases!$B$2:$B$499)</f>
        <v/>
      </c>
    </row>
    <row r="80">
      <c r="A80" s="10" t="n">
        <v>76</v>
      </c>
      <c r="B80" s="10" t="inlineStr">
        <is>
          <t>GRN</t>
        </is>
      </c>
      <c r="C80" s="10" t="inlineStr">
        <is>
          <t>Northern</t>
        </is>
      </c>
      <c r="D80" s="10">
        <f>COUNTIF(Cases!$H$2:$H$499,B80)</f>
        <v/>
      </c>
      <c r="E80" s="10">
        <f>COUNTIFS(Cases!$H$2:$H$499,$B80,Cases!$N$2:$N$499,"Fake Fail")</f>
        <v/>
      </c>
      <c r="F80" s="10">
        <f>COUNTIFS(Cases!$H$2:$H$499,$B80,Cases!$N$2:$N$499,"Fake Success")</f>
        <v/>
      </c>
      <c r="G80" s="10">
        <f>COUNTIFS(Cases!$H$2:$H$499,$B80,Cases!$N$2:$N$499,"Deliver to Wrong Address")</f>
        <v/>
      </c>
      <c r="H80" s="10">
        <f>COUNTIFS(Cases!$H$2:$H$499,$B80,Cases!$N$2:$N$499,"Pull Out Route (POR)")</f>
        <v/>
      </c>
      <c r="I80" s="10">
        <f>COUNTIFS(Cases!$H$2:$H$499,$B80,Cases!$N$2:$N$499,"Failed pick-up")</f>
        <v/>
      </c>
      <c r="J80" s="10">
        <f>D80-SUM(E80:I80)</f>
        <v/>
      </c>
      <c r="K80" s="11">
        <f>IF(D80=0,0,E80/D80)</f>
        <v/>
      </c>
      <c r="L80" s="10">
        <f>COUNTIFS(Cases!$H$2:$H$499,$B80,Cases!$J$2:$J$499,"OPS (generic hub account)")</f>
        <v/>
      </c>
      <c r="M80" s="11">
        <f>IF(D80=0,0,L80/D80)</f>
        <v/>
      </c>
      <c r="N80" s="10" t="n">
        <v>1</v>
      </c>
      <c r="O80" s="11">
        <f>D80/COUNTA(Cases!$B$2:$B$499)</f>
        <v/>
      </c>
    </row>
    <row r="81">
      <c r="A81" s="10" t="n">
        <v>77</v>
      </c>
      <c r="B81" s="10" t="inlineStr">
        <is>
          <t>CHU</t>
        </is>
      </c>
      <c r="C81" s="10" t="inlineStr">
        <is>
          <t>North East</t>
        </is>
      </c>
      <c r="D81" s="10">
        <f>COUNTIF(Cases!$H$2:$H$499,B81)</f>
        <v/>
      </c>
      <c r="E81" s="10">
        <f>COUNTIFS(Cases!$H$2:$H$499,$B81,Cases!$N$2:$N$499,"Fake Fail")</f>
        <v/>
      </c>
      <c r="F81" s="10">
        <f>COUNTIFS(Cases!$H$2:$H$499,$B81,Cases!$N$2:$N$499,"Fake Success")</f>
        <v/>
      </c>
      <c r="G81" s="10">
        <f>COUNTIFS(Cases!$H$2:$H$499,$B81,Cases!$N$2:$N$499,"Deliver to Wrong Address")</f>
        <v/>
      </c>
      <c r="H81" s="10">
        <f>COUNTIFS(Cases!$H$2:$H$499,$B81,Cases!$N$2:$N$499,"Pull Out Route (POR)")</f>
        <v/>
      </c>
      <c r="I81" s="10">
        <f>COUNTIFS(Cases!$H$2:$H$499,$B81,Cases!$N$2:$N$499,"Failed pick-up")</f>
        <v/>
      </c>
      <c r="J81" s="10">
        <f>D81-SUM(E81:I81)</f>
        <v/>
      </c>
      <c r="K81" s="11">
        <f>IF(D81=0,0,E81/D81)</f>
        <v/>
      </c>
      <c r="L81" s="10">
        <f>COUNTIFS(Cases!$H$2:$H$499,$B81,Cases!$J$2:$J$499,"OPS (generic hub account)")</f>
        <v/>
      </c>
      <c r="M81" s="11">
        <f>IF(D81=0,0,L81/D81)</f>
        <v/>
      </c>
      <c r="N81" s="10" t="n">
        <v>1</v>
      </c>
      <c r="O81" s="11">
        <f>D81/COUNTA(Cases!$B$2:$B$499)</f>
        <v/>
      </c>
    </row>
    <row r="82">
      <c r="A82" s="10" t="n">
        <v>78</v>
      </c>
      <c r="B82" s="10" t="inlineStr">
        <is>
          <t>CC-JHB</t>
        </is>
      </c>
      <c r="C82" s="10" t="inlineStr">
        <is>
          <t>Southern</t>
        </is>
      </c>
      <c r="D82" s="10">
        <f>COUNTIF(Cases!$H$2:$H$499,B82)</f>
        <v/>
      </c>
      <c r="E82" s="10">
        <f>COUNTIFS(Cases!$H$2:$H$499,$B82,Cases!$N$2:$N$499,"Fake Fail")</f>
        <v/>
      </c>
      <c r="F82" s="10">
        <f>COUNTIFS(Cases!$H$2:$H$499,$B82,Cases!$N$2:$N$499,"Fake Success")</f>
        <v/>
      </c>
      <c r="G82" s="10">
        <f>COUNTIFS(Cases!$H$2:$H$499,$B82,Cases!$N$2:$N$499,"Deliver to Wrong Address")</f>
        <v/>
      </c>
      <c r="H82" s="10">
        <f>COUNTIFS(Cases!$H$2:$H$499,$B82,Cases!$N$2:$N$499,"Pull Out Route (POR)")</f>
        <v/>
      </c>
      <c r="I82" s="10">
        <f>COUNTIFS(Cases!$H$2:$H$499,$B82,Cases!$N$2:$N$499,"Failed pick-up")</f>
        <v/>
      </c>
      <c r="J82" s="10">
        <f>D82-SUM(E82:I82)</f>
        <v/>
      </c>
      <c r="K82" s="11">
        <f>IF(D82=0,0,E82/D82)</f>
        <v/>
      </c>
      <c r="L82" s="10">
        <f>COUNTIFS(Cases!$H$2:$H$499,$B82,Cases!$J$2:$J$499,"OPS (generic hub account)")</f>
        <v/>
      </c>
      <c r="M82" s="11">
        <f>IF(D82=0,0,L82/D82)</f>
        <v/>
      </c>
      <c r="N82" s="10" t="n">
        <v>1</v>
      </c>
      <c r="O82" s="11">
        <f>D82/COUNTA(Cases!$B$2:$B$499)</f>
        <v/>
      </c>
    </row>
    <row r="83">
      <c r="A83" s="10" t="n">
        <v>79</v>
      </c>
      <c r="B83" s="10" t="inlineStr">
        <is>
          <t>CHE</t>
        </is>
      </c>
      <c r="C83" s="10" t="inlineStr">
        <is>
          <t>KV</t>
        </is>
      </c>
      <c r="D83" s="10">
        <f>COUNTIF(Cases!$H$2:$H$499,B83)</f>
        <v/>
      </c>
      <c r="E83" s="10">
        <f>COUNTIFS(Cases!$H$2:$H$499,$B83,Cases!$N$2:$N$499,"Fake Fail")</f>
        <v/>
      </c>
      <c r="F83" s="10">
        <f>COUNTIFS(Cases!$H$2:$H$499,$B83,Cases!$N$2:$N$499,"Fake Success")</f>
        <v/>
      </c>
      <c r="G83" s="10">
        <f>COUNTIFS(Cases!$H$2:$H$499,$B83,Cases!$N$2:$N$499,"Deliver to Wrong Address")</f>
        <v/>
      </c>
      <c r="H83" s="10">
        <f>COUNTIFS(Cases!$H$2:$H$499,$B83,Cases!$N$2:$N$499,"Pull Out Route (POR)")</f>
        <v/>
      </c>
      <c r="I83" s="10">
        <f>COUNTIFS(Cases!$H$2:$H$499,$B83,Cases!$N$2:$N$499,"Failed pick-up")</f>
        <v/>
      </c>
      <c r="J83" s="10">
        <f>D83-SUM(E83:I83)</f>
        <v/>
      </c>
      <c r="K83" s="11">
        <f>IF(D83=0,0,E83/D83)</f>
        <v/>
      </c>
      <c r="L83" s="10">
        <f>COUNTIFS(Cases!$H$2:$H$499,$B83,Cases!$J$2:$J$499,"OPS (generic hub account)")</f>
        <v/>
      </c>
      <c r="M83" s="11">
        <f>IF(D83=0,0,L83/D83)</f>
        <v/>
      </c>
      <c r="N83" s="10" t="n">
        <v>1</v>
      </c>
      <c r="O83" s="11">
        <f>D83/COUNTA(Cases!$B$2:$B$499)</f>
        <v/>
      </c>
    </row>
    <row r="84">
      <c r="A84" s="10" t="n">
        <v>80</v>
      </c>
      <c r="B84" s="10" t="inlineStr">
        <is>
          <t>BTU</t>
        </is>
      </c>
      <c r="C84" s="10" t="inlineStr">
        <is>
          <t>East MY</t>
        </is>
      </c>
      <c r="D84" s="10">
        <f>COUNTIF(Cases!$H$2:$H$499,B84)</f>
        <v/>
      </c>
      <c r="E84" s="10">
        <f>COUNTIFS(Cases!$H$2:$H$499,$B84,Cases!$N$2:$N$499,"Fake Fail")</f>
        <v/>
      </c>
      <c r="F84" s="10">
        <f>COUNTIFS(Cases!$H$2:$H$499,$B84,Cases!$N$2:$N$499,"Fake Success")</f>
        <v/>
      </c>
      <c r="G84" s="10">
        <f>COUNTIFS(Cases!$H$2:$H$499,$B84,Cases!$N$2:$N$499,"Deliver to Wrong Address")</f>
        <v/>
      </c>
      <c r="H84" s="10">
        <f>COUNTIFS(Cases!$H$2:$H$499,$B84,Cases!$N$2:$N$499,"Pull Out Route (POR)")</f>
        <v/>
      </c>
      <c r="I84" s="10">
        <f>COUNTIFS(Cases!$H$2:$H$499,$B84,Cases!$N$2:$N$499,"Failed pick-up")</f>
        <v/>
      </c>
      <c r="J84" s="10">
        <f>D84-SUM(E84:I84)</f>
        <v/>
      </c>
      <c r="K84" s="11">
        <f>IF(D84=0,0,E84/D84)</f>
        <v/>
      </c>
      <c r="L84" s="10">
        <f>COUNTIFS(Cases!$H$2:$H$499,$B84,Cases!$J$2:$J$499,"OPS (generic hub account)")</f>
        <v/>
      </c>
      <c r="M84" s="11">
        <f>IF(D84=0,0,L84/D84)</f>
        <v/>
      </c>
      <c r="N84" s="10" t="n">
        <v>0</v>
      </c>
      <c r="O84" s="11">
        <f>D84/COUNTA(Cases!$B$2:$B$499)</f>
        <v/>
      </c>
    </row>
    <row r="85">
      <c r="A85" s="10" t="n">
        <v>81</v>
      </c>
      <c r="B85" s="10" t="inlineStr">
        <is>
          <t>BAN</t>
        </is>
      </c>
      <c r="C85" s="10" t="inlineStr">
        <is>
          <t>KV</t>
        </is>
      </c>
      <c r="D85" s="10">
        <f>COUNTIF(Cases!$H$2:$H$499,B85)</f>
        <v/>
      </c>
      <c r="E85" s="10">
        <f>COUNTIFS(Cases!$H$2:$H$499,$B85,Cases!$N$2:$N$499,"Fake Fail")</f>
        <v/>
      </c>
      <c r="F85" s="10">
        <f>COUNTIFS(Cases!$H$2:$H$499,$B85,Cases!$N$2:$N$499,"Fake Success")</f>
        <v/>
      </c>
      <c r="G85" s="10">
        <f>COUNTIFS(Cases!$H$2:$H$499,$B85,Cases!$N$2:$N$499,"Deliver to Wrong Address")</f>
        <v/>
      </c>
      <c r="H85" s="10">
        <f>COUNTIFS(Cases!$H$2:$H$499,$B85,Cases!$N$2:$N$499,"Pull Out Route (POR)")</f>
        <v/>
      </c>
      <c r="I85" s="10">
        <f>COUNTIFS(Cases!$H$2:$H$499,$B85,Cases!$N$2:$N$499,"Failed pick-up")</f>
        <v/>
      </c>
      <c r="J85" s="10">
        <f>D85-SUM(E85:I85)</f>
        <v/>
      </c>
      <c r="K85" s="11">
        <f>IF(D85=0,0,E85/D85)</f>
        <v/>
      </c>
      <c r="L85" s="10">
        <f>COUNTIFS(Cases!$H$2:$H$499,$B85,Cases!$J$2:$J$499,"OPS (generic hub account)")</f>
        <v/>
      </c>
      <c r="M85" s="11">
        <f>IF(D85=0,0,L85/D85)</f>
        <v/>
      </c>
      <c r="N85" s="10" t="n">
        <v>0</v>
      </c>
      <c r="O85" s="11">
        <f>D85/COUNTA(Cases!$B$2:$B$499)</f>
        <v/>
      </c>
    </row>
    <row r="86">
      <c r="A86" s="10" t="n">
        <v>82</v>
      </c>
      <c r="B86" s="10" t="inlineStr">
        <is>
          <t>LBN</t>
        </is>
      </c>
      <c r="C86" s="10" t="inlineStr">
        <is>
          <t>East MY</t>
        </is>
      </c>
      <c r="D86" s="10">
        <f>COUNTIF(Cases!$H$2:$H$499,B86)</f>
        <v/>
      </c>
      <c r="E86" s="10">
        <f>COUNTIFS(Cases!$H$2:$H$499,$B86,Cases!$N$2:$N$499,"Fake Fail")</f>
        <v/>
      </c>
      <c r="F86" s="10">
        <f>COUNTIFS(Cases!$H$2:$H$499,$B86,Cases!$N$2:$N$499,"Fake Success")</f>
        <v/>
      </c>
      <c r="G86" s="10">
        <f>COUNTIFS(Cases!$H$2:$H$499,$B86,Cases!$N$2:$N$499,"Deliver to Wrong Address")</f>
        <v/>
      </c>
      <c r="H86" s="10">
        <f>COUNTIFS(Cases!$H$2:$H$499,$B86,Cases!$N$2:$N$499,"Pull Out Route (POR)")</f>
        <v/>
      </c>
      <c r="I86" s="10">
        <f>COUNTIFS(Cases!$H$2:$H$499,$B86,Cases!$N$2:$N$499,"Failed pick-up")</f>
        <v/>
      </c>
      <c r="J86" s="10">
        <f>D86-SUM(E86:I86)</f>
        <v/>
      </c>
      <c r="K86" s="11">
        <f>IF(D86=0,0,E86/D86)</f>
        <v/>
      </c>
      <c r="L86" s="10">
        <f>COUNTIFS(Cases!$H$2:$H$499,$B86,Cases!$J$2:$J$499,"OPS (generic hub account)")</f>
        <v/>
      </c>
      <c r="M86" s="11">
        <f>IF(D86=0,0,L86/D86)</f>
        <v/>
      </c>
      <c r="N86" s="10" t="n">
        <v>1</v>
      </c>
      <c r="O86" s="11">
        <f>D86/COUNTA(Cases!$B$2:$B$499)</f>
        <v/>
      </c>
    </row>
    <row r="87">
      <c r="A87" s="10" t="n">
        <v>83</v>
      </c>
      <c r="B87" s="10" t="inlineStr">
        <is>
          <t>KBR</t>
        </is>
      </c>
      <c r="C87" s="10" t="inlineStr">
        <is>
          <t>North East</t>
        </is>
      </c>
      <c r="D87" s="10">
        <f>COUNTIF(Cases!$H$2:$H$499,B87)</f>
        <v/>
      </c>
      <c r="E87" s="10">
        <f>COUNTIFS(Cases!$H$2:$H$499,$B87,Cases!$N$2:$N$499,"Fake Fail")</f>
        <v/>
      </c>
      <c r="F87" s="10">
        <f>COUNTIFS(Cases!$H$2:$H$499,$B87,Cases!$N$2:$N$499,"Fake Success")</f>
        <v/>
      </c>
      <c r="G87" s="10">
        <f>COUNTIFS(Cases!$H$2:$H$499,$B87,Cases!$N$2:$N$499,"Deliver to Wrong Address")</f>
        <v/>
      </c>
      <c r="H87" s="10">
        <f>COUNTIFS(Cases!$H$2:$H$499,$B87,Cases!$N$2:$N$499,"Pull Out Route (POR)")</f>
        <v/>
      </c>
      <c r="I87" s="10">
        <f>COUNTIFS(Cases!$H$2:$H$499,$B87,Cases!$N$2:$N$499,"Failed pick-up")</f>
        <v/>
      </c>
      <c r="J87" s="10">
        <f>D87-SUM(E87:I87)</f>
        <v/>
      </c>
      <c r="K87" s="11">
        <f>IF(D87=0,0,E87/D87)</f>
        <v/>
      </c>
      <c r="L87" s="10">
        <f>COUNTIFS(Cases!$H$2:$H$499,$B87,Cases!$J$2:$J$499,"OPS (generic hub account)")</f>
        <v/>
      </c>
      <c r="M87" s="11">
        <f>IF(D87=0,0,L87/D87)</f>
        <v/>
      </c>
      <c r="N87" s="10" t="n">
        <v>1</v>
      </c>
      <c r="O87" s="11">
        <f>D87/COUNTA(Cases!$B$2:$B$499)</f>
        <v/>
      </c>
    </row>
    <row r="88">
      <c r="A88" s="10" t="n">
        <v>84</v>
      </c>
      <c r="B88" s="10" t="inlineStr">
        <is>
          <t>MLT</t>
        </is>
      </c>
      <c r="C88" s="10" t="inlineStr">
        <is>
          <t>KV</t>
        </is>
      </c>
      <c r="D88" s="10">
        <f>COUNTIF(Cases!$H$2:$H$499,B88)</f>
        <v/>
      </c>
      <c r="E88" s="10">
        <f>COUNTIFS(Cases!$H$2:$H$499,$B88,Cases!$N$2:$N$499,"Fake Fail")</f>
        <v/>
      </c>
      <c r="F88" s="10">
        <f>COUNTIFS(Cases!$H$2:$H$499,$B88,Cases!$N$2:$N$499,"Fake Success")</f>
        <v/>
      </c>
      <c r="G88" s="10">
        <f>COUNTIFS(Cases!$H$2:$H$499,$B88,Cases!$N$2:$N$499,"Deliver to Wrong Address")</f>
        <v/>
      </c>
      <c r="H88" s="10">
        <f>COUNTIFS(Cases!$H$2:$H$499,$B88,Cases!$N$2:$N$499,"Pull Out Route (POR)")</f>
        <v/>
      </c>
      <c r="I88" s="10">
        <f>COUNTIFS(Cases!$H$2:$H$499,$B88,Cases!$N$2:$N$499,"Failed pick-up")</f>
        <v/>
      </c>
      <c r="J88" s="10">
        <f>D88-SUM(E88:I88)</f>
        <v/>
      </c>
      <c r="K88" s="11">
        <f>IF(D88=0,0,E88/D88)</f>
        <v/>
      </c>
      <c r="L88" s="10">
        <f>COUNTIFS(Cases!$H$2:$H$499,$B88,Cases!$J$2:$J$499,"OPS (generic hub account)")</f>
        <v/>
      </c>
      <c r="M88" s="11">
        <f>IF(D88=0,0,L88/D88)</f>
        <v/>
      </c>
      <c r="N88" s="10" t="n">
        <v>1</v>
      </c>
      <c r="O88" s="11">
        <f>D88/COUNTA(Cases!$B$2:$B$499)</f>
        <v/>
      </c>
    </row>
    <row r="89">
      <c r="A89" s="10" t="n">
        <v>85</v>
      </c>
      <c r="B89" s="10" t="inlineStr">
        <is>
          <t>KMU</t>
        </is>
      </c>
      <c r="C89" s="10" t="inlineStr">
        <is>
          <t>KV</t>
        </is>
      </c>
      <c r="D89" s="10">
        <f>COUNTIF(Cases!$H$2:$H$499,B89)</f>
        <v/>
      </c>
      <c r="E89" s="10">
        <f>COUNTIFS(Cases!$H$2:$H$499,$B89,Cases!$N$2:$N$499,"Fake Fail")</f>
        <v/>
      </c>
      <c r="F89" s="10">
        <f>COUNTIFS(Cases!$H$2:$H$499,$B89,Cases!$N$2:$N$499,"Fake Success")</f>
        <v/>
      </c>
      <c r="G89" s="10">
        <f>COUNTIFS(Cases!$H$2:$H$499,$B89,Cases!$N$2:$N$499,"Deliver to Wrong Address")</f>
        <v/>
      </c>
      <c r="H89" s="10">
        <f>COUNTIFS(Cases!$H$2:$H$499,$B89,Cases!$N$2:$N$499,"Pull Out Route (POR)")</f>
        <v/>
      </c>
      <c r="I89" s="10">
        <f>COUNTIFS(Cases!$H$2:$H$499,$B89,Cases!$N$2:$N$499,"Failed pick-up")</f>
        <v/>
      </c>
      <c r="J89" s="10">
        <f>D89-SUM(E89:I89)</f>
        <v/>
      </c>
      <c r="K89" s="11">
        <f>IF(D89=0,0,E89/D89)</f>
        <v/>
      </c>
      <c r="L89" s="10">
        <f>COUNTIFS(Cases!$H$2:$H$499,$B89,Cases!$J$2:$J$499,"OPS (generic hub account)")</f>
        <v/>
      </c>
      <c r="M89" s="11">
        <f>IF(D89=0,0,L89/D89)</f>
        <v/>
      </c>
      <c r="N89" s="10" t="n">
        <v>1</v>
      </c>
      <c r="O89" s="11">
        <f>D89/COUNTA(Cases!$B$2:$B$499)</f>
        <v/>
      </c>
    </row>
    <row r="90">
      <c r="A90" s="10" t="n">
        <v>86</v>
      </c>
      <c r="B90" s="10" t="inlineStr">
        <is>
          <t>MAC</t>
        </is>
      </c>
      <c r="C90" s="10" t="inlineStr">
        <is>
          <t>North East</t>
        </is>
      </c>
      <c r="D90" s="10">
        <f>COUNTIF(Cases!$H$2:$H$499,B90)</f>
        <v/>
      </c>
      <c r="E90" s="10">
        <f>COUNTIFS(Cases!$H$2:$H$499,$B90,Cases!$N$2:$N$499,"Fake Fail")</f>
        <v/>
      </c>
      <c r="F90" s="10">
        <f>COUNTIFS(Cases!$H$2:$H$499,$B90,Cases!$N$2:$N$499,"Fake Success")</f>
        <v/>
      </c>
      <c r="G90" s="10">
        <f>COUNTIFS(Cases!$H$2:$H$499,$B90,Cases!$N$2:$N$499,"Deliver to Wrong Address")</f>
        <v/>
      </c>
      <c r="H90" s="10">
        <f>COUNTIFS(Cases!$H$2:$H$499,$B90,Cases!$N$2:$N$499,"Pull Out Route (POR)")</f>
        <v/>
      </c>
      <c r="I90" s="10">
        <f>COUNTIFS(Cases!$H$2:$H$499,$B90,Cases!$N$2:$N$499,"Failed pick-up")</f>
        <v/>
      </c>
      <c r="J90" s="10">
        <f>D90-SUM(E90:I90)</f>
        <v/>
      </c>
      <c r="K90" s="11">
        <f>IF(D90=0,0,E90/D90)</f>
        <v/>
      </c>
      <c r="L90" s="10">
        <f>COUNTIFS(Cases!$H$2:$H$499,$B90,Cases!$J$2:$J$499,"OPS (generic hub account)")</f>
        <v/>
      </c>
      <c r="M90" s="11">
        <f>IF(D90=0,0,L90/D90)</f>
        <v/>
      </c>
      <c r="N90" s="10" t="n">
        <v>1</v>
      </c>
      <c r="O90" s="11">
        <f>D90/COUNTA(Cases!$B$2:$B$499)</f>
        <v/>
      </c>
    </row>
    <row r="91">
      <c r="A91" s="10" t="n">
        <v>87</v>
      </c>
      <c r="B91" s="10" t="inlineStr">
        <is>
          <t>NIL</t>
        </is>
      </c>
      <c r="C91" s="10" t="inlineStr">
        <is>
          <t>South West</t>
        </is>
      </c>
      <c r="D91" s="10">
        <f>COUNTIF(Cases!$H$2:$H$499,B91)</f>
        <v/>
      </c>
      <c r="E91" s="10">
        <f>COUNTIFS(Cases!$H$2:$H$499,$B91,Cases!$N$2:$N$499,"Fake Fail")</f>
        <v/>
      </c>
      <c r="F91" s="10">
        <f>COUNTIFS(Cases!$H$2:$H$499,$B91,Cases!$N$2:$N$499,"Fake Success")</f>
        <v/>
      </c>
      <c r="G91" s="10">
        <f>COUNTIFS(Cases!$H$2:$H$499,$B91,Cases!$N$2:$N$499,"Deliver to Wrong Address")</f>
        <v/>
      </c>
      <c r="H91" s="10">
        <f>COUNTIFS(Cases!$H$2:$H$499,$B91,Cases!$N$2:$N$499,"Pull Out Route (POR)")</f>
        <v/>
      </c>
      <c r="I91" s="10">
        <f>COUNTIFS(Cases!$H$2:$H$499,$B91,Cases!$N$2:$N$499,"Failed pick-up")</f>
        <v/>
      </c>
      <c r="J91" s="10">
        <f>D91-SUM(E91:I91)</f>
        <v/>
      </c>
      <c r="K91" s="11">
        <f>IF(D91=0,0,E91/D91)</f>
        <v/>
      </c>
      <c r="L91" s="10">
        <f>COUNTIFS(Cases!$H$2:$H$499,$B91,Cases!$J$2:$J$499,"OPS (generic hub account)")</f>
        <v/>
      </c>
      <c r="M91" s="11">
        <f>IF(D91=0,0,L91/D91)</f>
        <v/>
      </c>
      <c r="N91" s="10" t="n">
        <v>1</v>
      </c>
      <c r="O91" s="11">
        <f>D91/COUNTA(Cases!$B$2:$B$499)</f>
        <v/>
      </c>
    </row>
    <row r="92">
      <c r="A92" s="10" t="n">
        <v>88</v>
      </c>
      <c r="B92" s="10" t="inlineStr">
        <is>
          <t>PKL</t>
        </is>
      </c>
      <c r="C92" s="10" t="inlineStr">
        <is>
          <t>KV</t>
        </is>
      </c>
      <c r="D92" s="10">
        <f>COUNTIF(Cases!$H$2:$H$499,B92)</f>
        <v/>
      </c>
      <c r="E92" s="10">
        <f>COUNTIFS(Cases!$H$2:$H$499,$B92,Cases!$N$2:$N$499,"Fake Fail")</f>
        <v/>
      </c>
      <c r="F92" s="10">
        <f>COUNTIFS(Cases!$H$2:$H$499,$B92,Cases!$N$2:$N$499,"Fake Success")</f>
        <v/>
      </c>
      <c r="G92" s="10">
        <f>COUNTIFS(Cases!$H$2:$H$499,$B92,Cases!$N$2:$N$499,"Deliver to Wrong Address")</f>
        <v/>
      </c>
      <c r="H92" s="10">
        <f>COUNTIFS(Cases!$H$2:$H$499,$B92,Cases!$N$2:$N$499,"Pull Out Route (POR)")</f>
        <v/>
      </c>
      <c r="I92" s="10">
        <f>COUNTIFS(Cases!$H$2:$H$499,$B92,Cases!$N$2:$N$499,"Failed pick-up")</f>
        <v/>
      </c>
      <c r="J92" s="10">
        <f>D92-SUM(E92:I92)</f>
        <v/>
      </c>
      <c r="K92" s="11">
        <f>IF(D92=0,0,E92/D92)</f>
        <v/>
      </c>
      <c r="L92" s="10">
        <f>COUNTIFS(Cases!$H$2:$H$499,$B92,Cases!$J$2:$J$499,"OPS (generic hub account)")</f>
        <v/>
      </c>
      <c r="M92" s="11">
        <f>IF(D92=0,0,L92/D92)</f>
        <v/>
      </c>
      <c r="N92" s="10" t="n">
        <v>0</v>
      </c>
      <c r="O92" s="11">
        <f>D92/COUNTA(Cases!$B$2:$B$499)</f>
        <v/>
      </c>
    </row>
    <row r="93">
      <c r="A93" s="10" t="n">
        <v>89</v>
      </c>
      <c r="B93" s="10" t="inlineStr">
        <is>
          <t>PPR</t>
        </is>
      </c>
      <c r="C93" s="10" t="inlineStr">
        <is>
          <t>East MY</t>
        </is>
      </c>
      <c r="D93" s="10">
        <f>COUNTIF(Cases!$H$2:$H$499,B93)</f>
        <v/>
      </c>
      <c r="E93" s="10">
        <f>COUNTIFS(Cases!$H$2:$H$499,$B93,Cases!$N$2:$N$499,"Fake Fail")</f>
        <v/>
      </c>
      <c r="F93" s="10">
        <f>COUNTIFS(Cases!$H$2:$H$499,$B93,Cases!$N$2:$N$499,"Fake Success")</f>
        <v/>
      </c>
      <c r="G93" s="10">
        <f>COUNTIFS(Cases!$H$2:$H$499,$B93,Cases!$N$2:$N$499,"Deliver to Wrong Address")</f>
        <v/>
      </c>
      <c r="H93" s="10">
        <f>COUNTIFS(Cases!$H$2:$H$499,$B93,Cases!$N$2:$N$499,"Pull Out Route (POR)")</f>
        <v/>
      </c>
      <c r="I93" s="10">
        <f>COUNTIFS(Cases!$H$2:$H$499,$B93,Cases!$N$2:$N$499,"Failed pick-up")</f>
        <v/>
      </c>
      <c r="J93" s="10">
        <f>D93-SUM(E93:I93)</f>
        <v/>
      </c>
      <c r="K93" s="11">
        <f>IF(D93=0,0,E93/D93)</f>
        <v/>
      </c>
      <c r="L93" s="10">
        <f>COUNTIFS(Cases!$H$2:$H$499,$B93,Cases!$J$2:$J$499,"OPS (generic hub account)")</f>
        <v/>
      </c>
      <c r="M93" s="11">
        <f>IF(D93=0,0,L93/D93)</f>
        <v/>
      </c>
      <c r="N93" s="10" t="n">
        <v>1</v>
      </c>
      <c r="O93" s="11">
        <f>D93/COUNTA(Cases!$B$2:$B$499)</f>
        <v/>
      </c>
    </row>
    <row r="94">
      <c r="A94" s="10" t="n">
        <v>90</v>
      </c>
      <c r="B94" s="10" t="inlineStr">
        <is>
          <t>PDG</t>
        </is>
      </c>
      <c r="C94" s="10" t="inlineStr">
        <is>
          <t>Northern</t>
        </is>
      </c>
      <c r="D94" s="10">
        <f>COUNTIF(Cases!$H$2:$H$499,B94)</f>
        <v/>
      </c>
      <c r="E94" s="10">
        <f>COUNTIFS(Cases!$H$2:$H$499,$B94,Cases!$N$2:$N$499,"Fake Fail")</f>
        <v/>
      </c>
      <c r="F94" s="10">
        <f>COUNTIFS(Cases!$H$2:$H$499,$B94,Cases!$N$2:$N$499,"Fake Success")</f>
        <v/>
      </c>
      <c r="G94" s="10">
        <f>COUNTIFS(Cases!$H$2:$H$499,$B94,Cases!$N$2:$N$499,"Deliver to Wrong Address")</f>
        <v/>
      </c>
      <c r="H94" s="10">
        <f>COUNTIFS(Cases!$H$2:$H$499,$B94,Cases!$N$2:$N$499,"Pull Out Route (POR)")</f>
        <v/>
      </c>
      <c r="I94" s="10">
        <f>COUNTIFS(Cases!$H$2:$H$499,$B94,Cases!$N$2:$N$499,"Failed pick-up")</f>
        <v/>
      </c>
      <c r="J94" s="10">
        <f>D94-SUM(E94:I94)</f>
        <v/>
      </c>
      <c r="K94" s="11">
        <f>IF(D94=0,0,E94/D94)</f>
        <v/>
      </c>
      <c r="L94" s="10">
        <f>COUNTIFS(Cases!$H$2:$H$499,$B94,Cases!$J$2:$J$499,"OPS (generic hub account)")</f>
        <v/>
      </c>
      <c r="M94" s="11">
        <f>IF(D94=0,0,L94/D94)</f>
        <v/>
      </c>
      <c r="N94" s="10" t="n">
        <v>0</v>
      </c>
      <c r="O94" s="11">
        <f>D94/COUNTA(Cases!$B$2:$B$499)</f>
        <v/>
      </c>
    </row>
    <row r="95">
      <c r="A95" s="10" t="n">
        <v>91</v>
      </c>
      <c r="B95" s="10" t="inlineStr">
        <is>
          <t>PDS</t>
        </is>
      </c>
      <c r="C95" s="10" t="inlineStr">
        <is>
          <t>South West</t>
        </is>
      </c>
      <c r="D95" s="10">
        <f>COUNTIF(Cases!$H$2:$H$499,B95)</f>
        <v/>
      </c>
      <c r="E95" s="10">
        <f>COUNTIFS(Cases!$H$2:$H$499,$B95,Cases!$N$2:$N$499,"Fake Fail")</f>
        <v/>
      </c>
      <c r="F95" s="10">
        <f>COUNTIFS(Cases!$H$2:$H$499,$B95,Cases!$N$2:$N$499,"Fake Success")</f>
        <v/>
      </c>
      <c r="G95" s="10">
        <f>COUNTIFS(Cases!$H$2:$H$499,$B95,Cases!$N$2:$N$499,"Deliver to Wrong Address")</f>
        <v/>
      </c>
      <c r="H95" s="10">
        <f>COUNTIFS(Cases!$H$2:$H$499,$B95,Cases!$N$2:$N$499,"Pull Out Route (POR)")</f>
        <v/>
      </c>
      <c r="I95" s="10">
        <f>COUNTIFS(Cases!$H$2:$H$499,$B95,Cases!$N$2:$N$499,"Failed pick-up")</f>
        <v/>
      </c>
      <c r="J95" s="10">
        <f>D95-SUM(E95:I95)</f>
        <v/>
      </c>
      <c r="K95" s="11">
        <f>IF(D95=0,0,E95/D95)</f>
        <v/>
      </c>
      <c r="L95" s="10">
        <f>COUNTIFS(Cases!$H$2:$H$499,$B95,Cases!$J$2:$J$499,"OPS (generic hub account)")</f>
        <v/>
      </c>
      <c r="M95" s="11">
        <f>IF(D95=0,0,L95/D95)</f>
        <v/>
      </c>
      <c r="N95" s="10" t="n">
        <v>1</v>
      </c>
      <c r="O95" s="11">
        <f>D95/COUNTA(Cases!$B$2:$B$499)</f>
        <v/>
      </c>
    </row>
    <row r="96">
      <c r="A96" s="10" t="n">
        <v>92</v>
      </c>
      <c r="B96" s="10" t="inlineStr">
        <is>
          <t>PCK</t>
        </is>
      </c>
      <c r="C96" s="10" t="inlineStr">
        <is>
          <t>KV</t>
        </is>
      </c>
      <c r="D96" s="10">
        <f>COUNTIF(Cases!$H$2:$H$499,B96)</f>
        <v/>
      </c>
      <c r="E96" s="10">
        <f>COUNTIFS(Cases!$H$2:$H$499,$B96,Cases!$N$2:$N$499,"Fake Fail")</f>
        <v/>
      </c>
      <c r="F96" s="10">
        <f>COUNTIFS(Cases!$H$2:$H$499,$B96,Cases!$N$2:$N$499,"Fake Success")</f>
        <v/>
      </c>
      <c r="G96" s="10">
        <f>COUNTIFS(Cases!$H$2:$H$499,$B96,Cases!$N$2:$N$499,"Deliver to Wrong Address")</f>
        <v/>
      </c>
      <c r="H96" s="10">
        <f>COUNTIFS(Cases!$H$2:$H$499,$B96,Cases!$N$2:$N$499,"Pull Out Route (POR)")</f>
        <v/>
      </c>
      <c r="I96" s="10">
        <f>COUNTIFS(Cases!$H$2:$H$499,$B96,Cases!$N$2:$N$499,"Failed pick-up")</f>
        <v/>
      </c>
      <c r="J96" s="10">
        <f>D96-SUM(E96:I96)</f>
        <v/>
      </c>
      <c r="K96" s="11">
        <f>IF(D96=0,0,E96/D96)</f>
        <v/>
      </c>
      <c r="L96" s="10">
        <f>COUNTIFS(Cases!$H$2:$H$499,$B96,Cases!$J$2:$J$499,"OPS (generic hub account)")</f>
        <v/>
      </c>
      <c r="M96" s="11">
        <f>IF(D96=0,0,L96/D96)</f>
        <v/>
      </c>
      <c r="N96" s="10" t="n">
        <v>1</v>
      </c>
      <c r="O96" s="11">
        <f>D96/COUNTA(Cases!$B$2:$B$499)</f>
        <v/>
      </c>
    </row>
    <row r="97">
      <c r="A97" s="10" t="n">
        <v>93</v>
      </c>
      <c r="B97" s="10" t="inlineStr">
        <is>
          <t>MRG</t>
        </is>
      </c>
      <c r="C97" s="10" t="inlineStr">
        <is>
          <t>North East</t>
        </is>
      </c>
      <c r="D97" s="10">
        <f>COUNTIF(Cases!$H$2:$H$499,B97)</f>
        <v/>
      </c>
      <c r="E97" s="10">
        <f>COUNTIFS(Cases!$H$2:$H$499,$B97,Cases!$N$2:$N$499,"Fake Fail")</f>
        <v/>
      </c>
      <c r="F97" s="10">
        <f>COUNTIFS(Cases!$H$2:$H$499,$B97,Cases!$N$2:$N$499,"Fake Success")</f>
        <v/>
      </c>
      <c r="G97" s="10">
        <f>COUNTIFS(Cases!$H$2:$H$499,$B97,Cases!$N$2:$N$499,"Deliver to Wrong Address")</f>
        <v/>
      </c>
      <c r="H97" s="10">
        <f>COUNTIFS(Cases!$H$2:$H$499,$B97,Cases!$N$2:$N$499,"Pull Out Route (POR)")</f>
        <v/>
      </c>
      <c r="I97" s="10">
        <f>COUNTIFS(Cases!$H$2:$H$499,$B97,Cases!$N$2:$N$499,"Failed pick-up")</f>
        <v/>
      </c>
      <c r="J97" s="10">
        <f>D97-SUM(E97:I97)</f>
        <v/>
      </c>
      <c r="K97" s="11">
        <f>IF(D97=0,0,E97/D97)</f>
        <v/>
      </c>
      <c r="L97" s="10">
        <f>COUNTIFS(Cases!$H$2:$H$499,$B97,Cases!$J$2:$J$499,"OPS (generic hub account)")</f>
        <v/>
      </c>
      <c r="M97" s="11">
        <f>IF(D97=0,0,L97/D97)</f>
        <v/>
      </c>
      <c r="N97" s="10" t="n">
        <v>1</v>
      </c>
      <c r="O97" s="11">
        <f>D97/COUNTA(Cases!$B$2:$B$499)</f>
        <v/>
      </c>
    </row>
    <row r="98">
      <c r="A98" s="10" t="n">
        <v>94</v>
      </c>
      <c r="B98" s="10" t="inlineStr">
        <is>
          <t>MYK</t>
        </is>
      </c>
      <c r="C98" s="10" t="inlineStr">
        <is>
          <t>South West</t>
        </is>
      </c>
      <c r="D98" s="10">
        <f>COUNTIF(Cases!$H$2:$H$499,B98)</f>
        <v/>
      </c>
      <c r="E98" s="10">
        <f>COUNTIFS(Cases!$H$2:$H$499,$B98,Cases!$N$2:$N$499,"Fake Fail")</f>
        <v/>
      </c>
      <c r="F98" s="10">
        <f>COUNTIFS(Cases!$H$2:$H$499,$B98,Cases!$N$2:$N$499,"Fake Success")</f>
        <v/>
      </c>
      <c r="G98" s="10">
        <f>COUNTIFS(Cases!$H$2:$H$499,$B98,Cases!$N$2:$N$499,"Deliver to Wrong Address")</f>
        <v/>
      </c>
      <c r="H98" s="10">
        <f>COUNTIFS(Cases!$H$2:$H$499,$B98,Cases!$N$2:$N$499,"Pull Out Route (POR)")</f>
        <v/>
      </c>
      <c r="I98" s="10">
        <f>COUNTIFS(Cases!$H$2:$H$499,$B98,Cases!$N$2:$N$499,"Failed pick-up")</f>
        <v/>
      </c>
      <c r="J98" s="10">
        <f>D98-SUM(E98:I98)</f>
        <v/>
      </c>
      <c r="K98" s="11">
        <f>IF(D98=0,0,E98/D98)</f>
        <v/>
      </c>
      <c r="L98" s="10">
        <f>COUNTIFS(Cases!$H$2:$H$499,$B98,Cases!$J$2:$J$499,"OPS (generic hub account)")</f>
        <v/>
      </c>
      <c r="M98" s="11">
        <f>IF(D98=0,0,L98/D98)</f>
        <v/>
      </c>
      <c r="N98" s="10" t="n">
        <v>1</v>
      </c>
      <c r="O98" s="11">
        <f>D98/COUNTA(Cases!$B$2:$B$499)</f>
        <v/>
      </c>
    </row>
    <row r="99">
      <c r="A99" s="10" t="n">
        <v>95</v>
      </c>
      <c r="B99" s="10" t="inlineStr">
        <is>
          <t>PUDO-KV-DEL - CC-GLE</t>
        </is>
      </c>
      <c r="C99" s="10" t="inlineStr">
        <is>
          <t>KV</t>
        </is>
      </c>
      <c r="D99" s="10">
        <f>COUNTIF(Cases!$H$2:$H$499,B99)</f>
        <v/>
      </c>
      <c r="E99" s="10">
        <f>COUNTIFS(Cases!$H$2:$H$499,$B99,Cases!$N$2:$N$499,"Fake Fail")</f>
        <v/>
      </c>
      <c r="F99" s="10">
        <f>COUNTIFS(Cases!$H$2:$H$499,$B99,Cases!$N$2:$N$499,"Fake Success")</f>
        <v/>
      </c>
      <c r="G99" s="10">
        <f>COUNTIFS(Cases!$H$2:$H$499,$B99,Cases!$N$2:$N$499,"Deliver to Wrong Address")</f>
        <v/>
      </c>
      <c r="H99" s="10">
        <f>COUNTIFS(Cases!$H$2:$H$499,$B99,Cases!$N$2:$N$499,"Pull Out Route (POR)")</f>
        <v/>
      </c>
      <c r="I99" s="10">
        <f>COUNTIFS(Cases!$H$2:$H$499,$B99,Cases!$N$2:$N$499,"Failed pick-up")</f>
        <v/>
      </c>
      <c r="J99" s="10">
        <f>D99-SUM(E99:I99)</f>
        <v/>
      </c>
      <c r="K99" s="11">
        <f>IF(D99=0,0,E99/D99)</f>
        <v/>
      </c>
      <c r="L99" s="10">
        <f>COUNTIFS(Cases!$H$2:$H$499,$B99,Cases!$J$2:$J$499,"OPS (generic hub account)")</f>
        <v/>
      </c>
      <c r="M99" s="11">
        <f>IF(D99=0,0,L99/D99)</f>
        <v/>
      </c>
      <c r="N99" s="10" t="n">
        <v>1</v>
      </c>
      <c r="O99" s="11">
        <f>D99/COUNTA(Cases!$B$2:$B$499)</f>
        <v/>
      </c>
    </row>
    <row r="100">
      <c r="A100" s="10" t="n">
        <v>96</v>
      </c>
      <c r="B100" s="10" t="inlineStr">
        <is>
          <t>SGT</t>
        </is>
      </c>
      <c r="C100" s="10" t="inlineStr">
        <is>
          <t>Southern</t>
        </is>
      </c>
      <c r="D100" s="10">
        <f>COUNTIF(Cases!$H$2:$H$499,B100)</f>
        <v/>
      </c>
      <c r="E100" s="10">
        <f>COUNTIFS(Cases!$H$2:$H$499,$B100,Cases!$N$2:$N$499,"Fake Fail")</f>
        <v/>
      </c>
      <c r="F100" s="10">
        <f>COUNTIFS(Cases!$H$2:$H$499,$B100,Cases!$N$2:$N$499,"Fake Success")</f>
        <v/>
      </c>
      <c r="G100" s="10">
        <f>COUNTIFS(Cases!$H$2:$H$499,$B100,Cases!$N$2:$N$499,"Deliver to Wrong Address")</f>
        <v/>
      </c>
      <c r="H100" s="10">
        <f>COUNTIFS(Cases!$H$2:$H$499,$B100,Cases!$N$2:$N$499,"Pull Out Route (POR)")</f>
        <v/>
      </c>
      <c r="I100" s="10">
        <f>COUNTIFS(Cases!$H$2:$H$499,$B100,Cases!$N$2:$N$499,"Failed pick-up")</f>
        <v/>
      </c>
      <c r="J100" s="10">
        <f>D100-SUM(E100:I100)</f>
        <v/>
      </c>
      <c r="K100" s="11">
        <f>IF(D100=0,0,E100/D100)</f>
        <v/>
      </c>
      <c r="L100" s="10">
        <f>COUNTIFS(Cases!$H$2:$H$499,$B100,Cases!$J$2:$J$499,"OPS (generic hub account)")</f>
        <v/>
      </c>
      <c r="M100" s="11">
        <f>IF(D100=0,0,L100/D100)</f>
        <v/>
      </c>
      <c r="N100" s="10" t="n">
        <v>1</v>
      </c>
      <c r="O100" s="11">
        <f>D100/COUNTA(Cases!$B$2:$B$499)</f>
        <v/>
      </c>
    </row>
    <row r="101">
      <c r="A101" s="10" t="n">
        <v>97</v>
      </c>
      <c r="B101" s="10" t="inlineStr">
        <is>
          <t>PWR</t>
        </is>
      </c>
      <c r="C101" s="10" t="inlineStr">
        <is>
          <t>Southern</t>
        </is>
      </c>
      <c r="D101" s="10">
        <f>COUNTIF(Cases!$H$2:$H$499,B101)</f>
        <v/>
      </c>
      <c r="E101" s="10">
        <f>COUNTIFS(Cases!$H$2:$H$499,$B101,Cases!$N$2:$N$499,"Fake Fail")</f>
        <v/>
      </c>
      <c r="F101" s="10">
        <f>COUNTIFS(Cases!$H$2:$H$499,$B101,Cases!$N$2:$N$499,"Fake Success")</f>
        <v/>
      </c>
      <c r="G101" s="10">
        <f>COUNTIFS(Cases!$H$2:$H$499,$B101,Cases!$N$2:$N$499,"Deliver to Wrong Address")</f>
        <v/>
      </c>
      <c r="H101" s="10">
        <f>COUNTIFS(Cases!$H$2:$H$499,$B101,Cases!$N$2:$N$499,"Pull Out Route (POR)")</f>
        <v/>
      </c>
      <c r="I101" s="10">
        <f>COUNTIFS(Cases!$H$2:$H$499,$B101,Cases!$N$2:$N$499,"Failed pick-up")</f>
        <v/>
      </c>
      <c r="J101" s="10">
        <f>D101-SUM(E101:I101)</f>
        <v/>
      </c>
      <c r="K101" s="11">
        <f>IF(D101=0,0,E101/D101)</f>
        <v/>
      </c>
      <c r="L101" s="10">
        <f>COUNTIFS(Cases!$H$2:$H$499,$B101,Cases!$J$2:$J$499,"OPS (generic hub account)")</f>
        <v/>
      </c>
      <c r="M101" s="11">
        <f>IF(D101=0,0,L101/D101)</f>
        <v/>
      </c>
      <c r="N101" s="10" t="n">
        <v>1</v>
      </c>
      <c r="O101" s="11">
        <f>D101/COUNTA(Cases!$B$2:$B$499)</f>
        <v/>
      </c>
    </row>
    <row r="102">
      <c r="A102" s="10" t="n">
        <v>98</v>
      </c>
      <c r="B102" s="10" t="inlineStr">
        <is>
          <t>SMM</t>
        </is>
      </c>
      <c r="C102" s="10" t="inlineStr">
        <is>
          <t>East MY</t>
        </is>
      </c>
      <c r="D102" s="10">
        <f>COUNTIF(Cases!$H$2:$H$499,B102)</f>
        <v/>
      </c>
      <c r="E102" s="10">
        <f>COUNTIFS(Cases!$H$2:$H$499,$B102,Cases!$N$2:$N$499,"Fake Fail")</f>
        <v/>
      </c>
      <c r="F102" s="10">
        <f>COUNTIFS(Cases!$H$2:$H$499,$B102,Cases!$N$2:$N$499,"Fake Success")</f>
        <v/>
      </c>
      <c r="G102" s="10">
        <f>COUNTIFS(Cases!$H$2:$H$499,$B102,Cases!$N$2:$N$499,"Deliver to Wrong Address")</f>
        <v/>
      </c>
      <c r="H102" s="10">
        <f>COUNTIFS(Cases!$H$2:$H$499,$B102,Cases!$N$2:$N$499,"Pull Out Route (POR)")</f>
        <v/>
      </c>
      <c r="I102" s="10">
        <f>COUNTIFS(Cases!$H$2:$H$499,$B102,Cases!$N$2:$N$499,"Failed pick-up")</f>
        <v/>
      </c>
      <c r="J102" s="10">
        <f>D102-SUM(E102:I102)</f>
        <v/>
      </c>
      <c r="K102" s="11">
        <f>IF(D102=0,0,E102/D102)</f>
        <v/>
      </c>
      <c r="L102" s="10">
        <f>COUNTIFS(Cases!$H$2:$H$499,$B102,Cases!$J$2:$J$499,"OPS (generic hub account)")</f>
        <v/>
      </c>
      <c r="M102" s="11">
        <f>IF(D102=0,0,L102/D102)</f>
        <v/>
      </c>
      <c r="N102" s="10" t="n">
        <v>1</v>
      </c>
      <c r="O102" s="11">
        <f>D102/COUNTA(Cases!$B$2:$B$499)</f>
        <v/>
      </c>
    </row>
    <row r="103">
      <c r="A103" s="10" t="n">
        <v>99</v>
      </c>
      <c r="B103" s="10" t="inlineStr">
        <is>
          <t>STG</t>
        </is>
      </c>
      <c r="C103" s="10" t="inlineStr">
        <is>
          <t>KV</t>
        </is>
      </c>
      <c r="D103" s="10">
        <f>COUNTIF(Cases!$H$2:$H$499,B103)</f>
        <v/>
      </c>
      <c r="E103" s="10">
        <f>COUNTIFS(Cases!$H$2:$H$499,$B103,Cases!$N$2:$N$499,"Fake Fail")</f>
        <v/>
      </c>
      <c r="F103" s="10">
        <f>COUNTIFS(Cases!$H$2:$H$499,$B103,Cases!$N$2:$N$499,"Fake Success")</f>
        <v/>
      </c>
      <c r="G103" s="10">
        <f>COUNTIFS(Cases!$H$2:$H$499,$B103,Cases!$N$2:$N$499,"Deliver to Wrong Address")</f>
        <v/>
      </c>
      <c r="H103" s="10">
        <f>COUNTIFS(Cases!$H$2:$H$499,$B103,Cases!$N$2:$N$499,"Pull Out Route (POR)")</f>
        <v/>
      </c>
      <c r="I103" s="10">
        <f>COUNTIFS(Cases!$H$2:$H$499,$B103,Cases!$N$2:$N$499,"Failed pick-up")</f>
        <v/>
      </c>
      <c r="J103" s="10">
        <f>D103-SUM(E103:I103)</f>
        <v/>
      </c>
      <c r="K103" s="11">
        <f>IF(D103=0,0,E103/D103)</f>
        <v/>
      </c>
      <c r="L103" s="10">
        <f>COUNTIFS(Cases!$H$2:$H$499,$B103,Cases!$J$2:$J$499,"OPS (generic hub account)")</f>
        <v/>
      </c>
      <c r="M103" s="11">
        <f>IF(D103=0,0,L103/D103)</f>
        <v/>
      </c>
      <c r="N103" s="10" t="n">
        <v>1</v>
      </c>
      <c r="O103" s="11">
        <f>D103/COUNTA(Cases!$B$2:$B$499)</f>
        <v/>
      </c>
    </row>
    <row r="104">
      <c r="A104" s="10" t="n">
        <v>100</v>
      </c>
      <c r="B104" s="10" t="inlineStr">
        <is>
          <t>SZB</t>
        </is>
      </c>
      <c r="C104" s="10" t="inlineStr">
        <is>
          <t>KV</t>
        </is>
      </c>
      <c r="D104" s="10">
        <f>COUNTIF(Cases!$H$2:$H$499,B104)</f>
        <v/>
      </c>
      <c r="E104" s="10">
        <f>COUNTIFS(Cases!$H$2:$H$499,$B104,Cases!$N$2:$N$499,"Fake Fail")</f>
        <v/>
      </c>
      <c r="F104" s="10">
        <f>COUNTIFS(Cases!$H$2:$H$499,$B104,Cases!$N$2:$N$499,"Fake Success")</f>
        <v/>
      </c>
      <c r="G104" s="10">
        <f>COUNTIFS(Cases!$H$2:$H$499,$B104,Cases!$N$2:$N$499,"Deliver to Wrong Address")</f>
        <v/>
      </c>
      <c r="H104" s="10">
        <f>COUNTIFS(Cases!$H$2:$H$499,$B104,Cases!$N$2:$N$499,"Pull Out Route (POR)")</f>
        <v/>
      </c>
      <c r="I104" s="10">
        <f>COUNTIFS(Cases!$H$2:$H$499,$B104,Cases!$N$2:$N$499,"Failed pick-up")</f>
        <v/>
      </c>
      <c r="J104" s="10">
        <f>D104-SUM(E104:I104)</f>
        <v/>
      </c>
      <c r="K104" s="11">
        <f>IF(D104=0,0,E104/D104)</f>
        <v/>
      </c>
      <c r="L104" s="10">
        <f>COUNTIFS(Cases!$H$2:$H$499,$B104,Cases!$J$2:$J$499,"OPS (generic hub account)")</f>
        <v/>
      </c>
      <c r="M104" s="11">
        <f>IF(D104=0,0,L104/D104)</f>
        <v/>
      </c>
      <c r="N104" s="10" t="n">
        <v>1</v>
      </c>
      <c r="O104" s="11">
        <f>D104/COUNTA(Cases!$B$2:$B$499)</f>
        <v/>
      </c>
    </row>
    <row r="105">
      <c r="A105" s="10" t="n">
        <v>101</v>
      </c>
      <c r="B105" s="10" t="inlineStr">
        <is>
          <t>TGI</t>
        </is>
      </c>
      <c r="C105" s="10" t="inlineStr">
        <is>
          <t>Southern</t>
        </is>
      </c>
      <c r="D105" s="10">
        <f>COUNTIF(Cases!$H$2:$H$499,B105)</f>
        <v/>
      </c>
      <c r="E105" s="10">
        <f>COUNTIFS(Cases!$H$2:$H$499,$B105,Cases!$N$2:$N$499,"Fake Fail")</f>
        <v/>
      </c>
      <c r="F105" s="10">
        <f>COUNTIFS(Cases!$H$2:$H$499,$B105,Cases!$N$2:$N$499,"Fake Success")</f>
        <v/>
      </c>
      <c r="G105" s="10">
        <f>COUNTIFS(Cases!$H$2:$H$499,$B105,Cases!$N$2:$N$499,"Deliver to Wrong Address")</f>
        <v/>
      </c>
      <c r="H105" s="10">
        <f>COUNTIFS(Cases!$H$2:$H$499,$B105,Cases!$N$2:$N$499,"Pull Out Route (POR)")</f>
        <v/>
      </c>
      <c r="I105" s="10">
        <f>COUNTIFS(Cases!$H$2:$H$499,$B105,Cases!$N$2:$N$499,"Failed pick-up")</f>
        <v/>
      </c>
      <c r="J105" s="10">
        <f>D105-SUM(E105:I105)</f>
        <v/>
      </c>
      <c r="K105" s="11">
        <f>IF(D105=0,0,E105/D105)</f>
        <v/>
      </c>
      <c r="L105" s="10">
        <f>COUNTIFS(Cases!$H$2:$H$499,$B105,Cases!$J$2:$J$499,"OPS (generic hub account)")</f>
        <v/>
      </c>
      <c r="M105" s="11">
        <f>IF(D105=0,0,L105/D105)</f>
        <v/>
      </c>
      <c r="N105" s="10" t="n">
        <v>1</v>
      </c>
      <c r="O105" s="11">
        <f>D105/COUNTA(Cases!$B$2:$B$499)</f>
        <v/>
      </c>
    </row>
    <row r="106">
      <c r="A106" s="10" t="n">
        <v>102</v>
      </c>
      <c r="B106" s="10" t="inlineStr">
        <is>
          <t>TRI</t>
        </is>
      </c>
      <c r="C106" s="10" t="inlineStr">
        <is>
          <t>Eastern</t>
        </is>
      </c>
      <c r="D106" s="10">
        <f>COUNTIF(Cases!$H$2:$H$499,B106)</f>
        <v/>
      </c>
      <c r="E106" s="10">
        <f>COUNTIFS(Cases!$H$2:$H$499,$B106,Cases!$N$2:$N$499,"Fake Fail")</f>
        <v/>
      </c>
      <c r="F106" s="10">
        <f>COUNTIFS(Cases!$H$2:$H$499,$B106,Cases!$N$2:$N$499,"Fake Success")</f>
        <v/>
      </c>
      <c r="G106" s="10">
        <f>COUNTIFS(Cases!$H$2:$H$499,$B106,Cases!$N$2:$N$499,"Deliver to Wrong Address")</f>
        <v/>
      </c>
      <c r="H106" s="10">
        <f>COUNTIFS(Cases!$H$2:$H$499,$B106,Cases!$N$2:$N$499,"Pull Out Route (POR)")</f>
        <v/>
      </c>
      <c r="I106" s="10">
        <f>COUNTIFS(Cases!$H$2:$H$499,$B106,Cases!$N$2:$N$499,"Failed pick-up")</f>
        <v/>
      </c>
      <c r="J106" s="10">
        <f>D106-SUM(E106:I106)</f>
        <v/>
      </c>
      <c r="K106" s="11">
        <f>IF(D106=0,0,E106/D106)</f>
        <v/>
      </c>
      <c r="L106" s="10">
        <f>COUNTIFS(Cases!$H$2:$H$499,$B106,Cases!$J$2:$J$499,"OPS (generic hub account)")</f>
        <v/>
      </c>
      <c r="M106" s="11">
        <f>IF(D106=0,0,L106/D106)</f>
        <v/>
      </c>
      <c r="N106" s="10" t="n">
        <v>1</v>
      </c>
      <c r="O106" s="11">
        <f>D106/COUNTA(Cases!$B$2:$B$499)</f>
        <v/>
      </c>
    </row>
    <row r="107">
      <c r="A107" s="10" t="n">
        <v>103</v>
      </c>
      <c r="B107" s="10" t="inlineStr">
        <is>
          <t>YPG</t>
        </is>
      </c>
      <c r="C107" s="10" t="inlineStr">
        <is>
          <t>Northern</t>
        </is>
      </c>
      <c r="D107" s="10">
        <f>COUNTIF(Cases!$H$2:$H$499,B107)</f>
        <v/>
      </c>
      <c r="E107" s="10">
        <f>COUNTIFS(Cases!$H$2:$H$499,$B107,Cases!$N$2:$N$499,"Fake Fail")</f>
        <v/>
      </c>
      <c r="F107" s="10">
        <f>COUNTIFS(Cases!$H$2:$H$499,$B107,Cases!$N$2:$N$499,"Fake Success")</f>
        <v/>
      </c>
      <c r="G107" s="10">
        <f>COUNTIFS(Cases!$H$2:$H$499,$B107,Cases!$N$2:$N$499,"Deliver to Wrong Address")</f>
        <v/>
      </c>
      <c r="H107" s="10">
        <f>COUNTIFS(Cases!$H$2:$H$499,$B107,Cases!$N$2:$N$499,"Pull Out Route (POR)")</f>
        <v/>
      </c>
      <c r="I107" s="10">
        <f>COUNTIFS(Cases!$H$2:$H$499,$B107,Cases!$N$2:$N$499,"Failed pick-up")</f>
        <v/>
      </c>
      <c r="J107" s="10">
        <f>D107-SUM(E107:I107)</f>
        <v/>
      </c>
      <c r="K107" s="11">
        <f>IF(D107=0,0,E107/D107)</f>
        <v/>
      </c>
      <c r="L107" s="10">
        <f>COUNTIFS(Cases!$H$2:$H$499,$B107,Cases!$J$2:$J$499,"OPS (generic hub account)")</f>
        <v/>
      </c>
      <c r="M107" s="11">
        <f>IF(D107=0,0,L107/D107)</f>
        <v/>
      </c>
      <c r="N107" s="10" t="n">
        <v>1</v>
      </c>
      <c r="O107" s="11">
        <f>D107/COUNTA(Cases!$B$2:$B$499)</f>
        <v/>
      </c>
    </row>
    <row r="108">
      <c r="N108" s="19" t="inlineStr">
        <is>
          <t>Col N = distinct named (non-OPS) driver strings; hardcoded from the cleaned data.</t>
        </is>
      </c>
    </row>
  </sheetData>
  <autoFilter ref="A4:O107"/>
  <conditionalFormatting sqref="D5:D107">
    <cfRule type="dataBar" priority="1">
      <dataBar>
        <cfvo type="num" val="0"/>
        <cfvo type="max"/>
        <color rgb="00C8102E"/>
      </dataBar>
    </cfRule>
  </conditionalFormatting>
  <conditionalFormatting sqref="M5:M107">
    <cfRule type="dataBar" priority="2">
      <dataBar>
        <cfvo type="num" val="0"/>
        <cfvo type="num" val="1"/>
        <color rgb="0098A2B3"/>
      </dataBar>
    </cfRule>
  </conditionalFormatting>
  <pageMargins left="0.75" right="0.75" top="1" bottom="1" header="0.5" footer="0.5"/>
</worksheet>
</file>

<file path=xl/worksheets/sheet4.xml><?xml version="1.0" encoding="utf-8"?>
<worksheet xmlns="http://schemas.openxmlformats.org/spreadsheetml/2006/main">
  <sheetPr>
    <tabColor rgb="0098A2B3"/>
    <outlinePr summaryBelow="1" summaryRight="1"/>
    <pageSetUpPr/>
  </sheetPr>
  <dimension ref="A1:L4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7" customWidth="1" min="3" max="3"/>
    <col width="22" customWidth="1" min="4" max="4"/>
    <col width="7" customWidth="1" min="5" max="5"/>
    <col width="8" customWidth="1" min="6" max="6"/>
    <col width="9" customWidth="1" min="7" max="7"/>
    <col width="9" customWidth="1" min="8" max="8"/>
    <col width="7" customWidth="1" min="9" max="9"/>
    <col width="8" customWidth="1" min="10" max="10"/>
    <col width="30" customWidth="1" min="11" max="11"/>
    <col width="28" customWidth="1" min="12" max="12"/>
  </cols>
  <sheetData>
    <row r="1">
      <c r="A1" s="1" t="inlineStr">
        <is>
          <t>Driver Watchlist — named drivers with 2+ complaints in W39</t>
        </is>
      </c>
    </row>
    <row r="2">
      <c r="A2" s="18" t="inlineStr">
        <is>
          <t>Excludes generic OPS hub accounts and multi-driver rows. Counts are live formulas on the Cases sheet.</t>
        </is>
      </c>
    </row>
    <row r="4" ht="30" customHeight="1">
      <c r="A4" s="9" t="inlineStr">
        <is>
          <t>Rank</t>
        </is>
      </c>
      <c r="B4" s="9" t="inlineStr">
        <is>
          <t>Driver</t>
        </is>
      </c>
      <c r="C4" s="9" t="inlineStr">
        <is>
          <t>Hub</t>
        </is>
      </c>
      <c r="D4" s="9" t="inlineStr">
        <is>
          <t>Account Type</t>
        </is>
      </c>
      <c r="E4" s="9" t="inlineStr">
        <is>
          <t>Total</t>
        </is>
      </c>
      <c r="F4" s="9" t="inlineStr">
        <is>
          <t>Fake Fail</t>
        </is>
      </c>
      <c r="G4" s="9" t="inlineStr">
        <is>
          <t>Fake Success</t>
        </is>
      </c>
      <c r="H4" s="9" t="inlineStr">
        <is>
          <t>Wrong Address</t>
        </is>
      </c>
      <c r="I4" s="9" t="inlineStr">
        <is>
          <t>Other</t>
        </is>
      </c>
      <c r="J4" s="9" t="inlineStr">
        <is>
          <t>Distinct TIDs</t>
        </is>
      </c>
      <c r="K4" s="9" t="inlineStr">
        <is>
          <t>Main Fake Fail Root Cause</t>
        </is>
      </c>
      <c r="L4" s="9" t="inlineStr">
        <is>
          <t>Suggested Action</t>
        </is>
      </c>
    </row>
    <row r="5">
      <c r="A5" s="10" t="n">
        <v>1</v>
      </c>
      <c r="B5" s="10" t="inlineStr">
        <is>
          <t>BKW - ID - KENNETH</t>
        </is>
      </c>
      <c r="C5" s="10" t="inlineStr">
        <is>
          <t>BKW</t>
        </is>
      </c>
      <c r="D5" s="10" t="inlineStr">
        <is>
          <t>ID (named driver)</t>
        </is>
      </c>
      <c r="E5" s="10">
        <f>COUNTIF(Cases!$I$2:$I$499,B5)</f>
        <v/>
      </c>
      <c r="F5" s="10">
        <f>COUNTIFS(Cases!$I$2:$I$499,$B5,Cases!$N$2:$N$499,"Fake Fail")</f>
        <v/>
      </c>
      <c r="G5" s="10">
        <f>COUNTIFS(Cases!$I$2:$I$499,$B5,Cases!$N$2:$N$499,"Fake Success")</f>
        <v/>
      </c>
      <c r="H5" s="10">
        <f>COUNTIFS(Cases!$I$2:$I$499,$B5,Cases!$N$2:$N$499,"Deliver to Wrong Address")</f>
        <v/>
      </c>
      <c r="I5" s="10">
        <f>E5-SUM(F5:H5)</f>
        <v/>
      </c>
      <c r="J5" s="10" t="n">
        <v>7</v>
      </c>
      <c r="K5" s="10" t="inlineStr">
        <is>
          <t>Invalid call log (unspecified)</t>
        </is>
      </c>
      <c r="L5" s="10" t="inlineStr">
        <is>
          <t>Escalate: HR/performance review</t>
        </is>
      </c>
    </row>
    <row r="6">
      <c r="A6" s="10" t="n">
        <v>2</v>
      </c>
      <c r="B6" s="10" t="inlineStr">
        <is>
          <t>BTR - ID - KHAIRAN</t>
        </is>
      </c>
      <c r="C6" s="10" t="inlineStr">
        <is>
          <t>BTR</t>
        </is>
      </c>
      <c r="D6" s="10" t="inlineStr">
        <is>
          <t>ID (named driver)</t>
        </is>
      </c>
      <c r="E6" s="10">
        <f>COUNTIF(Cases!$I$2:$I$499,B6)</f>
        <v/>
      </c>
      <c r="F6" s="10">
        <f>COUNTIFS(Cases!$I$2:$I$499,$B6,Cases!$N$2:$N$499,"Fake Fail")</f>
        <v/>
      </c>
      <c r="G6" s="10">
        <f>COUNTIFS(Cases!$I$2:$I$499,$B6,Cases!$N$2:$N$499,"Fake Success")</f>
        <v/>
      </c>
      <c r="H6" s="10">
        <f>COUNTIFS(Cases!$I$2:$I$499,$B6,Cases!$N$2:$N$499,"Deliver to Wrong Address")</f>
        <v/>
      </c>
      <c r="I6" s="10">
        <f>E6-SUM(F6:H6)</f>
        <v/>
      </c>
      <c r="J6" s="10" t="n">
        <v>4</v>
      </c>
      <c r="K6" s="10" t="inlineStr">
        <is>
          <t>No call / call log missing</t>
        </is>
      </c>
      <c r="L6" s="10" t="inlineStr">
        <is>
          <t>Escalate: HR/performance review</t>
        </is>
      </c>
    </row>
    <row r="7">
      <c r="A7" s="10" t="n">
        <v>3</v>
      </c>
      <c r="B7" s="10" t="inlineStr">
        <is>
          <t>AOR - FM - Ihsan Rashid</t>
        </is>
      </c>
      <c r="C7" s="10" t="inlineStr">
        <is>
          <t>AOR</t>
        </is>
      </c>
      <c r="D7" s="10" t="inlineStr">
        <is>
          <t>FM (first-mile)</t>
        </is>
      </c>
      <c r="E7" s="10">
        <f>COUNTIF(Cases!$I$2:$I$499,B7)</f>
        <v/>
      </c>
      <c r="F7" s="10">
        <f>COUNTIFS(Cases!$I$2:$I$499,$B7,Cases!$N$2:$N$499,"Fake Fail")</f>
        <v/>
      </c>
      <c r="G7" s="10">
        <f>COUNTIFS(Cases!$I$2:$I$499,$B7,Cases!$N$2:$N$499,"Fake Success")</f>
        <v/>
      </c>
      <c r="H7" s="10">
        <f>COUNTIFS(Cases!$I$2:$I$499,$B7,Cases!$N$2:$N$499,"Deliver to Wrong Address")</f>
        <v/>
      </c>
      <c r="I7" s="10">
        <f>E7-SUM(F7:H7)</f>
        <v/>
      </c>
      <c r="J7" s="10" t="n">
        <v>3</v>
      </c>
      <c r="K7" s="10" t="inlineStr">
        <is>
          <t>Wrong number called</t>
        </is>
      </c>
      <c r="L7" s="10" t="inlineStr">
        <is>
          <t>Coaching + POD audit</t>
        </is>
      </c>
    </row>
    <row r="8">
      <c r="A8" s="10" t="n">
        <v>4</v>
      </c>
      <c r="B8" s="10" t="inlineStr">
        <is>
          <t>MAS - ID - ZULKARNIAN</t>
        </is>
      </c>
      <c r="C8" s="10" t="inlineStr">
        <is>
          <t>MAS</t>
        </is>
      </c>
      <c r="D8" s="10" t="inlineStr">
        <is>
          <t>ID (named driver)</t>
        </is>
      </c>
      <c r="E8" s="10">
        <f>COUNTIF(Cases!$I$2:$I$499,B8)</f>
        <v/>
      </c>
      <c r="F8" s="10">
        <f>COUNTIFS(Cases!$I$2:$I$499,$B8,Cases!$N$2:$N$499,"Fake Fail")</f>
        <v/>
      </c>
      <c r="G8" s="10">
        <f>COUNTIFS(Cases!$I$2:$I$499,$B8,Cases!$N$2:$N$499,"Fake Success")</f>
        <v/>
      </c>
      <c r="H8" s="10">
        <f>COUNTIFS(Cases!$I$2:$I$499,$B8,Cases!$N$2:$N$499,"Deliver to Wrong Address")</f>
        <v/>
      </c>
      <c r="I8" s="10">
        <f>E8-SUM(F8:H8)</f>
        <v/>
      </c>
      <c r="J8" s="10" t="n">
        <v>3</v>
      </c>
      <c r="K8" s="10" t="inlineStr">
        <is>
          <t>—</t>
        </is>
      </c>
      <c r="L8" s="10" t="inlineStr">
        <is>
          <t>Coaching + POD audit</t>
        </is>
      </c>
    </row>
    <row r="9">
      <c r="A9" s="10" t="n">
        <v>5</v>
      </c>
      <c r="B9" s="10" t="inlineStr">
        <is>
          <t>SIM - ID - ISMAIL</t>
        </is>
      </c>
      <c r="C9" s="10" t="inlineStr">
        <is>
          <t>SIM</t>
        </is>
      </c>
      <c r="D9" s="10" t="inlineStr">
        <is>
          <t>ID (named driver)</t>
        </is>
      </c>
      <c r="E9" s="10">
        <f>COUNTIF(Cases!$I$2:$I$499,B9)</f>
        <v/>
      </c>
      <c r="F9" s="10">
        <f>COUNTIFS(Cases!$I$2:$I$499,$B9,Cases!$N$2:$N$499,"Fake Fail")</f>
        <v/>
      </c>
      <c r="G9" s="10">
        <f>COUNTIFS(Cases!$I$2:$I$499,$B9,Cases!$N$2:$N$499,"Fake Success")</f>
        <v/>
      </c>
      <c r="H9" s="10">
        <f>COUNTIFS(Cases!$I$2:$I$499,$B9,Cases!$N$2:$N$499,"Deliver to Wrong Address")</f>
        <v/>
      </c>
      <c r="I9" s="10">
        <f>E9-SUM(F9:H9)</f>
        <v/>
      </c>
      <c r="J9" s="10" t="n">
        <v>3</v>
      </c>
      <c r="K9" s="10" t="inlineStr">
        <is>
          <t>Wrong number called</t>
        </is>
      </c>
      <c r="L9" s="10" t="inlineStr">
        <is>
          <t>Coaching + POD audit</t>
        </is>
      </c>
    </row>
    <row r="10">
      <c r="A10" s="10" t="n">
        <v>6</v>
      </c>
      <c r="B10" s="10" t="inlineStr">
        <is>
          <t>KSR - ID - AZRI</t>
        </is>
      </c>
      <c r="C10" s="10" t="inlineStr">
        <is>
          <t>KSR</t>
        </is>
      </c>
      <c r="D10" s="10" t="inlineStr">
        <is>
          <t>ID (named driver)</t>
        </is>
      </c>
      <c r="E10" s="10">
        <f>COUNTIF(Cases!$I$2:$I$499,B10)</f>
        <v/>
      </c>
      <c r="F10" s="10">
        <f>COUNTIFS(Cases!$I$2:$I$499,$B10,Cases!$N$2:$N$499,"Fake Fail")</f>
        <v/>
      </c>
      <c r="G10" s="10">
        <f>COUNTIFS(Cases!$I$2:$I$499,$B10,Cases!$N$2:$N$499,"Fake Success")</f>
        <v/>
      </c>
      <c r="H10" s="10">
        <f>COUNTIFS(Cases!$I$2:$I$499,$B10,Cases!$N$2:$N$499,"Deliver to Wrong Address")</f>
        <v/>
      </c>
      <c r="I10" s="10">
        <f>E10-SUM(F10:H10)</f>
        <v/>
      </c>
      <c r="J10" s="10" t="n">
        <v>3</v>
      </c>
      <c r="K10" s="10" t="inlineStr">
        <is>
          <t>Invalid location / site photo</t>
        </is>
      </c>
      <c r="L10" s="10" t="inlineStr">
        <is>
          <t>Coaching + POD audit</t>
        </is>
      </c>
    </row>
    <row r="11">
      <c r="A11" s="10" t="n">
        <v>7</v>
      </c>
      <c r="B11" s="10" t="inlineStr">
        <is>
          <t>MTG - FM - Shazwan Saupi</t>
        </is>
      </c>
      <c r="C11" s="10" t="inlineStr">
        <is>
          <t>KEM</t>
        </is>
      </c>
      <c r="D11" s="10" t="inlineStr">
        <is>
          <t>FM (first-mile)</t>
        </is>
      </c>
      <c r="E11" s="10">
        <f>COUNTIF(Cases!$I$2:$I$499,B11)</f>
        <v/>
      </c>
      <c r="F11" s="10">
        <f>COUNTIFS(Cases!$I$2:$I$499,$B11,Cases!$N$2:$N$499,"Fake Fail")</f>
        <v/>
      </c>
      <c r="G11" s="10">
        <f>COUNTIFS(Cases!$I$2:$I$499,$B11,Cases!$N$2:$N$499,"Fake Success")</f>
        <v/>
      </c>
      <c r="H11" s="10">
        <f>COUNTIFS(Cases!$I$2:$I$499,$B11,Cases!$N$2:$N$499,"Deliver to Wrong Address")</f>
        <v/>
      </c>
      <c r="I11" s="10">
        <f>E11-SUM(F11:H11)</f>
        <v/>
      </c>
      <c r="J11" s="10" t="n">
        <v>3</v>
      </c>
      <c r="K11" s="10" t="inlineStr">
        <is>
          <t>No call / call log missing</t>
        </is>
      </c>
      <c r="L11" s="10" t="inlineStr">
        <is>
          <t>Coaching + POD audit</t>
        </is>
      </c>
    </row>
    <row r="12">
      <c r="A12" s="10" t="n">
        <v>8</v>
      </c>
      <c r="B12" s="10" t="inlineStr">
        <is>
          <t>SIM - ID - IMRANNN</t>
        </is>
      </c>
      <c r="C12" s="10" t="inlineStr">
        <is>
          <t>SIM</t>
        </is>
      </c>
      <c r="D12" s="10" t="inlineStr">
        <is>
          <t>ID (named driver)</t>
        </is>
      </c>
      <c r="E12" s="10">
        <f>COUNTIF(Cases!$I$2:$I$499,B12)</f>
        <v/>
      </c>
      <c r="F12" s="10">
        <f>COUNTIFS(Cases!$I$2:$I$499,$B12,Cases!$N$2:$N$499,"Fake Fail")</f>
        <v/>
      </c>
      <c r="G12" s="10">
        <f>COUNTIFS(Cases!$I$2:$I$499,$B12,Cases!$N$2:$N$499,"Fake Success")</f>
        <v/>
      </c>
      <c r="H12" s="10">
        <f>COUNTIFS(Cases!$I$2:$I$499,$B12,Cases!$N$2:$N$499,"Deliver to Wrong Address")</f>
        <v/>
      </c>
      <c r="I12" s="10">
        <f>E12-SUM(F12:H12)</f>
        <v/>
      </c>
      <c r="J12" s="10" t="n">
        <v>3</v>
      </c>
      <c r="K12" s="10" t="inlineStr">
        <is>
          <t>Customer disputes attempt</t>
        </is>
      </c>
      <c r="L12" s="10" t="inlineStr">
        <is>
          <t>Coaching + POD audit</t>
        </is>
      </c>
    </row>
    <row r="13">
      <c r="A13" s="10" t="n">
        <v>9</v>
      </c>
      <c r="B13" s="10" t="inlineStr">
        <is>
          <t>KEM - ID - CHOU</t>
        </is>
      </c>
      <c r="C13" s="10" t="inlineStr">
        <is>
          <t>KEM</t>
        </is>
      </c>
      <c r="D13" s="10" t="inlineStr">
        <is>
          <t>ID (named driver)</t>
        </is>
      </c>
      <c r="E13" s="10">
        <f>COUNTIF(Cases!$I$2:$I$499,B13)</f>
        <v/>
      </c>
      <c r="F13" s="10">
        <f>COUNTIFS(Cases!$I$2:$I$499,$B13,Cases!$N$2:$N$499,"Fake Fail")</f>
        <v/>
      </c>
      <c r="G13" s="10">
        <f>COUNTIFS(Cases!$I$2:$I$499,$B13,Cases!$N$2:$N$499,"Fake Success")</f>
        <v/>
      </c>
      <c r="H13" s="10">
        <f>COUNTIFS(Cases!$I$2:$I$499,$B13,Cases!$N$2:$N$499,"Deliver to Wrong Address")</f>
        <v/>
      </c>
      <c r="I13" s="10">
        <f>E13-SUM(F13:H13)</f>
        <v/>
      </c>
      <c r="J13" s="10" t="n">
        <v>3</v>
      </c>
      <c r="K13" s="10" t="inlineStr">
        <is>
          <t>Customer disputes attempt</t>
        </is>
      </c>
      <c r="L13" s="10" t="inlineStr">
        <is>
          <t>Coaching + POD audit</t>
        </is>
      </c>
    </row>
    <row r="14">
      <c r="A14" s="10" t="n">
        <v>10</v>
      </c>
      <c r="B14" s="10" t="inlineStr">
        <is>
          <t>BKM - ID - FIKRI</t>
        </is>
      </c>
      <c r="C14" s="10" t="inlineStr">
        <is>
          <t>BKM</t>
        </is>
      </c>
      <c r="D14" s="10" t="inlineStr">
        <is>
          <t>ID (named driver)</t>
        </is>
      </c>
      <c r="E14" s="10">
        <f>COUNTIF(Cases!$I$2:$I$499,B14)</f>
        <v/>
      </c>
      <c r="F14" s="10">
        <f>COUNTIFS(Cases!$I$2:$I$499,$B14,Cases!$N$2:$N$499,"Fake Fail")</f>
        <v/>
      </c>
      <c r="G14" s="10">
        <f>COUNTIFS(Cases!$I$2:$I$499,$B14,Cases!$N$2:$N$499,"Fake Success")</f>
        <v/>
      </c>
      <c r="H14" s="10">
        <f>COUNTIFS(Cases!$I$2:$I$499,$B14,Cases!$N$2:$N$499,"Deliver to Wrong Address")</f>
        <v/>
      </c>
      <c r="I14" s="10">
        <f>E14-SUM(F14:H14)</f>
        <v/>
      </c>
      <c r="J14" s="10" t="n">
        <v>2</v>
      </c>
      <c r="K14" s="10" t="inlineStr">
        <is>
          <t>Wrong number called</t>
        </is>
      </c>
      <c r="L14" s="10" t="inlineStr">
        <is>
          <t>Monitor / coaching</t>
        </is>
      </c>
    </row>
    <row r="15">
      <c r="A15" s="10" t="n">
        <v>11</v>
      </c>
      <c r="B15" s="10" t="inlineStr">
        <is>
          <t>OUG - ID - MUHAMAR</t>
        </is>
      </c>
      <c r="C15" s="10" t="inlineStr">
        <is>
          <t>OUG</t>
        </is>
      </c>
      <c r="D15" s="10" t="inlineStr">
        <is>
          <t>ID (named driver)</t>
        </is>
      </c>
      <c r="E15" s="10">
        <f>COUNTIF(Cases!$I$2:$I$499,B15)</f>
        <v/>
      </c>
      <c r="F15" s="10">
        <f>COUNTIFS(Cases!$I$2:$I$499,$B15,Cases!$N$2:$N$499,"Fake Fail")</f>
        <v/>
      </c>
      <c r="G15" s="10">
        <f>COUNTIFS(Cases!$I$2:$I$499,$B15,Cases!$N$2:$N$499,"Fake Success")</f>
        <v/>
      </c>
      <c r="H15" s="10">
        <f>COUNTIFS(Cases!$I$2:$I$499,$B15,Cases!$N$2:$N$499,"Deliver to Wrong Address")</f>
        <v/>
      </c>
      <c r="I15" s="10">
        <f>E15-SUM(F15:H15)</f>
        <v/>
      </c>
      <c r="J15" s="10" t="n">
        <v>2</v>
      </c>
      <c r="K15" s="10" t="inlineStr">
        <is>
          <t>Customer disputes attempt</t>
        </is>
      </c>
      <c r="L15" s="10" t="inlineStr">
        <is>
          <t>Monitor / coaching</t>
        </is>
      </c>
    </row>
    <row r="16">
      <c r="A16" s="10" t="n">
        <v>12</v>
      </c>
      <c r="B16" s="10" t="inlineStr">
        <is>
          <t>GEO - MES - ANWAR</t>
        </is>
      </c>
      <c r="C16" s="10" t="inlineStr">
        <is>
          <t>GEO</t>
        </is>
      </c>
      <c r="D16" s="10" t="inlineStr">
        <is>
          <t>Other coded</t>
        </is>
      </c>
      <c r="E16" s="10">
        <f>COUNTIF(Cases!$I$2:$I$499,B16)</f>
        <v/>
      </c>
      <c r="F16" s="10">
        <f>COUNTIFS(Cases!$I$2:$I$499,$B16,Cases!$N$2:$N$499,"Fake Fail")</f>
        <v/>
      </c>
      <c r="G16" s="10">
        <f>COUNTIFS(Cases!$I$2:$I$499,$B16,Cases!$N$2:$N$499,"Fake Success")</f>
        <v/>
      </c>
      <c r="H16" s="10">
        <f>COUNTIFS(Cases!$I$2:$I$499,$B16,Cases!$N$2:$N$499,"Deliver to Wrong Address")</f>
        <v/>
      </c>
      <c r="I16" s="10">
        <f>E16-SUM(F16:H16)</f>
        <v/>
      </c>
      <c r="J16" s="10" t="n">
        <v>2</v>
      </c>
      <c r="K16" s="10" t="inlineStr">
        <is>
          <t>—</t>
        </is>
      </c>
      <c r="L16" s="10" t="inlineStr">
        <is>
          <t>Monitor / coaching</t>
        </is>
      </c>
    </row>
    <row r="17">
      <c r="A17" s="10" t="n">
        <v>13</v>
      </c>
      <c r="B17" s="10" t="inlineStr">
        <is>
          <t>Norman Razak</t>
        </is>
      </c>
      <c r="C17" s="10" t="inlineStr">
        <is>
          <t>BTR</t>
        </is>
      </c>
      <c r="D17" s="10" t="inlineStr">
        <is>
          <t>Name only (no hub/code)</t>
        </is>
      </c>
      <c r="E17" s="10">
        <f>COUNTIF(Cases!$I$2:$I$499,B17)</f>
        <v/>
      </c>
      <c r="F17" s="10">
        <f>COUNTIFS(Cases!$I$2:$I$499,$B17,Cases!$N$2:$N$499,"Fake Fail")</f>
        <v/>
      </c>
      <c r="G17" s="10">
        <f>COUNTIFS(Cases!$I$2:$I$499,$B17,Cases!$N$2:$N$499,"Fake Success")</f>
        <v/>
      </c>
      <c r="H17" s="10">
        <f>COUNTIFS(Cases!$I$2:$I$499,$B17,Cases!$N$2:$N$499,"Deliver to Wrong Address")</f>
        <v/>
      </c>
      <c r="I17" s="10">
        <f>E17-SUM(F17:H17)</f>
        <v/>
      </c>
      <c r="J17" s="10" t="n">
        <v>2</v>
      </c>
      <c r="K17" s="10" t="inlineStr">
        <is>
          <t>—</t>
        </is>
      </c>
      <c r="L17" s="10" t="inlineStr">
        <is>
          <t>Monitor / coaching</t>
        </is>
      </c>
    </row>
    <row r="18">
      <c r="A18" s="10" t="n">
        <v>14</v>
      </c>
      <c r="B18" s="10" t="inlineStr">
        <is>
          <t>RWG - HR - NUR ZULAIKHA</t>
        </is>
      </c>
      <c r="C18" s="10" t="inlineStr">
        <is>
          <t>RWG</t>
        </is>
      </c>
      <c r="D18" s="10" t="inlineStr">
        <is>
          <t>HR (named)</t>
        </is>
      </c>
      <c r="E18" s="10">
        <f>COUNTIF(Cases!$I$2:$I$499,B18)</f>
        <v/>
      </c>
      <c r="F18" s="10">
        <f>COUNTIFS(Cases!$I$2:$I$499,$B18,Cases!$N$2:$N$499,"Fake Fail")</f>
        <v/>
      </c>
      <c r="G18" s="10">
        <f>COUNTIFS(Cases!$I$2:$I$499,$B18,Cases!$N$2:$N$499,"Fake Success")</f>
        <v/>
      </c>
      <c r="H18" s="10">
        <f>COUNTIFS(Cases!$I$2:$I$499,$B18,Cases!$N$2:$N$499,"Deliver to Wrong Address")</f>
        <v/>
      </c>
      <c r="I18" s="10">
        <f>E18-SUM(F18:H18)</f>
        <v/>
      </c>
      <c r="J18" s="10" t="n">
        <v>2</v>
      </c>
      <c r="K18" s="10" t="inlineStr">
        <is>
          <t>—</t>
        </is>
      </c>
      <c r="L18" s="10" t="inlineStr">
        <is>
          <t>Monitor / coaching</t>
        </is>
      </c>
    </row>
    <row r="19">
      <c r="A19" s="10" t="n">
        <v>15</v>
      </c>
      <c r="B19" s="10" t="inlineStr">
        <is>
          <t>IZRAFIL KADIR</t>
        </is>
      </c>
      <c r="C19" s="10" t="inlineStr">
        <is>
          <t>AUS</t>
        </is>
      </c>
      <c r="D19" s="10" t="inlineStr">
        <is>
          <t>Name only (no hub/code)</t>
        </is>
      </c>
      <c r="E19" s="10">
        <f>COUNTIF(Cases!$I$2:$I$499,B19)</f>
        <v/>
      </c>
      <c r="F19" s="10">
        <f>COUNTIFS(Cases!$I$2:$I$499,$B19,Cases!$N$2:$N$499,"Fake Fail")</f>
        <v/>
      </c>
      <c r="G19" s="10">
        <f>COUNTIFS(Cases!$I$2:$I$499,$B19,Cases!$N$2:$N$499,"Fake Success")</f>
        <v/>
      </c>
      <c r="H19" s="10">
        <f>COUNTIFS(Cases!$I$2:$I$499,$B19,Cases!$N$2:$N$499,"Deliver to Wrong Address")</f>
        <v/>
      </c>
      <c r="I19" s="10">
        <f>E19-SUM(F19:H19)</f>
        <v/>
      </c>
      <c r="J19" s="10" t="n">
        <v>2</v>
      </c>
      <c r="K19" s="10" t="inlineStr">
        <is>
          <t>—</t>
        </is>
      </c>
      <c r="L19" s="10" t="inlineStr">
        <is>
          <t>Monitor / coaching</t>
        </is>
      </c>
    </row>
    <row r="20">
      <c r="A20" s="10" t="n">
        <v>16</v>
      </c>
      <c r="B20" s="10" t="inlineStr">
        <is>
          <t>CJY - ID - RICHARD DASS</t>
        </is>
      </c>
      <c r="C20" s="10" t="inlineStr">
        <is>
          <t>CJY</t>
        </is>
      </c>
      <c r="D20" s="10" t="inlineStr">
        <is>
          <t>ID (named driver)</t>
        </is>
      </c>
      <c r="E20" s="10">
        <f>COUNTIF(Cases!$I$2:$I$499,B20)</f>
        <v/>
      </c>
      <c r="F20" s="10">
        <f>COUNTIFS(Cases!$I$2:$I$499,$B20,Cases!$N$2:$N$499,"Fake Fail")</f>
        <v/>
      </c>
      <c r="G20" s="10">
        <f>COUNTIFS(Cases!$I$2:$I$499,$B20,Cases!$N$2:$N$499,"Fake Success")</f>
        <v/>
      </c>
      <c r="H20" s="10">
        <f>COUNTIFS(Cases!$I$2:$I$499,$B20,Cases!$N$2:$N$499,"Deliver to Wrong Address")</f>
        <v/>
      </c>
      <c r="I20" s="10">
        <f>E20-SUM(F20:H20)</f>
        <v/>
      </c>
      <c r="J20" s="10" t="n">
        <v>2</v>
      </c>
      <c r="K20" s="10" t="inlineStr">
        <is>
          <t>—</t>
        </is>
      </c>
      <c r="L20" s="10" t="inlineStr">
        <is>
          <t>Monitor / coaching</t>
        </is>
      </c>
    </row>
    <row r="21">
      <c r="A21" s="10" t="n">
        <v>17</v>
      </c>
      <c r="B21" s="10" t="inlineStr">
        <is>
          <t>GEO - ID - SHAFIEQAAL</t>
        </is>
      </c>
      <c r="C21" s="10" t="inlineStr">
        <is>
          <t>GEO</t>
        </is>
      </c>
      <c r="D21" s="10" t="inlineStr">
        <is>
          <t>ID (named driver)</t>
        </is>
      </c>
      <c r="E21" s="10">
        <f>COUNTIF(Cases!$I$2:$I$499,B21)</f>
        <v/>
      </c>
      <c r="F21" s="10">
        <f>COUNTIFS(Cases!$I$2:$I$499,$B21,Cases!$N$2:$N$499,"Fake Fail")</f>
        <v/>
      </c>
      <c r="G21" s="10">
        <f>COUNTIFS(Cases!$I$2:$I$499,$B21,Cases!$N$2:$N$499,"Fake Success")</f>
        <v/>
      </c>
      <c r="H21" s="10">
        <f>COUNTIFS(Cases!$I$2:$I$499,$B21,Cases!$N$2:$N$499,"Deliver to Wrong Address")</f>
        <v/>
      </c>
      <c r="I21" s="10">
        <f>E21-SUM(F21:H21)</f>
        <v/>
      </c>
      <c r="J21" s="10" t="n">
        <v>2</v>
      </c>
      <c r="K21" s="10" t="inlineStr">
        <is>
          <t>—</t>
        </is>
      </c>
      <c r="L21" s="10" t="inlineStr">
        <is>
          <t>Monitor / coaching</t>
        </is>
      </c>
    </row>
    <row r="22">
      <c r="A22" s="10" t="n">
        <v>18</v>
      </c>
      <c r="B22" s="10" t="inlineStr">
        <is>
          <t>PTJ - ID - MOHD LUQMAN</t>
        </is>
      </c>
      <c r="C22" s="10" t="inlineStr">
        <is>
          <t>PTJ</t>
        </is>
      </c>
      <c r="D22" s="10" t="inlineStr">
        <is>
          <t>ID (named driver)</t>
        </is>
      </c>
      <c r="E22" s="10">
        <f>COUNTIF(Cases!$I$2:$I$499,B22)</f>
        <v/>
      </c>
      <c r="F22" s="10">
        <f>COUNTIFS(Cases!$I$2:$I$499,$B22,Cases!$N$2:$N$499,"Fake Fail")</f>
        <v/>
      </c>
      <c r="G22" s="10">
        <f>COUNTIFS(Cases!$I$2:$I$499,$B22,Cases!$N$2:$N$499,"Fake Success")</f>
        <v/>
      </c>
      <c r="H22" s="10">
        <f>COUNTIFS(Cases!$I$2:$I$499,$B22,Cases!$N$2:$N$499,"Deliver to Wrong Address")</f>
        <v/>
      </c>
      <c r="I22" s="10">
        <f>E22-SUM(F22:H22)</f>
        <v/>
      </c>
      <c r="J22" s="10" t="n">
        <v>2</v>
      </c>
      <c r="K22" s="10" t="inlineStr">
        <is>
          <t>—</t>
        </is>
      </c>
      <c r="L22" s="10" t="inlineStr">
        <is>
          <t>Monitor / coaching</t>
        </is>
      </c>
    </row>
    <row r="23">
      <c r="A23" s="10" t="n">
        <v>19</v>
      </c>
      <c r="B23" s="10" t="inlineStr">
        <is>
          <t>BTK - ID - KALA</t>
        </is>
      </c>
      <c r="C23" s="10" t="inlineStr">
        <is>
          <t>BTK</t>
        </is>
      </c>
      <c r="D23" s="10" t="inlineStr">
        <is>
          <t>ID (named driver)</t>
        </is>
      </c>
      <c r="E23" s="10">
        <f>COUNTIF(Cases!$I$2:$I$499,B23)</f>
        <v/>
      </c>
      <c r="F23" s="10">
        <f>COUNTIFS(Cases!$I$2:$I$499,$B23,Cases!$N$2:$N$499,"Fake Fail")</f>
        <v/>
      </c>
      <c r="G23" s="10">
        <f>COUNTIFS(Cases!$I$2:$I$499,$B23,Cases!$N$2:$N$499,"Fake Success")</f>
        <v/>
      </c>
      <c r="H23" s="10">
        <f>COUNTIFS(Cases!$I$2:$I$499,$B23,Cases!$N$2:$N$499,"Deliver to Wrong Address")</f>
        <v/>
      </c>
      <c r="I23" s="10">
        <f>E23-SUM(F23:H23)</f>
        <v/>
      </c>
      <c r="J23" s="10" t="n">
        <v>2</v>
      </c>
      <c r="K23" s="10" t="inlineStr">
        <is>
          <t>Invalid POD (no detail)</t>
        </is>
      </c>
      <c r="L23" s="10" t="inlineStr">
        <is>
          <t>Monitor / coaching</t>
        </is>
      </c>
    </row>
    <row r="24">
      <c r="A24" s="10" t="n">
        <v>20</v>
      </c>
      <c r="B24" s="10" t="inlineStr">
        <is>
          <t>LKN - ID - FADZLY</t>
        </is>
      </c>
      <c r="C24" s="10" t="inlineStr">
        <is>
          <t>LKN</t>
        </is>
      </c>
      <c r="D24" s="10" t="inlineStr">
        <is>
          <t>ID (named driver)</t>
        </is>
      </c>
      <c r="E24" s="10">
        <f>COUNTIF(Cases!$I$2:$I$499,B24)</f>
        <v/>
      </c>
      <c r="F24" s="10">
        <f>COUNTIFS(Cases!$I$2:$I$499,$B24,Cases!$N$2:$N$499,"Fake Fail")</f>
        <v/>
      </c>
      <c r="G24" s="10">
        <f>COUNTIFS(Cases!$I$2:$I$499,$B24,Cases!$N$2:$N$499,"Fake Success")</f>
        <v/>
      </c>
      <c r="H24" s="10">
        <f>COUNTIFS(Cases!$I$2:$I$499,$B24,Cases!$N$2:$N$499,"Deliver to Wrong Address")</f>
        <v/>
      </c>
      <c r="I24" s="10">
        <f>E24-SUM(F24:H24)</f>
        <v/>
      </c>
      <c r="J24" s="10" t="n">
        <v>2</v>
      </c>
      <c r="K24" s="10" t="inlineStr">
        <is>
          <t>Invalid call log (unspecified)</t>
        </is>
      </c>
      <c r="L24" s="10" t="inlineStr">
        <is>
          <t>Monitor / coaching</t>
        </is>
      </c>
    </row>
    <row r="25">
      <c r="A25" s="10" t="n">
        <v>21</v>
      </c>
      <c r="B25" s="10" t="inlineStr">
        <is>
          <t>BAY - ID - GOH SOO ENG</t>
        </is>
      </c>
      <c r="C25" s="10" t="inlineStr">
        <is>
          <t>BAY</t>
        </is>
      </c>
      <c r="D25" s="10" t="inlineStr">
        <is>
          <t>ID (named driver)</t>
        </is>
      </c>
      <c r="E25" s="10">
        <f>COUNTIF(Cases!$I$2:$I$499,B25)</f>
        <v/>
      </c>
      <c r="F25" s="10">
        <f>COUNTIFS(Cases!$I$2:$I$499,$B25,Cases!$N$2:$N$499,"Fake Fail")</f>
        <v/>
      </c>
      <c r="G25" s="10">
        <f>COUNTIFS(Cases!$I$2:$I$499,$B25,Cases!$N$2:$N$499,"Fake Success")</f>
        <v/>
      </c>
      <c r="H25" s="10">
        <f>COUNTIFS(Cases!$I$2:$I$499,$B25,Cases!$N$2:$N$499,"Deliver to Wrong Address")</f>
        <v/>
      </c>
      <c r="I25" s="10">
        <f>E25-SUM(F25:H25)</f>
        <v/>
      </c>
      <c r="J25" s="10" t="n">
        <v>2</v>
      </c>
      <c r="K25" s="10" t="inlineStr">
        <is>
          <t>Invalid call log (unspecified)</t>
        </is>
      </c>
      <c r="L25" s="10" t="inlineStr">
        <is>
          <t>Monitor / coaching</t>
        </is>
      </c>
    </row>
    <row r="26">
      <c r="A26" s="10" t="n">
        <v>22</v>
      </c>
      <c r="B26" s="10" t="inlineStr">
        <is>
          <t>GLG - ID - AHMAD ARSYHAD</t>
        </is>
      </c>
      <c r="C26" s="10" t="inlineStr">
        <is>
          <t>GLG</t>
        </is>
      </c>
      <c r="D26" s="10" t="inlineStr">
        <is>
          <t>ID (named driver)</t>
        </is>
      </c>
      <c r="E26" s="10">
        <f>COUNTIF(Cases!$I$2:$I$499,B26)</f>
        <v/>
      </c>
      <c r="F26" s="10">
        <f>COUNTIFS(Cases!$I$2:$I$499,$B26,Cases!$N$2:$N$499,"Fake Fail")</f>
        <v/>
      </c>
      <c r="G26" s="10">
        <f>COUNTIFS(Cases!$I$2:$I$499,$B26,Cases!$N$2:$N$499,"Fake Success")</f>
        <v/>
      </c>
      <c r="H26" s="10">
        <f>COUNTIFS(Cases!$I$2:$I$499,$B26,Cases!$N$2:$N$499,"Deliver to Wrong Address")</f>
        <v/>
      </c>
      <c r="I26" s="10">
        <f>E26-SUM(F26:H26)</f>
        <v/>
      </c>
      <c r="J26" s="10" t="n">
        <v>2</v>
      </c>
      <c r="K26" s="10" t="inlineStr">
        <is>
          <t>No call / call log missing</t>
        </is>
      </c>
      <c r="L26" s="10" t="inlineStr">
        <is>
          <t>Monitor / coaching</t>
        </is>
      </c>
    </row>
    <row r="27">
      <c r="A27" s="10" t="n">
        <v>23</v>
      </c>
      <c r="B27" s="10" t="inlineStr">
        <is>
          <t>CJY - ID - KHAIRUL AZMIL</t>
        </is>
      </c>
      <c r="C27" s="10" t="inlineStr">
        <is>
          <t>CJY</t>
        </is>
      </c>
      <c r="D27" s="10" t="inlineStr">
        <is>
          <t>ID (named driver)</t>
        </is>
      </c>
      <c r="E27" s="10">
        <f>COUNTIF(Cases!$I$2:$I$499,B27)</f>
        <v/>
      </c>
      <c r="F27" s="10">
        <f>COUNTIFS(Cases!$I$2:$I$499,$B27,Cases!$N$2:$N$499,"Fake Fail")</f>
        <v/>
      </c>
      <c r="G27" s="10">
        <f>COUNTIFS(Cases!$I$2:$I$499,$B27,Cases!$N$2:$N$499,"Fake Success")</f>
        <v/>
      </c>
      <c r="H27" s="10">
        <f>COUNTIFS(Cases!$I$2:$I$499,$B27,Cases!$N$2:$N$499,"Deliver to Wrong Address")</f>
        <v/>
      </c>
      <c r="I27" s="10">
        <f>E27-SUM(F27:H27)</f>
        <v/>
      </c>
      <c r="J27" s="10" t="n">
        <v>2</v>
      </c>
      <c r="K27" s="10" t="inlineStr">
        <is>
          <t>Invalid call log (unspecified)</t>
        </is>
      </c>
      <c r="L27" s="10" t="inlineStr">
        <is>
          <t>Monitor / coaching</t>
        </is>
      </c>
    </row>
    <row r="28">
      <c r="A28" s="10" t="n">
        <v>24</v>
      </c>
      <c r="B28" s="10" t="inlineStr">
        <is>
          <t>HTM - HD - SAFIQAH</t>
        </is>
      </c>
      <c r="C28" s="10" t="inlineStr">
        <is>
          <t>HTM</t>
        </is>
      </c>
      <c r="D28" s="10" t="inlineStr">
        <is>
          <t>HD (named)</t>
        </is>
      </c>
      <c r="E28" s="10">
        <f>COUNTIF(Cases!$I$2:$I$499,B28)</f>
        <v/>
      </c>
      <c r="F28" s="10">
        <f>COUNTIFS(Cases!$I$2:$I$499,$B28,Cases!$N$2:$N$499,"Fake Fail")</f>
        <v/>
      </c>
      <c r="G28" s="10">
        <f>COUNTIFS(Cases!$I$2:$I$499,$B28,Cases!$N$2:$N$499,"Fake Success")</f>
        <v/>
      </c>
      <c r="H28" s="10">
        <f>COUNTIFS(Cases!$I$2:$I$499,$B28,Cases!$N$2:$N$499,"Deliver to Wrong Address")</f>
        <v/>
      </c>
      <c r="I28" s="10">
        <f>E28-SUM(F28:H28)</f>
        <v/>
      </c>
      <c r="J28" s="10" t="n">
        <v>1</v>
      </c>
      <c r="K28" s="10" t="inlineStr">
        <is>
          <t>No call / call log missing</t>
        </is>
      </c>
      <c r="L28" s="10" t="inlineStr">
        <is>
          <t>Monitor / coaching</t>
        </is>
      </c>
    </row>
    <row r="29">
      <c r="A29" s="10" t="n">
        <v>25</v>
      </c>
      <c r="B29" s="10" t="inlineStr">
        <is>
          <t>SBW - ID - ZULHELMI</t>
        </is>
      </c>
      <c r="C29" s="10" t="inlineStr">
        <is>
          <t>SBW</t>
        </is>
      </c>
      <c r="D29" s="10" t="inlineStr">
        <is>
          <t>ID (named driver)</t>
        </is>
      </c>
      <c r="E29" s="10">
        <f>COUNTIF(Cases!$I$2:$I$499,B29)</f>
        <v/>
      </c>
      <c r="F29" s="10">
        <f>COUNTIFS(Cases!$I$2:$I$499,$B29,Cases!$N$2:$N$499,"Fake Fail")</f>
        <v/>
      </c>
      <c r="G29" s="10">
        <f>COUNTIFS(Cases!$I$2:$I$499,$B29,Cases!$N$2:$N$499,"Fake Success")</f>
        <v/>
      </c>
      <c r="H29" s="10">
        <f>COUNTIFS(Cases!$I$2:$I$499,$B29,Cases!$N$2:$N$499,"Deliver to Wrong Address")</f>
        <v/>
      </c>
      <c r="I29" s="10">
        <f>E29-SUM(F29:H29)</f>
        <v/>
      </c>
      <c r="J29" s="10" t="n">
        <v>1</v>
      </c>
      <c r="K29" s="10" t="inlineStr">
        <is>
          <t>Invalid call log (unspecified)</t>
        </is>
      </c>
      <c r="L29" s="10" t="inlineStr">
        <is>
          <t>Monitor / coaching</t>
        </is>
      </c>
    </row>
    <row r="30">
      <c r="A30" s="10" t="n">
        <v>26</v>
      </c>
      <c r="B30" s="10" t="inlineStr">
        <is>
          <t>BRP - ID - HAIRI</t>
        </is>
      </c>
      <c r="C30" s="10" t="inlineStr">
        <is>
          <t>BRP</t>
        </is>
      </c>
      <c r="D30" s="10" t="inlineStr">
        <is>
          <t>ID (named driver)</t>
        </is>
      </c>
      <c r="E30" s="10">
        <f>COUNTIF(Cases!$I$2:$I$499,B30)</f>
        <v/>
      </c>
      <c r="F30" s="10">
        <f>COUNTIFS(Cases!$I$2:$I$499,$B30,Cases!$N$2:$N$499,"Fake Fail")</f>
        <v/>
      </c>
      <c r="G30" s="10">
        <f>COUNTIFS(Cases!$I$2:$I$499,$B30,Cases!$N$2:$N$499,"Fake Success")</f>
        <v/>
      </c>
      <c r="H30" s="10">
        <f>COUNTIFS(Cases!$I$2:$I$499,$B30,Cases!$N$2:$N$499,"Deliver to Wrong Address")</f>
        <v/>
      </c>
      <c r="I30" s="10">
        <f>E30-SUM(F30:H30)</f>
        <v/>
      </c>
      <c r="J30" s="10" t="n">
        <v>2</v>
      </c>
      <c r="K30" s="10" t="inlineStr">
        <is>
          <t>Call not connected / no response</t>
        </is>
      </c>
      <c r="L30" s="10" t="inlineStr">
        <is>
          <t>Monitor / coaching</t>
        </is>
      </c>
    </row>
    <row r="31">
      <c r="A31" s="10" t="n">
        <v>27</v>
      </c>
      <c r="B31" s="10" t="inlineStr">
        <is>
          <t>KCH - ID - AFEQ DANIAL</t>
        </is>
      </c>
      <c r="C31" s="10" t="inlineStr">
        <is>
          <t>KCH</t>
        </is>
      </c>
      <c r="D31" s="10" t="inlineStr">
        <is>
          <t>ID (named driver)</t>
        </is>
      </c>
      <c r="E31" s="10">
        <f>COUNTIF(Cases!$I$2:$I$499,B31)</f>
        <v/>
      </c>
      <c r="F31" s="10">
        <f>COUNTIFS(Cases!$I$2:$I$499,$B31,Cases!$N$2:$N$499,"Fake Fail")</f>
        <v/>
      </c>
      <c r="G31" s="10">
        <f>COUNTIFS(Cases!$I$2:$I$499,$B31,Cases!$N$2:$N$499,"Fake Success")</f>
        <v/>
      </c>
      <c r="H31" s="10">
        <f>COUNTIFS(Cases!$I$2:$I$499,$B31,Cases!$N$2:$N$499,"Deliver to Wrong Address")</f>
        <v/>
      </c>
      <c r="I31" s="10">
        <f>E31-SUM(F31:H31)</f>
        <v/>
      </c>
      <c r="J31" s="10" t="n">
        <v>2</v>
      </c>
      <c r="K31" s="10" t="inlineStr">
        <is>
          <t>No call / call log missing</t>
        </is>
      </c>
      <c r="L31" s="10" t="inlineStr">
        <is>
          <t>Monitor / coaching</t>
        </is>
      </c>
    </row>
    <row r="32">
      <c r="A32" s="10" t="n">
        <v>28</v>
      </c>
      <c r="B32" s="10" t="inlineStr">
        <is>
          <t>MYY - ID - LEE YEW FOOK</t>
        </is>
      </c>
      <c r="C32" s="10" t="inlineStr">
        <is>
          <t>MYY</t>
        </is>
      </c>
      <c r="D32" s="10" t="inlineStr">
        <is>
          <t>ID (named driver)</t>
        </is>
      </c>
      <c r="E32" s="10">
        <f>COUNTIF(Cases!$I$2:$I$499,B32)</f>
        <v/>
      </c>
      <c r="F32" s="10">
        <f>COUNTIFS(Cases!$I$2:$I$499,$B32,Cases!$N$2:$N$499,"Fake Fail")</f>
        <v/>
      </c>
      <c r="G32" s="10">
        <f>COUNTIFS(Cases!$I$2:$I$499,$B32,Cases!$N$2:$N$499,"Fake Success")</f>
        <v/>
      </c>
      <c r="H32" s="10">
        <f>COUNTIFS(Cases!$I$2:$I$499,$B32,Cases!$N$2:$N$499,"Deliver to Wrong Address")</f>
        <v/>
      </c>
      <c r="I32" s="10">
        <f>E32-SUM(F32:H32)</f>
        <v/>
      </c>
      <c r="J32" s="10" t="n">
        <v>2</v>
      </c>
      <c r="K32" s="10" t="inlineStr">
        <is>
          <t>—</t>
        </is>
      </c>
      <c r="L32" s="10" t="inlineStr">
        <is>
          <t>Monitor / coaching</t>
        </is>
      </c>
    </row>
    <row r="33">
      <c r="A33" s="10" t="n">
        <v>29</v>
      </c>
      <c r="B33" s="10" t="inlineStr">
        <is>
          <t>MUA - HR - SYUKRIAHEZAN</t>
        </is>
      </c>
      <c r="C33" s="10" t="inlineStr">
        <is>
          <t>LKN</t>
        </is>
      </c>
      <c r="D33" s="10" t="inlineStr">
        <is>
          <t>HR (named)</t>
        </is>
      </c>
      <c r="E33" s="10">
        <f>COUNTIF(Cases!$I$2:$I$499,B33)</f>
        <v/>
      </c>
      <c r="F33" s="10">
        <f>COUNTIFS(Cases!$I$2:$I$499,$B33,Cases!$N$2:$N$499,"Fake Fail")</f>
        <v/>
      </c>
      <c r="G33" s="10">
        <f>COUNTIFS(Cases!$I$2:$I$499,$B33,Cases!$N$2:$N$499,"Fake Success")</f>
        <v/>
      </c>
      <c r="H33" s="10">
        <f>COUNTIFS(Cases!$I$2:$I$499,$B33,Cases!$N$2:$N$499,"Deliver to Wrong Address")</f>
        <v/>
      </c>
      <c r="I33" s="10">
        <f>E33-SUM(F33:H33)</f>
        <v/>
      </c>
      <c r="J33" s="10" t="n">
        <v>2</v>
      </c>
      <c r="K33" s="10" t="inlineStr">
        <is>
          <t>Call not connected / no response</t>
        </is>
      </c>
      <c r="L33" s="10" t="inlineStr">
        <is>
          <t>Monitor / coaching</t>
        </is>
      </c>
    </row>
    <row r="34">
      <c r="A34" s="10" t="n">
        <v>30</v>
      </c>
      <c r="B34" s="10" t="inlineStr">
        <is>
          <t>PJY - HD - RAZIQIN</t>
        </is>
      </c>
      <c r="C34" s="10" t="inlineStr">
        <is>
          <t>PJY</t>
        </is>
      </c>
      <c r="D34" s="10" t="inlineStr">
        <is>
          <t>HD (named)</t>
        </is>
      </c>
      <c r="E34" s="10">
        <f>COUNTIF(Cases!$I$2:$I$499,B34)</f>
        <v/>
      </c>
      <c r="F34" s="10">
        <f>COUNTIFS(Cases!$I$2:$I$499,$B34,Cases!$N$2:$N$499,"Fake Fail")</f>
        <v/>
      </c>
      <c r="G34" s="10">
        <f>COUNTIFS(Cases!$I$2:$I$499,$B34,Cases!$N$2:$N$499,"Fake Success")</f>
        <v/>
      </c>
      <c r="H34" s="10">
        <f>COUNTIFS(Cases!$I$2:$I$499,$B34,Cases!$N$2:$N$499,"Deliver to Wrong Address")</f>
        <v/>
      </c>
      <c r="I34" s="10">
        <f>E34-SUM(F34:H34)</f>
        <v/>
      </c>
      <c r="J34" s="10" t="n">
        <v>2</v>
      </c>
      <c r="K34" s="10" t="inlineStr">
        <is>
          <t>Call not connected / no response</t>
        </is>
      </c>
      <c r="L34" s="10" t="inlineStr">
        <is>
          <t>Monitor / coaching</t>
        </is>
      </c>
    </row>
    <row r="35">
      <c r="A35" s="10" t="n">
        <v>31</v>
      </c>
      <c r="B35" s="10" t="inlineStr">
        <is>
          <t>SYED HILMAN</t>
        </is>
      </c>
      <c r="C35" s="10" t="inlineStr">
        <is>
          <t>BRP</t>
        </is>
      </c>
      <c r="D35" s="10" t="inlineStr">
        <is>
          <t>Name only (no hub/code)</t>
        </is>
      </c>
      <c r="E35" s="10">
        <f>COUNTIF(Cases!$I$2:$I$499,B35)</f>
        <v/>
      </c>
      <c r="F35" s="10">
        <f>COUNTIFS(Cases!$I$2:$I$499,$B35,Cases!$N$2:$N$499,"Fake Fail")</f>
        <v/>
      </c>
      <c r="G35" s="10">
        <f>COUNTIFS(Cases!$I$2:$I$499,$B35,Cases!$N$2:$N$499,"Fake Success")</f>
        <v/>
      </c>
      <c r="H35" s="10">
        <f>COUNTIFS(Cases!$I$2:$I$499,$B35,Cases!$N$2:$N$499,"Deliver to Wrong Address")</f>
        <v/>
      </c>
      <c r="I35" s="10">
        <f>E35-SUM(F35:H35)</f>
        <v/>
      </c>
      <c r="J35" s="10" t="n">
        <v>1</v>
      </c>
      <c r="K35" s="10" t="inlineStr">
        <is>
          <t>—</t>
        </is>
      </c>
      <c r="L35" s="10" t="inlineStr">
        <is>
          <t>Monitor / coaching</t>
        </is>
      </c>
    </row>
    <row r="36">
      <c r="A36" s="10" t="n">
        <v>32</v>
      </c>
      <c r="B36" s="10" t="inlineStr">
        <is>
          <t>GEO - ID - AFI</t>
        </is>
      </c>
      <c r="C36" s="10" t="inlineStr">
        <is>
          <t>GEO</t>
        </is>
      </c>
      <c r="D36" s="10" t="inlineStr">
        <is>
          <t>ID (named driver)</t>
        </is>
      </c>
      <c r="E36" s="10">
        <f>COUNTIF(Cases!$I$2:$I$499,B36)</f>
        <v/>
      </c>
      <c r="F36" s="10">
        <f>COUNTIFS(Cases!$I$2:$I$499,$B36,Cases!$N$2:$N$499,"Fake Fail")</f>
        <v/>
      </c>
      <c r="G36" s="10">
        <f>COUNTIFS(Cases!$I$2:$I$499,$B36,Cases!$N$2:$N$499,"Fake Success")</f>
        <v/>
      </c>
      <c r="H36" s="10">
        <f>COUNTIFS(Cases!$I$2:$I$499,$B36,Cases!$N$2:$N$499,"Deliver to Wrong Address")</f>
        <v/>
      </c>
      <c r="I36" s="10">
        <f>E36-SUM(F36:H36)</f>
        <v/>
      </c>
      <c r="J36" s="10" t="n">
        <v>2</v>
      </c>
      <c r="K36" s="10" t="inlineStr">
        <is>
          <t>Wrong number called</t>
        </is>
      </c>
      <c r="L36" s="10" t="inlineStr">
        <is>
          <t>Monitor / coaching</t>
        </is>
      </c>
    </row>
    <row r="37">
      <c r="A37" s="10" t="n">
        <v>33</v>
      </c>
      <c r="B37" s="10" t="inlineStr">
        <is>
          <t>SUN - IR - ZULKIFLI</t>
        </is>
      </c>
      <c r="C37" s="10" t="inlineStr">
        <is>
          <t>SUN</t>
        </is>
      </c>
      <c r="D37" s="10" t="inlineStr">
        <is>
          <t>IR (named)</t>
        </is>
      </c>
      <c r="E37" s="10">
        <f>COUNTIF(Cases!$I$2:$I$499,B37)</f>
        <v/>
      </c>
      <c r="F37" s="10">
        <f>COUNTIFS(Cases!$I$2:$I$499,$B37,Cases!$N$2:$N$499,"Fake Fail")</f>
        <v/>
      </c>
      <c r="G37" s="10">
        <f>COUNTIFS(Cases!$I$2:$I$499,$B37,Cases!$N$2:$N$499,"Fake Success")</f>
        <v/>
      </c>
      <c r="H37" s="10">
        <f>COUNTIFS(Cases!$I$2:$I$499,$B37,Cases!$N$2:$N$499,"Deliver to Wrong Address")</f>
        <v/>
      </c>
      <c r="I37" s="10">
        <f>E37-SUM(F37:H37)</f>
        <v/>
      </c>
      <c r="J37" s="10" t="n">
        <v>2</v>
      </c>
      <c r="K37" s="10" t="inlineStr">
        <is>
          <t>Invalid call log (unspecified)</t>
        </is>
      </c>
      <c r="L37" s="10" t="inlineStr">
        <is>
          <t>Monitor / coaching</t>
        </is>
      </c>
    </row>
    <row r="38">
      <c r="A38" s="10" t="n">
        <v>34</v>
      </c>
      <c r="B38" s="10" t="inlineStr">
        <is>
          <t>BPT - ID - ZULHILMI S</t>
        </is>
      </c>
      <c r="C38" s="10" t="inlineStr">
        <is>
          <t>BPT</t>
        </is>
      </c>
      <c r="D38" s="10" t="inlineStr">
        <is>
          <t>ID (named driver)</t>
        </is>
      </c>
      <c r="E38" s="10">
        <f>COUNTIF(Cases!$I$2:$I$499,B38)</f>
        <v/>
      </c>
      <c r="F38" s="10">
        <f>COUNTIFS(Cases!$I$2:$I$499,$B38,Cases!$N$2:$N$499,"Fake Fail")</f>
        <v/>
      </c>
      <c r="G38" s="10">
        <f>COUNTIFS(Cases!$I$2:$I$499,$B38,Cases!$N$2:$N$499,"Fake Success")</f>
        <v/>
      </c>
      <c r="H38" s="10">
        <f>COUNTIFS(Cases!$I$2:$I$499,$B38,Cases!$N$2:$N$499,"Deliver to Wrong Address")</f>
        <v/>
      </c>
      <c r="I38" s="10">
        <f>E38-SUM(F38:H38)</f>
        <v/>
      </c>
      <c r="J38" s="10" t="n">
        <v>1</v>
      </c>
      <c r="K38" s="10" t="inlineStr">
        <is>
          <t>Invalid location / site photo</t>
        </is>
      </c>
      <c r="L38" s="10" t="inlineStr">
        <is>
          <t>Monitor / coaching</t>
        </is>
      </c>
    </row>
    <row r="40">
      <c r="A40" s="19" t="inlineStr">
        <is>
          <t>Suggested Action rule (analyst assumption): 4+ cases = escalate; 3 = coaching + POD audit; 2 = monitor. Distinct TIDs and root cause are hardcoded from the cleaned data.</t>
        </is>
      </c>
    </row>
  </sheetData>
  <conditionalFormatting sqref="E5:E38">
    <cfRule type="dataBar" priority="1">
      <dataBar>
        <cfvo type="num" val="0"/>
        <cfvo type="max"/>
        <color rgb="00C8102E"/>
      </dataBar>
    </cfRule>
  </conditionalFormatting>
  <pageMargins left="0.75" right="0.75" top="1" bottom="1" header="0.5" footer="0.5"/>
</worksheet>
</file>

<file path=xl/worksheets/sheet5.xml><?xml version="1.0" encoding="utf-8"?>
<worksheet xmlns="http://schemas.openxmlformats.org/spreadsheetml/2006/main">
  <sheetPr>
    <tabColor rgb="0098A2B3"/>
    <outlinePr summaryBelow="1" summaryRight="1"/>
    <pageSetUpPr/>
  </sheetPr>
  <dimension ref="A1:I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34" customWidth="1" min="3" max="3"/>
    <col width="7" customWidth="1" min="4" max="4"/>
    <col width="44" customWidth="1" min="5" max="5"/>
    <col width="13" customWidth="1" min="6" max="6"/>
    <col width="13" customWidth="1" min="7" max="7"/>
    <col width="8" customWidth="1" min="8" max="8"/>
    <col width="36" customWidth="1" min="9" max="9"/>
  </cols>
  <sheetData>
    <row r="1">
      <c r="A1" s="1" t="inlineStr">
        <is>
          <t>Repeat TIDs — same parcel logged more than once in W39</t>
        </is>
      </c>
    </row>
    <row r="2">
      <c r="A2" s="18" t="inlineStr">
        <is>
          <t>Either the same parcel was complained about again, or the same case was keyed in twice.</t>
        </is>
      </c>
    </row>
    <row r="4">
      <c r="A4" s="9" t="inlineStr">
        <is>
          <t>Tracking ID</t>
        </is>
      </c>
      <c r="B4" s="9" t="inlineStr">
        <is>
          <t>Times Logged</t>
        </is>
      </c>
      <c r="C4" s="9" t="inlineStr">
        <is>
          <t>Complaint Types</t>
        </is>
      </c>
      <c r="D4" s="9" t="inlineStr">
        <is>
          <t>Hub</t>
        </is>
      </c>
      <c r="E4" s="9" t="inlineStr">
        <is>
          <t>Driver(s) Named</t>
        </is>
      </c>
      <c r="F4" s="9" t="inlineStr">
        <is>
          <t>First Logged</t>
        </is>
      </c>
      <c r="G4" s="9" t="inlineStr">
        <is>
          <t>Last Logged</t>
        </is>
      </c>
      <c r="H4" s="9" t="inlineStr">
        <is>
          <t>Gap (hrs)</t>
        </is>
      </c>
      <c r="I4" s="9" t="inlineStr">
        <is>
          <t>Assessment</t>
        </is>
      </c>
    </row>
    <row r="5">
      <c r="A5" s="20" t="inlineStr">
        <is>
          <t>WNJMY00006942908</t>
        </is>
      </c>
      <c r="B5" s="20">
        <f>COUNTIF(Cases!$B$2:$B$499,A5)</f>
        <v/>
      </c>
      <c r="C5" s="20" t="inlineStr">
        <is>
          <t>Pull Out Route (POR) → Fake Fail → Pull Out Route (POR) → Fake Fail</t>
        </is>
      </c>
      <c r="D5" s="20" t="inlineStr">
        <is>
          <t>BKW</t>
        </is>
      </c>
      <c r="E5" s="20" t="inlineStr">
        <is>
          <t>BKW - OPS - SELFCOLLECT2 | BKW - OPS - SELFCOLLECT | Muqzamir Ahmad2 | aidilshazwan azamri</t>
        </is>
      </c>
      <c r="F5" s="21" t="n">
        <v>46287.72431712963</v>
      </c>
      <c r="G5" s="21" t="n">
        <v>46290.51127314815</v>
      </c>
      <c r="H5" s="20">
        <f>ROUND((G5-F5)*24,1)</f>
        <v/>
      </c>
      <c r="I5" s="20" t="inlineStr">
        <is>
          <t>Multiple failure types on same parcel</t>
        </is>
      </c>
    </row>
    <row r="6">
      <c r="A6" s="20" t="inlineStr">
        <is>
          <t>DEONL1549361821138235392</t>
        </is>
      </c>
      <c r="B6" s="20">
        <f>COUNTIF(Cases!$B$2:$B$499,A6)</f>
        <v/>
      </c>
      <c r="C6" s="20" t="inlineStr">
        <is>
          <t>Fake Fail → Fake Fail</t>
        </is>
      </c>
      <c r="D6" s="20" t="inlineStr">
        <is>
          <t>SBW</t>
        </is>
      </c>
      <c r="E6" s="20" t="inlineStr">
        <is>
          <t>SBW - ID - ZULHELMI</t>
        </is>
      </c>
      <c r="F6" s="21" t="n">
        <v>46287.70689814815</v>
      </c>
      <c r="G6" s="21" t="n">
        <v>46288.45856481481</v>
      </c>
      <c r="H6" s="20">
        <f>ROUND((G6-F6)*24,1)</f>
        <v/>
      </c>
      <c r="I6" s="20" t="inlineStr">
        <is>
          <t>Repeat complaint — escalate (issue not resolved after first case)</t>
        </is>
      </c>
    </row>
    <row r="7">
      <c r="A7" s="20" t="inlineStr">
        <is>
          <t>HAWAS1551423395595153408</t>
        </is>
      </c>
      <c r="B7" s="20">
        <f>COUNTIF(Cases!$B$2:$B$499,A7)</f>
        <v/>
      </c>
      <c r="C7" s="20" t="inlineStr">
        <is>
          <t>Fake Fail → Fake Fail</t>
        </is>
      </c>
      <c r="D7" s="20" t="inlineStr">
        <is>
          <t>BPT</t>
        </is>
      </c>
      <c r="E7" s="20" t="inlineStr">
        <is>
          <t>BPT - ID - ZULHILMI S</t>
        </is>
      </c>
      <c r="F7" s="21" t="n">
        <v>46290.38583333333</v>
      </c>
      <c r="G7" s="21" t="n">
        <v>46290.64542824074</v>
      </c>
      <c r="H7" s="20">
        <f>ROUND((G7-F7)*24,1)</f>
        <v/>
      </c>
      <c r="I7" s="20" t="inlineStr">
        <is>
          <t>Repeat complaint — escalate (issue not resolved after first case)</t>
        </is>
      </c>
    </row>
    <row r="8">
      <c r="A8" s="20" t="inlineStr">
        <is>
          <t>MAILB1547537792528531456</t>
        </is>
      </c>
      <c r="B8" s="20">
        <f>COUNTIF(Cases!$B$2:$B$499,A8)</f>
        <v/>
      </c>
      <c r="C8" s="20" t="inlineStr">
        <is>
          <t>Fake Success → Fake Success</t>
        </is>
      </c>
      <c r="D8" s="20" t="inlineStr">
        <is>
          <t>BRP</t>
        </is>
      </c>
      <c r="E8" s="20" t="inlineStr">
        <is>
          <t>SYED HILMAN</t>
        </is>
      </c>
      <c r="F8" s="21" t="n">
        <v>46288.73841435185</v>
      </c>
      <c r="G8" s="21" t="n">
        <v>46290.71291666666</v>
      </c>
      <c r="H8" s="20">
        <f>ROUND((G8-F8)*24,1)</f>
        <v/>
      </c>
      <c r="I8" s="20" t="inlineStr">
        <is>
          <t>Repeat complaint — escalate (issue not resolved after first case)</t>
        </is>
      </c>
    </row>
    <row r="9">
      <c r="A9" s="20" t="inlineStr">
        <is>
          <t>NVMYCOMOO000015506</t>
        </is>
      </c>
      <c r="B9" s="20">
        <f>COUNTIF(Cases!$B$2:$B$499,A9)</f>
        <v/>
      </c>
      <c r="C9" s="20" t="inlineStr">
        <is>
          <t>Fake Fail → Fake Fail</t>
        </is>
      </c>
      <c r="D9" s="20" t="inlineStr">
        <is>
          <t>GLG</t>
        </is>
      </c>
      <c r="E9" s="20" t="inlineStr">
        <is>
          <t>GLG - OPS - ENGKU | GLG - OPS - ENGKU | GLG - ID - AHMAD ARSYHAD</t>
        </is>
      </c>
      <c r="F9" s="21" t="n">
        <v>46286.67391203704</v>
      </c>
      <c r="G9" s="21" t="n">
        <v>46288.38541666666</v>
      </c>
      <c r="H9" s="20">
        <f>ROUND((G9-F9)*24,1)</f>
        <v/>
      </c>
      <c r="I9" s="20" t="inlineStr">
        <is>
          <t>Repeat complaint — escalate (issue not resolved after first case)</t>
        </is>
      </c>
    </row>
    <row r="10">
      <c r="A10" s="20" t="inlineStr">
        <is>
          <t>NVMYCRGMABP3888094</t>
        </is>
      </c>
      <c r="B10" s="20">
        <f>COUNTIF(Cases!$B$2:$B$499,A10)</f>
        <v/>
      </c>
      <c r="C10" s="20" t="inlineStr">
        <is>
          <t>Fake Fail → Fake Fail</t>
        </is>
      </c>
      <c r="D10" s="20" t="inlineStr">
        <is>
          <t>KEM</t>
        </is>
      </c>
      <c r="E10" s="20" t="inlineStr">
        <is>
          <t>OPS - KEM | BHU - FM - Mohammad Fahmi</t>
        </is>
      </c>
      <c r="F10" s="21" t="n">
        <v>46289.70456018519</v>
      </c>
      <c r="G10" s="21" t="n">
        <v>46291.40251157407</v>
      </c>
      <c r="H10" s="20">
        <f>ROUND((G10-F10)*24,1)</f>
        <v/>
      </c>
      <c r="I10" s="20" t="inlineStr">
        <is>
          <t>Repeat complaint — escalate (issue not resolved after first case)</t>
        </is>
      </c>
    </row>
    <row r="11">
      <c r="A11" s="20" t="inlineStr">
        <is>
          <t>NVMYMAOPT000056705</t>
        </is>
      </c>
      <c r="B11" s="20">
        <f>COUNTIF(Cases!$B$2:$B$499,A11)</f>
        <v/>
      </c>
      <c r="C11" s="20" t="inlineStr">
        <is>
          <t>Fake Fail → Pull Out Route (POR)</t>
        </is>
      </c>
      <c r="D11" s="20" t="inlineStr">
        <is>
          <t>PSG</t>
        </is>
      </c>
      <c r="E11" s="20" t="inlineStr">
        <is>
          <t>PSG - OPS | firdaus asri1</t>
        </is>
      </c>
      <c r="F11" s="21" t="n">
        <v>46290.59403935185</v>
      </c>
      <c r="G11" s="21" t="n">
        <v>46290.59504629629</v>
      </c>
      <c r="H11" s="20">
        <f>ROUND((G11-F11)*24,1)</f>
        <v/>
      </c>
      <c r="I11" s="20" t="inlineStr">
        <is>
          <t>Multiple failure types on same parcel</t>
        </is>
      </c>
    </row>
    <row r="12">
      <c r="A12" s="20" t="inlineStr">
        <is>
          <t>NVMYNINJA002510859</t>
        </is>
      </c>
      <c r="B12" s="20">
        <f>COUNTIF(Cases!$B$2:$B$499,A12)</f>
        <v/>
      </c>
      <c r="C12" s="20" t="inlineStr">
        <is>
          <t>Pull Out Route (POR) → Fake Fail</t>
        </is>
      </c>
      <c r="D12" s="20" t="inlineStr">
        <is>
          <t>BAG</t>
        </is>
      </c>
      <c r="E12" s="20" t="inlineStr">
        <is>
          <t>Adam Haris | BAG - OPS - ADAM</t>
        </is>
      </c>
      <c r="F12" s="21" t="n">
        <v>46286.49487268519</v>
      </c>
      <c r="G12" s="21" t="n">
        <v>46287.38800925926</v>
      </c>
      <c r="H12" s="20">
        <f>ROUND((G12-F12)*24,1)</f>
        <v/>
      </c>
      <c r="I12" s="20" t="inlineStr">
        <is>
          <t>Multiple failure types on same parcel</t>
        </is>
      </c>
    </row>
    <row r="13">
      <c r="A13" s="20" t="inlineStr">
        <is>
          <t>NVMYNINJA002518185</t>
        </is>
      </c>
      <c r="B13" s="20">
        <f>COUNTIF(Cases!$B$2:$B$499,A13)</f>
        <v/>
      </c>
      <c r="C13" s="20" t="inlineStr">
        <is>
          <t>Fake Fail → Fake Fail</t>
        </is>
      </c>
      <c r="D13" s="20" t="inlineStr">
        <is>
          <t>PJY</t>
        </is>
      </c>
      <c r="E13" s="20" t="inlineStr">
        <is>
          <t>OPS - PJY | PJY - HD - RAZIQIN</t>
        </is>
      </c>
      <c r="F13" s="21" t="n">
        <v>46287.52005787037</v>
      </c>
      <c r="G13" s="21" t="n">
        <v>46289.56884259259</v>
      </c>
      <c r="H13" s="20">
        <f>ROUND((G13-F13)*24,1)</f>
        <v/>
      </c>
      <c r="I13" s="20" t="inlineStr">
        <is>
          <t>Repeat complaint — escalate (issue not resolved after first case)</t>
        </is>
      </c>
    </row>
    <row r="14">
      <c r="A14" s="20" t="inlineStr">
        <is>
          <t>NVMYONEGA000042873</t>
        </is>
      </c>
      <c r="B14" s="20">
        <f>COUNTIF(Cases!$B$2:$B$499,A14)</f>
        <v/>
      </c>
      <c r="C14" s="20" t="inlineStr">
        <is>
          <t>Fake Fail → Fake Fail</t>
        </is>
      </c>
      <c r="D14" s="20" t="inlineStr">
        <is>
          <t>AUS</t>
        </is>
      </c>
      <c r="E14" s="20" t="inlineStr">
        <is>
          <t>OPSAUS | AUS - ID - NAZRULHADY</t>
        </is>
      </c>
      <c r="F14" s="21" t="n">
        <v>46288.56908564815</v>
      </c>
      <c r="G14" s="21" t="n">
        <v>46289.47954861111</v>
      </c>
      <c r="H14" s="20">
        <f>ROUND((G14-F14)*24,1)</f>
        <v/>
      </c>
      <c r="I14" s="20" t="inlineStr">
        <is>
          <t>Repeat complaint — escalate (issue not resolved after first case)</t>
        </is>
      </c>
    </row>
    <row r="15">
      <c r="A15" s="20" t="inlineStr">
        <is>
          <t>NVMYPZXMS000047975</t>
        </is>
      </c>
      <c r="B15" s="20">
        <f>COUNTIF(Cases!$B$2:$B$499,A15)</f>
        <v/>
      </c>
      <c r="C15" s="20" t="inlineStr">
        <is>
          <t>Fake Fail → Fake Fail</t>
        </is>
      </c>
      <c r="D15" s="20" t="inlineStr">
        <is>
          <t>MAS</t>
        </is>
      </c>
      <c r="E15" s="20" t="inlineStr">
        <is>
          <t>MAS - ID - EZLYANA | MAS - ID - SALMA</t>
        </is>
      </c>
      <c r="F15" s="21" t="n">
        <v>46286.50925925926</v>
      </c>
      <c r="G15" s="21" t="n">
        <v>46288.75320601852</v>
      </c>
      <c r="H15" s="20">
        <f>ROUND((G15-F15)*24,1)</f>
        <v/>
      </c>
      <c r="I15" s="20" t="inlineStr">
        <is>
          <t>Repeat complaint — escalate (issue not resolved after first case)</t>
        </is>
      </c>
    </row>
    <row r="16">
      <c r="A16" s="20" t="inlineStr">
        <is>
          <t>NVMYPZXMS000048159</t>
        </is>
      </c>
      <c r="B16" s="20">
        <f>COUNTIF(Cases!$B$2:$B$499,A16)</f>
        <v/>
      </c>
      <c r="C16" s="20" t="inlineStr">
        <is>
          <t>Fake Fail → Fake Fail</t>
        </is>
      </c>
      <c r="D16" s="20" t="inlineStr">
        <is>
          <t>PJY</t>
        </is>
      </c>
      <c r="E16" s="20" t="inlineStr">
        <is>
          <t>OPS - PJY | PJY - HD - RAZIQIN</t>
        </is>
      </c>
      <c r="F16" s="21" t="n">
        <v>46288.63371527778</v>
      </c>
      <c r="G16" s="21" t="n">
        <v>46288.63410879629</v>
      </c>
      <c r="H16" s="20">
        <f>ROUND((G16-F16)*24,1)</f>
        <v/>
      </c>
      <c r="I16" s="20" t="inlineStr">
        <is>
          <t>Likely double entry — dedupe</t>
        </is>
      </c>
    </row>
    <row r="17">
      <c r="A17" s="20" t="inlineStr">
        <is>
          <t>NVMYTEPIS000003833</t>
        </is>
      </c>
      <c r="B17" s="20">
        <f>COUNTIF(Cases!$B$2:$B$499,A17)</f>
        <v/>
      </c>
      <c r="C17" s="20" t="inlineStr">
        <is>
          <t>Fake Fail → Fake Fail</t>
        </is>
      </c>
      <c r="D17" s="20" t="inlineStr">
        <is>
          <t>HTM</t>
        </is>
      </c>
      <c r="E17" s="20" t="inlineStr">
        <is>
          <t>HTM - HD - SAFIQAH</t>
        </is>
      </c>
      <c r="F17" s="21" t="n">
        <v>46287.51136574074</v>
      </c>
      <c r="G17" s="21" t="n">
        <v>46290.35116898148</v>
      </c>
      <c r="H17" s="20">
        <f>ROUND((G17-F17)*24,1)</f>
        <v/>
      </c>
      <c r="I17" s="20" t="inlineStr">
        <is>
          <t>Repeat complaint — escalate (issue not resolved after first case)</t>
        </is>
      </c>
    </row>
    <row r="18">
      <c r="A18" s="20" t="inlineStr">
        <is>
          <t>NVMYZAFES000476028</t>
        </is>
      </c>
      <c r="B18" s="20">
        <f>COUNTIF(Cases!$B$2:$B$499,A18)</f>
        <v/>
      </c>
      <c r="C18" s="20" t="inlineStr">
        <is>
          <t>CMI (Can't Make It) → Fake Fail</t>
        </is>
      </c>
      <c r="D18" s="20" t="inlineStr">
        <is>
          <t>AUS</t>
        </is>
      </c>
      <c r="E18" s="20" t="inlineStr">
        <is>
          <t>IZRAFIL KADIR | OPSAUS | AUS - ID - TEY KOK HOW</t>
        </is>
      </c>
      <c r="F18" s="21" t="n">
        <v>46286.53064814815</v>
      </c>
      <c r="G18" s="21" t="n">
        <v>46288.5393287037</v>
      </c>
      <c r="H18" s="20">
        <f>ROUND((G18-F18)*24,1)</f>
        <v/>
      </c>
      <c r="I18" s="20" t="inlineStr">
        <is>
          <t>Multiple failure types on same parcel</t>
        </is>
      </c>
    </row>
    <row r="19">
      <c r="A19" s="20" t="inlineStr">
        <is>
          <t>TNGE126057319316659000</t>
        </is>
      </c>
      <c r="B19" s="20">
        <f>COUNTIF(Cases!$B$2:$B$499,A19)</f>
        <v/>
      </c>
      <c r="C19" s="20" t="inlineStr">
        <is>
          <t>Fake Fail → Fake Fail</t>
        </is>
      </c>
      <c r="D19" s="20" t="inlineStr">
        <is>
          <t>KEM</t>
        </is>
      </c>
      <c r="E19" s="20" t="inlineStr">
        <is>
          <t>OPS - KEM | MTG - FM - Shazwan Saupi</t>
        </is>
      </c>
      <c r="F19" s="21" t="n">
        <v>46289.67635416667</v>
      </c>
      <c r="G19" s="21" t="n">
        <v>46290.73988425926</v>
      </c>
      <c r="H19" s="20">
        <f>ROUND((G19-F19)*24,1)</f>
        <v/>
      </c>
      <c r="I19" s="20" t="inlineStr">
        <is>
          <t>Repeat complaint — escalate (issue not resolved after first case)</t>
        </is>
      </c>
    </row>
    <row r="20">
      <c r="A20" s="20" t="inlineStr">
        <is>
          <t>TNGE326040017388104080</t>
        </is>
      </c>
      <c r="B20" s="20">
        <f>COUNTIF(Cases!$B$2:$B$499,A20)</f>
        <v/>
      </c>
      <c r="C20" s="20" t="inlineStr">
        <is>
          <t>Fake Fail → Fake Fail</t>
        </is>
      </c>
      <c r="D20" s="20" t="inlineStr">
        <is>
          <t>BTR</t>
        </is>
      </c>
      <c r="E20" s="20" t="inlineStr">
        <is>
          <t>OPS - BTR | Ameer Jasni</t>
        </is>
      </c>
      <c r="F20" s="21" t="n">
        <v>46289.3725462963</v>
      </c>
      <c r="G20" s="21" t="n">
        <v>46289.37362268518</v>
      </c>
      <c r="H20" s="20">
        <f>ROUND((G20-F20)*24,1)</f>
        <v/>
      </c>
      <c r="I20" s="20" t="inlineStr">
        <is>
          <t>Likely double entry — dedupe</t>
        </is>
      </c>
    </row>
    <row r="21">
      <c r="A21" s="20" t="inlineStr">
        <is>
          <t>ZMP274355945-2588</t>
        </is>
      </c>
      <c r="B21" s="20">
        <f>COUNTIF(Cases!$B$2:$B$499,A21)</f>
        <v/>
      </c>
      <c r="C21" s="20" t="inlineStr">
        <is>
          <t>Fake Fail → Fake Fail</t>
        </is>
      </c>
      <c r="D21" s="20" t="inlineStr">
        <is>
          <t>SEG</t>
        </is>
      </c>
      <c r="E21" s="20" t="inlineStr">
        <is>
          <t>SEG - OPS - STATION HEAD</t>
        </is>
      </c>
      <c r="F21" s="21" t="n">
        <v>46287.48696759259</v>
      </c>
      <c r="G21" s="21" t="n">
        <v>46289.69674768519</v>
      </c>
      <c r="H21" s="20">
        <f>ROUND((G21-F21)*24,1)</f>
        <v/>
      </c>
      <c r="I21" s="20" t="inlineStr">
        <is>
          <t>Repeat complaint — escalate (issue not resolved after first case)</t>
        </is>
      </c>
    </row>
  </sheetData>
  <pageMargins left="0.75" right="0.75" top="1" bottom="1" header="0.5" footer="0.5"/>
</worksheet>
</file>

<file path=xl/worksheets/sheet6.xml><?xml version="1.0" encoding="utf-8"?>
<worksheet xmlns="http://schemas.openxmlformats.org/spreadsheetml/2006/main">
  <sheetPr>
    <tabColor rgb="00C8102E"/>
    <outlinePr summaryBelow="1" summaryRight="1"/>
    <pageSetUpPr/>
  </sheetPr>
  <dimension ref="A1:I4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6" customWidth="1" min="2" max="2"/>
    <col width="12" customWidth="1" min="3" max="3"/>
    <col width="40" customWidth="1" min="4" max="4"/>
    <col width="14" customWidth="1" min="5" max="5"/>
    <col width="16" customWidth="1" min="6" max="6"/>
    <col width="10" customWidth="1" min="7" max="7"/>
  </cols>
  <sheetData>
    <row r="1">
      <c r="A1" s="9" t="inlineStr">
        <is>
          <t>Tracking ID</t>
        </is>
      </c>
      <c r="B1" s="9" t="inlineStr">
        <is>
          <t>Global ID</t>
        </is>
      </c>
      <c r="C1" s="9" t="inlineStr">
        <is>
          <t>Prior Tag Count</t>
        </is>
      </c>
      <c r="D1" s="9" t="inlineStr">
        <is>
          <t>Prior Tag Names</t>
        </is>
      </c>
      <c r="E1" s="9" t="inlineStr">
        <is>
          <t>Latest Prior Tag Date</t>
        </is>
      </c>
      <c r="F1" s="9" t="inlineStr">
        <is>
          <t>First Logged in W39</t>
        </is>
      </c>
      <c r="G1" s="9" t="inlineStr">
        <is>
          <t>Cases in W39</t>
        </is>
      </c>
      <c r="I1" s="22" t="inlineStr">
        <is>
          <t>Yellow cells = paste Metabase results here (see "How to Sync").</t>
        </is>
      </c>
    </row>
    <row r="2">
      <c r="A2" s="10" t="inlineStr">
        <is>
          <t>TNGE126027128651727000</t>
        </is>
      </c>
      <c r="B2" s="23" t="n"/>
      <c r="C2" s="23" t="n"/>
      <c r="D2" s="23" t="n"/>
      <c r="E2" s="24" t="n"/>
      <c r="F2" s="25">
        <f>_xlfn.MINIFS(Cases!$D$2:$D$499,Cases!$B$2:$B$499,A2)</f>
        <v/>
      </c>
      <c r="G2" s="10">
        <f>COUNTIF(Cases!$B$2:$B$499,A2)</f>
        <v/>
      </c>
      <c r="I2" s="26" t="inlineStr">
        <is>
          <t>Prior Tag Count = tags applied to the order BEFORE the first W39 complaint (column F).</t>
        </is>
      </c>
    </row>
    <row r="3">
      <c r="A3" s="10" t="inlineStr">
        <is>
          <t>ZMP299487945-2851</t>
        </is>
      </c>
      <c r="B3" s="23" t="n"/>
      <c r="C3" s="23" t="n"/>
      <c r="D3" s="23" t="n"/>
      <c r="E3" s="24" t="n"/>
      <c r="F3" s="25">
        <f>_xlfn.MINIFS(Cases!$D$2:$D$499,Cases!$B$2:$B$499,A3)</f>
        <v/>
      </c>
      <c r="G3" s="10">
        <f>COUNTIF(Cases!$B$2:$B$499,A3)</f>
        <v/>
      </c>
      <c r="I3" s="26" t="inlineStr">
        <is>
          <t>Everything in Cases / Summary updates automatically once these are filled.</t>
        </is>
      </c>
    </row>
    <row r="4">
      <c r="A4" s="10" t="inlineStr">
        <is>
          <t>TNGE126027145702566000</t>
        </is>
      </c>
      <c r="B4" s="23" t="n"/>
      <c r="C4" s="23" t="n"/>
      <c r="D4" s="23" t="n"/>
      <c r="E4" s="24" t="n"/>
      <c r="F4" s="25">
        <f>_xlfn.MINIFS(Cases!$D$2:$D$499,Cases!$B$2:$B$499,A4)</f>
        <v/>
      </c>
      <c r="G4" s="10">
        <f>COUNTIF(Cases!$B$2:$B$499,A4)</f>
        <v/>
      </c>
    </row>
    <row r="5">
      <c r="A5" s="10" t="inlineStr">
        <is>
          <t>NVIDSPMLL000000202</t>
        </is>
      </c>
      <c r="B5" s="23" t="n"/>
      <c r="C5" s="23" t="n"/>
      <c r="D5" s="23" t="n"/>
      <c r="E5" s="24" t="n"/>
      <c r="F5" s="25">
        <f>_xlfn.MINIFS(Cases!$D$2:$D$499,Cases!$B$2:$B$499,A5)</f>
        <v/>
      </c>
      <c r="G5" s="10">
        <f>COUNTIF(Cases!$B$2:$B$499,A5)</f>
        <v/>
      </c>
    </row>
    <row r="6">
      <c r="A6" s="10" t="inlineStr">
        <is>
          <t>TNGDV2609146889176270</t>
        </is>
      </c>
      <c r="B6" s="23" t="n"/>
      <c r="C6" s="23" t="n"/>
      <c r="D6" s="23" t="n"/>
      <c r="E6" s="24" t="n"/>
      <c r="F6" s="25">
        <f>_xlfn.MINIFS(Cases!$D$2:$D$499,Cases!$B$2:$B$499,A6)</f>
        <v/>
      </c>
      <c r="G6" s="10">
        <f>COUNTIF(Cases!$B$2:$B$499,A6)</f>
        <v/>
      </c>
    </row>
    <row r="7">
      <c r="A7" s="10" t="inlineStr">
        <is>
          <t>FAEYE1546375134655770624</t>
        </is>
      </c>
      <c r="B7" s="23" t="n"/>
      <c r="C7" s="23" t="n"/>
      <c r="D7" s="23" t="n"/>
      <c r="E7" s="24" t="n"/>
      <c r="F7" s="25">
        <f>_xlfn.MINIFS(Cases!$D$2:$D$499,Cases!$B$2:$B$499,A7)</f>
        <v/>
      </c>
      <c r="G7" s="10">
        <f>COUNTIF(Cases!$B$2:$B$499,A7)</f>
        <v/>
      </c>
    </row>
    <row r="8">
      <c r="A8" s="10" t="inlineStr">
        <is>
          <t>NVMYSOUPE000000897</t>
        </is>
      </c>
      <c r="B8" s="23" t="n"/>
      <c r="C8" s="23" t="n"/>
      <c r="D8" s="23" t="n"/>
      <c r="E8" s="24" t="n"/>
      <c r="F8" s="25">
        <f>_xlfn.MINIFS(Cases!$D$2:$D$499,Cases!$B$2:$B$499,A8)</f>
        <v/>
      </c>
      <c r="G8" s="10">
        <f>COUNTIF(Cases!$B$2:$B$499,A8)</f>
        <v/>
      </c>
    </row>
    <row r="9">
      <c r="A9" s="10" t="inlineStr">
        <is>
          <t>TESMX1550062495809400832</t>
        </is>
      </c>
      <c r="B9" s="23" t="n"/>
      <c r="C9" s="23" t="n"/>
      <c r="D9" s="23" t="n"/>
      <c r="E9" s="24" t="n"/>
      <c r="F9" s="25">
        <f>_xlfn.MINIFS(Cases!$D$2:$D$499,Cases!$B$2:$B$499,A9)</f>
        <v/>
      </c>
      <c r="G9" s="10">
        <f>COUNTIF(Cases!$B$2:$B$499,A9)</f>
        <v/>
      </c>
    </row>
    <row r="10">
      <c r="A10" s="10" t="inlineStr">
        <is>
          <t>TNGSB125896319766994000</t>
        </is>
      </c>
      <c r="B10" s="23" t="n"/>
      <c r="C10" s="23" t="n"/>
      <c r="D10" s="23" t="n"/>
      <c r="E10" s="24" t="n"/>
      <c r="F10" s="25">
        <f>_xlfn.MINIFS(Cases!$D$2:$D$499,Cases!$B$2:$B$499,A10)</f>
        <v/>
      </c>
      <c r="G10" s="10">
        <f>COUNTIF(Cases!$B$2:$B$499,A10)</f>
        <v/>
      </c>
    </row>
    <row r="11">
      <c r="A11" s="10" t="inlineStr">
        <is>
          <t>NVMYTRADE014219299</t>
        </is>
      </c>
      <c r="B11" s="23" t="n"/>
      <c r="C11" s="23" t="n"/>
      <c r="D11" s="23" t="n"/>
      <c r="E11" s="24" t="n"/>
      <c r="F11" s="25">
        <f>_xlfn.MINIFS(Cases!$D$2:$D$499,Cases!$B$2:$B$499,A11)</f>
        <v/>
      </c>
      <c r="G11" s="10">
        <f>COUNTIF(Cases!$B$2:$B$499,A11)</f>
        <v/>
      </c>
    </row>
    <row r="12">
      <c r="A12" s="10" t="inlineStr">
        <is>
          <t>NVMYNINJA002502078</t>
        </is>
      </c>
      <c r="B12" s="23" t="n"/>
      <c r="C12" s="23" t="n"/>
      <c r="D12" s="23" t="n"/>
      <c r="E12" s="24" t="n"/>
      <c r="F12" s="25">
        <f>_xlfn.MINIFS(Cases!$D$2:$D$499,Cases!$B$2:$B$499,A12)</f>
        <v/>
      </c>
      <c r="G12" s="10">
        <f>COUNTIF(Cases!$B$2:$B$499,A12)</f>
        <v/>
      </c>
    </row>
    <row r="13">
      <c r="A13" s="10" t="inlineStr">
        <is>
          <t>MANIR1548139880832774144</t>
        </is>
      </c>
      <c r="B13" s="23" t="n"/>
      <c r="C13" s="23" t="n"/>
      <c r="D13" s="23" t="n"/>
      <c r="E13" s="24" t="n"/>
      <c r="F13" s="25">
        <f>_xlfn.MINIFS(Cases!$D$2:$D$499,Cases!$B$2:$B$499,A13)</f>
        <v/>
      </c>
      <c r="G13" s="10">
        <f>COUNTIF(Cases!$B$2:$B$499,A13)</f>
        <v/>
      </c>
    </row>
    <row r="14">
      <c r="A14" s="10" t="inlineStr">
        <is>
          <t>ECFPLXX021424715</t>
        </is>
      </c>
      <c r="B14" s="23" t="n"/>
      <c r="C14" s="23" t="n"/>
      <c r="D14" s="23" t="n"/>
      <c r="E14" s="24" t="n"/>
      <c r="F14" s="25">
        <f>_xlfn.MINIFS(Cases!$D$2:$D$499,Cases!$B$2:$B$499,A14)</f>
        <v/>
      </c>
      <c r="G14" s="10">
        <f>COUNTIF(Cases!$B$2:$B$499,A14)</f>
        <v/>
      </c>
    </row>
    <row r="15">
      <c r="A15" s="10" t="inlineStr">
        <is>
          <t>MYNJV70088695348</t>
        </is>
      </c>
      <c r="B15" s="23" t="n"/>
      <c r="C15" s="23" t="n"/>
      <c r="D15" s="23" t="n"/>
      <c r="E15" s="24" t="n"/>
      <c r="F15" s="25">
        <f>_xlfn.MINIFS(Cases!$D$2:$D$499,Cases!$B$2:$B$499,A15)</f>
        <v/>
      </c>
      <c r="G15" s="10">
        <f>COUNTIF(Cases!$B$2:$B$499,A15)</f>
        <v/>
      </c>
    </row>
    <row r="16">
      <c r="A16" s="10" t="inlineStr">
        <is>
          <t>CHVIN000010477</t>
        </is>
      </c>
      <c r="B16" s="23" t="n"/>
      <c r="C16" s="23" t="n"/>
      <c r="D16" s="23" t="n"/>
      <c r="E16" s="24" t="n"/>
      <c r="F16" s="25">
        <f>_xlfn.MINIFS(Cases!$D$2:$D$499,Cases!$B$2:$B$499,A16)</f>
        <v/>
      </c>
      <c r="G16" s="10">
        <f>COUNTIF(Cases!$B$2:$B$499,A16)</f>
        <v/>
      </c>
    </row>
    <row r="17">
      <c r="A17" s="10" t="inlineStr">
        <is>
          <t>ZNV252917945-9837</t>
        </is>
      </c>
      <c r="B17" s="23" t="n"/>
      <c r="C17" s="23" t="n"/>
      <c r="D17" s="23" t="n"/>
      <c r="E17" s="24" t="n"/>
      <c r="F17" s="25">
        <f>_xlfn.MINIFS(Cases!$D$2:$D$499,Cases!$B$2:$B$499,A17)</f>
        <v/>
      </c>
      <c r="G17" s="10">
        <f>COUNTIF(Cases!$B$2:$B$499,A17)</f>
        <v/>
      </c>
    </row>
    <row r="18">
      <c r="A18" s="10" t="inlineStr">
        <is>
          <t>NVMYTRADE014220750NVMYTRADE014220720</t>
        </is>
      </c>
      <c r="B18" s="23" t="n"/>
      <c r="C18" s="23" t="n"/>
      <c r="D18" s="23" t="n"/>
      <c r="E18" s="24" t="n"/>
      <c r="F18" s="25">
        <f>_xlfn.MINIFS(Cases!$D$2:$D$499,Cases!$B$2:$B$499,A18)</f>
        <v/>
      </c>
      <c r="G18" s="10">
        <f>COUNTIF(Cases!$B$2:$B$499,A18)</f>
        <v/>
      </c>
    </row>
    <row r="19">
      <c r="A19" s="10" t="inlineStr">
        <is>
          <t>TNGE126027123707211000</t>
        </is>
      </c>
      <c r="B19" s="23" t="n"/>
      <c r="C19" s="23" t="n"/>
      <c r="D19" s="23" t="n"/>
      <c r="E19" s="24" t="n"/>
      <c r="F19" s="25">
        <f>_xlfn.MINIFS(Cases!$D$2:$D$499,Cases!$B$2:$B$499,A19)</f>
        <v/>
      </c>
      <c r="G19" s="10">
        <f>COUNTIF(Cases!$B$2:$B$499,A19)</f>
        <v/>
      </c>
    </row>
    <row r="20">
      <c r="A20" s="10" t="inlineStr">
        <is>
          <t>TESMX1549981438514819072</t>
        </is>
      </c>
      <c r="B20" s="23" t="n"/>
      <c r="C20" s="23" t="n"/>
      <c r="D20" s="23" t="n"/>
      <c r="E20" s="24" t="n"/>
      <c r="F20" s="25">
        <f>_xlfn.MINIFS(Cases!$D$2:$D$499,Cases!$B$2:$B$499,A20)</f>
        <v/>
      </c>
      <c r="G20" s="10">
        <f>COUNTIF(Cases!$B$2:$B$499,A20)</f>
        <v/>
      </c>
    </row>
    <row r="21">
      <c r="A21" s="10" t="inlineStr">
        <is>
          <t>ZRP859473225359</t>
        </is>
      </c>
      <c r="B21" s="23" t="n"/>
      <c r="C21" s="23" t="n"/>
      <c r="D21" s="23" t="n"/>
      <c r="E21" s="24" t="n"/>
      <c r="F21" s="25">
        <f>_xlfn.MINIFS(Cases!$D$2:$D$499,Cases!$B$2:$B$499,A21)</f>
        <v/>
      </c>
      <c r="G21" s="10">
        <f>COUNTIF(Cases!$B$2:$B$499,A21)</f>
        <v/>
      </c>
    </row>
    <row r="22">
      <c r="A22" s="10" t="inlineStr">
        <is>
          <t>NVMYPSITI000008262</t>
        </is>
      </c>
      <c r="B22" s="23" t="n"/>
      <c r="C22" s="23" t="n"/>
      <c r="D22" s="23" t="n"/>
      <c r="E22" s="24" t="n"/>
      <c r="F22" s="25">
        <f>_xlfn.MINIFS(Cases!$D$2:$D$499,Cases!$B$2:$B$499,A22)</f>
        <v/>
      </c>
      <c r="G22" s="10">
        <f>COUNTIF(Cases!$B$2:$B$499,A22)</f>
        <v/>
      </c>
    </row>
    <row r="23">
      <c r="A23" s="10" t="inlineStr">
        <is>
          <t>NVMYMZ0N3000028117</t>
        </is>
      </c>
      <c r="B23" s="23" t="n"/>
      <c r="C23" s="23" t="n"/>
      <c r="D23" s="23" t="n"/>
      <c r="E23" s="24" t="n"/>
      <c r="F23" s="25">
        <f>_xlfn.MINIFS(Cases!$D$2:$D$499,Cases!$B$2:$B$499,A23)</f>
        <v/>
      </c>
      <c r="G23" s="10">
        <f>COUNTIF(Cases!$B$2:$B$499,A23)</f>
        <v/>
      </c>
    </row>
    <row r="24">
      <c r="A24" s="10" t="inlineStr">
        <is>
          <t>ZNV253317945-1886</t>
        </is>
      </c>
      <c r="B24" s="23" t="n"/>
      <c r="C24" s="23" t="n"/>
      <c r="D24" s="23" t="n"/>
      <c r="E24" s="24" t="n"/>
      <c r="F24" s="25">
        <f>_xlfn.MINIFS(Cases!$D$2:$D$499,Cases!$B$2:$B$499,A24)</f>
        <v/>
      </c>
      <c r="G24" s="10">
        <f>COUNTIF(Cases!$B$2:$B$499,A24)</f>
        <v/>
      </c>
    </row>
    <row r="25">
      <c r="A25" s="10" t="inlineStr">
        <is>
          <t>ZRP859373225311</t>
        </is>
      </c>
      <c r="B25" s="23" t="n"/>
      <c r="C25" s="23" t="n"/>
      <c r="D25" s="23" t="n"/>
      <c r="E25" s="24" t="n"/>
      <c r="F25" s="25">
        <f>_xlfn.MINIFS(Cases!$D$2:$D$499,Cases!$B$2:$B$499,A25)</f>
        <v/>
      </c>
      <c r="G25" s="10">
        <f>COUNTIF(Cases!$B$2:$B$499,A25)</f>
        <v/>
      </c>
    </row>
    <row r="26">
      <c r="A26" s="10" t="inlineStr">
        <is>
          <t>ZNV946823440-8240-BKS</t>
        </is>
      </c>
      <c r="B26" s="23" t="n"/>
      <c r="C26" s="23" t="n"/>
      <c r="D26" s="23" t="n"/>
      <c r="E26" s="24" t="n"/>
      <c r="F26" s="25">
        <f>_xlfn.MINIFS(Cases!$D$2:$D$499,Cases!$B$2:$B$499,A26)</f>
        <v/>
      </c>
      <c r="G26" s="10">
        <f>COUNTIF(Cases!$B$2:$B$499,A26)</f>
        <v/>
      </c>
    </row>
    <row r="27">
      <c r="A27" s="10" t="inlineStr">
        <is>
          <t>ZMYITJ6MMPDS-2777789</t>
        </is>
      </c>
      <c r="B27" s="23" t="n"/>
      <c r="C27" s="23" t="n"/>
      <c r="D27" s="23" t="n"/>
      <c r="E27" s="24" t="n"/>
      <c r="F27" s="25">
        <f>_xlfn.MINIFS(Cases!$D$2:$D$499,Cases!$B$2:$B$499,A27)</f>
        <v/>
      </c>
      <c r="G27" s="10">
        <f>COUNTIF(Cases!$B$2:$B$499,A27)</f>
        <v/>
      </c>
    </row>
    <row r="28">
      <c r="A28" s="10" t="inlineStr">
        <is>
          <t>ZNV946832382-8599</t>
        </is>
      </c>
      <c r="B28" s="23" t="n"/>
      <c r="C28" s="23" t="n"/>
      <c r="D28" s="23" t="n"/>
      <c r="E28" s="24" t="n"/>
      <c r="F28" s="25">
        <f>_xlfn.MINIFS(Cases!$D$2:$D$499,Cases!$B$2:$B$499,A28)</f>
        <v/>
      </c>
      <c r="G28" s="10">
        <f>COUNTIF(Cases!$B$2:$B$499,A28)</f>
        <v/>
      </c>
    </row>
    <row r="29">
      <c r="A29" s="10" t="inlineStr">
        <is>
          <t>TNGDV2609136945139660</t>
        </is>
      </c>
      <c r="B29" s="23" t="n"/>
      <c r="C29" s="23" t="n"/>
      <c r="D29" s="23" t="n"/>
      <c r="E29" s="24" t="n"/>
      <c r="F29" s="25">
        <f>_xlfn.MINIFS(Cases!$D$2:$D$499,Cases!$B$2:$B$499,A29)</f>
        <v/>
      </c>
      <c r="G29" s="10">
        <f>COUNTIF(Cases!$B$2:$B$499,A29)</f>
        <v/>
      </c>
    </row>
    <row r="30">
      <c r="A30" s="10" t="inlineStr">
        <is>
          <t>NVMYHILAL00HL23336</t>
        </is>
      </c>
      <c r="B30" s="23" t="n"/>
      <c r="C30" s="23" t="n"/>
      <c r="D30" s="23" t="n"/>
      <c r="E30" s="24" t="n"/>
      <c r="F30" s="25">
        <f>_xlfn.MINIFS(Cases!$D$2:$D$499,Cases!$B$2:$B$499,A30)</f>
        <v/>
      </c>
      <c r="G30" s="10">
        <f>COUNTIF(Cases!$B$2:$B$499,A30)</f>
        <v/>
      </c>
    </row>
    <row r="31">
      <c r="A31" s="10" t="inlineStr">
        <is>
          <t>NLMYWA04659534</t>
        </is>
      </c>
      <c r="B31" s="23" t="n"/>
      <c r="C31" s="23" t="n"/>
      <c r="D31" s="23" t="n"/>
      <c r="E31" s="24" t="n"/>
      <c r="F31" s="25">
        <f>_xlfn.MINIFS(Cases!$D$2:$D$499,Cases!$B$2:$B$499,A31)</f>
        <v/>
      </c>
      <c r="G31" s="10">
        <f>COUNTIF(Cases!$B$2:$B$499,A31)</f>
        <v/>
      </c>
    </row>
    <row r="32">
      <c r="A32" s="10" t="inlineStr">
        <is>
          <t>NVMYKILATWK0076807</t>
        </is>
      </c>
      <c r="B32" s="23" t="n"/>
      <c r="C32" s="23" t="n"/>
      <c r="D32" s="23" t="n"/>
      <c r="E32" s="24" t="n"/>
      <c r="F32" s="25">
        <f>_xlfn.MINIFS(Cases!$D$2:$D$499,Cases!$B$2:$B$499,A32)</f>
        <v/>
      </c>
      <c r="G32" s="10">
        <f>COUNTIF(Cases!$B$2:$B$499,A32)</f>
        <v/>
      </c>
    </row>
    <row r="33">
      <c r="A33" s="10" t="inlineStr">
        <is>
          <t>AMNV005963959</t>
        </is>
      </c>
      <c r="B33" s="23" t="n"/>
      <c r="C33" s="23" t="n"/>
      <c r="D33" s="23" t="n"/>
      <c r="E33" s="24" t="n"/>
      <c r="F33" s="25">
        <f>_xlfn.MINIFS(Cases!$D$2:$D$499,Cases!$B$2:$B$499,A33)</f>
        <v/>
      </c>
      <c r="G33" s="10">
        <f>COUNTIF(Cases!$B$2:$B$499,A33)</f>
        <v/>
      </c>
    </row>
    <row r="34">
      <c r="A34" s="10" t="inlineStr">
        <is>
          <t>ADI111550482187476107264</t>
        </is>
      </c>
      <c r="B34" s="23" t="n"/>
      <c r="C34" s="23" t="n"/>
      <c r="D34" s="23" t="n"/>
      <c r="E34" s="24" t="n"/>
      <c r="F34" s="25">
        <f>_xlfn.MINIFS(Cases!$D$2:$D$499,Cases!$B$2:$B$499,A34)</f>
        <v/>
      </c>
      <c r="G34" s="10">
        <f>COUNTIF(Cases!$B$2:$B$499,A34)</f>
        <v/>
      </c>
    </row>
    <row r="35">
      <c r="A35" s="10" t="inlineStr">
        <is>
          <t>MAILB1549313460283060224</t>
        </is>
      </c>
      <c r="B35" s="23" t="n"/>
      <c r="C35" s="23" t="n"/>
      <c r="D35" s="23" t="n"/>
      <c r="E35" s="24" t="n"/>
      <c r="F35" s="25">
        <f>_xlfn.MINIFS(Cases!$D$2:$D$499,Cases!$B$2:$B$499,A35)</f>
        <v/>
      </c>
      <c r="G35" s="10">
        <f>COUNTIF(Cases!$B$2:$B$499,A35)</f>
        <v/>
      </c>
    </row>
    <row r="36">
      <c r="A36" s="10" t="inlineStr">
        <is>
          <t>TAIN1546068998241939456</t>
        </is>
      </c>
      <c r="B36" s="23" t="n"/>
      <c r="C36" s="23" t="n"/>
      <c r="D36" s="23" t="n"/>
      <c r="E36" s="24" t="n"/>
      <c r="F36" s="25">
        <f>_xlfn.MINIFS(Cases!$D$2:$D$499,Cases!$B$2:$B$499,A36)</f>
        <v/>
      </c>
      <c r="G36" s="10">
        <f>COUNTIF(Cases!$B$2:$B$499,A36)</f>
        <v/>
      </c>
    </row>
    <row r="37">
      <c r="A37" s="10" t="inlineStr">
        <is>
          <t>NVMYTNAMR000000532</t>
        </is>
      </c>
      <c r="B37" s="23" t="n"/>
      <c r="C37" s="23" t="n"/>
      <c r="D37" s="23" t="n"/>
      <c r="E37" s="24" t="n"/>
      <c r="F37" s="25">
        <f>_xlfn.MINIFS(Cases!$D$2:$D$499,Cases!$B$2:$B$499,A37)</f>
        <v/>
      </c>
      <c r="G37" s="10">
        <f>COUNTIF(Cases!$B$2:$B$499,A37)</f>
        <v/>
      </c>
    </row>
    <row r="38">
      <c r="A38" s="10" t="inlineStr">
        <is>
          <t>MOOK1550361206561648640</t>
        </is>
      </c>
      <c r="B38" s="23" t="n"/>
      <c r="C38" s="23" t="n"/>
      <c r="D38" s="23" t="n"/>
      <c r="E38" s="24" t="n"/>
      <c r="F38" s="25">
        <f>_xlfn.MINIFS(Cases!$D$2:$D$499,Cases!$B$2:$B$499,A38)</f>
        <v/>
      </c>
      <c r="G38" s="10">
        <f>COUNTIF(Cases!$B$2:$B$499,A38)</f>
        <v/>
      </c>
    </row>
    <row r="39">
      <c r="A39" s="10" t="inlineStr">
        <is>
          <t>MYNJV70045865378/MYNJV70035605218</t>
        </is>
      </c>
      <c r="B39" s="23" t="n"/>
      <c r="C39" s="23" t="n"/>
      <c r="D39" s="23" t="n"/>
      <c r="E39" s="24" t="n"/>
      <c r="F39" s="25">
        <f>_xlfn.MINIFS(Cases!$D$2:$D$499,Cases!$B$2:$B$499,A39)</f>
        <v/>
      </c>
      <c r="G39" s="10">
        <f>COUNTIF(Cases!$B$2:$B$499,A39)</f>
        <v/>
      </c>
    </row>
    <row r="40">
      <c r="A40" s="10" t="inlineStr">
        <is>
          <t>NVMYNINJA002510859</t>
        </is>
      </c>
      <c r="B40" s="23" t="n"/>
      <c r="C40" s="23" t="n"/>
      <c r="D40" s="23" t="n"/>
      <c r="E40" s="24" t="n"/>
      <c r="F40" s="25">
        <f>_xlfn.MINIFS(Cases!$D$2:$D$499,Cases!$B$2:$B$499,A40)</f>
        <v/>
      </c>
      <c r="G40" s="10">
        <f>COUNTIF(Cases!$B$2:$B$499,A40)</f>
        <v/>
      </c>
    </row>
    <row r="41">
      <c r="A41" s="10" t="inlineStr">
        <is>
          <t>NVMYSOUPE000000919</t>
        </is>
      </c>
      <c r="B41" s="23" t="n"/>
      <c r="C41" s="23" t="n"/>
      <c r="D41" s="23" t="n"/>
      <c r="E41" s="24" t="n"/>
      <c r="F41" s="25">
        <f>_xlfn.MINIFS(Cases!$D$2:$D$499,Cases!$B$2:$B$499,A41)</f>
        <v/>
      </c>
      <c r="G41" s="10">
        <f>COUNTIF(Cases!$B$2:$B$499,A41)</f>
        <v/>
      </c>
    </row>
    <row r="42">
      <c r="A42" s="10" t="inlineStr">
        <is>
          <t>AEMYA000630786</t>
        </is>
      </c>
      <c r="B42" s="23" t="n"/>
      <c r="C42" s="23" t="n"/>
      <c r="D42" s="23" t="n"/>
      <c r="E42" s="24" t="n"/>
      <c r="F42" s="25">
        <f>_xlfn.MINIFS(Cases!$D$2:$D$499,Cases!$B$2:$B$499,A42)</f>
        <v/>
      </c>
      <c r="G42" s="10">
        <f>COUNTIF(Cases!$B$2:$B$499,A42)</f>
        <v/>
      </c>
    </row>
    <row r="43">
      <c r="A43" s="10" t="inlineStr">
        <is>
          <t>NVMYHNMHN00316406S</t>
        </is>
      </c>
      <c r="B43" s="23" t="n"/>
      <c r="C43" s="23" t="n"/>
      <c r="D43" s="23" t="n"/>
      <c r="E43" s="24" t="n"/>
      <c r="F43" s="25">
        <f>_xlfn.MINIFS(Cases!$D$2:$D$499,Cases!$B$2:$B$499,A43)</f>
        <v/>
      </c>
      <c r="G43" s="10">
        <f>COUNTIF(Cases!$B$2:$B$499,A43)</f>
        <v/>
      </c>
    </row>
    <row r="44">
      <c r="A44" s="10" t="inlineStr">
        <is>
          <t>NVMYKQURN000013676</t>
        </is>
      </c>
      <c r="B44" s="23" t="n"/>
      <c r="C44" s="23" t="n"/>
      <c r="D44" s="23" t="n"/>
      <c r="E44" s="24" t="n"/>
      <c r="F44" s="25">
        <f>_xlfn.MINIFS(Cases!$D$2:$D$499,Cases!$B$2:$B$499,A44)</f>
        <v/>
      </c>
      <c r="G44" s="10">
        <f>COUNTIF(Cases!$B$2:$B$499,A44)</f>
        <v/>
      </c>
    </row>
    <row r="45">
      <c r="A45" s="10" t="inlineStr">
        <is>
          <t>ESHP003312074</t>
        </is>
      </c>
      <c r="B45" s="23" t="n"/>
      <c r="C45" s="23" t="n"/>
      <c r="D45" s="23" t="n"/>
      <c r="E45" s="24" t="n"/>
      <c r="F45" s="25">
        <f>_xlfn.MINIFS(Cases!$D$2:$D$499,Cases!$B$2:$B$499,A45)</f>
        <v/>
      </c>
      <c r="G45" s="10">
        <f>COUNTIF(Cases!$B$2:$B$499,A45)</f>
        <v/>
      </c>
    </row>
    <row r="46">
      <c r="A46" s="10" t="inlineStr">
        <is>
          <t>LSGMY5905428</t>
        </is>
      </c>
      <c r="B46" s="23" t="n"/>
      <c r="C46" s="23" t="n"/>
      <c r="D46" s="23" t="n"/>
      <c r="E46" s="24" t="n"/>
      <c r="F46" s="25">
        <f>_xlfn.MINIFS(Cases!$D$2:$D$499,Cases!$B$2:$B$499,A46)</f>
        <v/>
      </c>
      <c r="G46" s="10">
        <f>COUNTIF(Cases!$B$2:$B$499,A46)</f>
        <v/>
      </c>
    </row>
    <row r="47">
      <c r="A47" s="10" t="inlineStr">
        <is>
          <t>AEMYA000627832</t>
        </is>
      </c>
      <c r="B47" s="23" t="n"/>
      <c r="C47" s="23" t="n"/>
      <c r="D47" s="23" t="n"/>
      <c r="E47" s="24" t="n"/>
      <c r="F47" s="25">
        <f>_xlfn.MINIFS(Cases!$D$2:$D$499,Cases!$B$2:$B$499,A47)</f>
        <v/>
      </c>
      <c r="G47" s="10">
        <f>COUNTIF(Cases!$B$2:$B$499,A47)</f>
        <v/>
      </c>
    </row>
    <row r="48">
      <c r="A48" s="10" t="inlineStr">
        <is>
          <t>AEMYA000627254</t>
        </is>
      </c>
      <c r="B48" s="23" t="n"/>
      <c r="C48" s="23" t="n"/>
      <c r="D48" s="23" t="n"/>
      <c r="E48" s="24" t="n"/>
      <c r="F48" s="25">
        <f>_xlfn.MINIFS(Cases!$D$2:$D$499,Cases!$B$2:$B$499,A48)</f>
        <v/>
      </c>
      <c r="G48" s="10">
        <f>COUNTIF(Cases!$B$2:$B$499,A48)</f>
        <v/>
      </c>
    </row>
    <row r="49">
      <c r="A49" s="10" t="inlineStr">
        <is>
          <t>NVMYPZXMS000047975</t>
        </is>
      </c>
      <c r="B49" s="23" t="n"/>
      <c r="C49" s="23" t="n"/>
      <c r="D49" s="23" t="n"/>
      <c r="E49" s="24" t="n"/>
      <c r="F49" s="25">
        <f>_xlfn.MINIFS(Cases!$D$2:$D$499,Cases!$B$2:$B$499,A49)</f>
        <v/>
      </c>
      <c r="G49" s="10">
        <f>COUNTIF(Cases!$B$2:$B$499,A49)</f>
        <v/>
      </c>
    </row>
    <row r="50">
      <c r="A50" s="10" t="inlineStr">
        <is>
          <t>TNGE126047263325076000</t>
        </is>
      </c>
      <c r="B50" s="23" t="n"/>
      <c r="C50" s="23" t="n"/>
      <c r="D50" s="23" t="n"/>
      <c r="E50" s="24" t="n"/>
      <c r="F50" s="25">
        <f>_xlfn.MINIFS(Cases!$D$2:$D$499,Cases!$B$2:$B$499,A50)</f>
        <v/>
      </c>
      <c r="G50" s="10">
        <f>COUNTIF(Cases!$B$2:$B$499,A50)</f>
        <v/>
      </c>
    </row>
    <row r="51">
      <c r="A51" s="10" t="inlineStr">
        <is>
          <t>AJDHU1550037634185019392</t>
        </is>
      </c>
      <c r="B51" s="23" t="n"/>
      <c r="C51" s="23" t="n"/>
      <c r="D51" s="23" t="n"/>
      <c r="E51" s="24" t="n"/>
      <c r="F51" s="25">
        <f>_xlfn.MINIFS(Cases!$D$2:$D$499,Cases!$B$2:$B$499,A51)</f>
        <v/>
      </c>
      <c r="G51" s="10">
        <f>COUNTIF(Cases!$B$2:$B$499,A51)</f>
        <v/>
      </c>
    </row>
    <row r="52">
      <c r="A52" s="10" t="inlineStr">
        <is>
          <t>COTONW00041396747</t>
        </is>
      </c>
      <c r="B52" s="23" t="n"/>
      <c r="C52" s="23" t="n"/>
      <c r="D52" s="23" t="n"/>
      <c r="E52" s="24" t="n"/>
      <c r="F52" s="25">
        <f>_xlfn.MINIFS(Cases!$D$2:$D$499,Cases!$B$2:$B$499,A52)</f>
        <v/>
      </c>
      <c r="G52" s="10">
        <f>COUNTIF(Cases!$B$2:$B$499,A52)</f>
        <v/>
      </c>
    </row>
    <row r="53">
      <c r="A53" s="10" t="inlineStr">
        <is>
          <t>MASTR1548469847196155904</t>
        </is>
      </c>
      <c r="B53" s="23" t="n"/>
      <c r="C53" s="23" t="n"/>
      <c r="D53" s="23" t="n"/>
      <c r="E53" s="24" t="n"/>
      <c r="F53" s="25">
        <f>_xlfn.MINIFS(Cases!$D$2:$D$499,Cases!$B$2:$B$499,A53)</f>
        <v/>
      </c>
      <c r="G53" s="10">
        <f>COUNTIF(Cases!$B$2:$B$499,A53)</f>
        <v/>
      </c>
    </row>
    <row r="54">
      <c r="A54" s="10" t="inlineStr">
        <is>
          <t>TNGDV2609036836185310</t>
        </is>
      </c>
      <c r="B54" s="23" t="n"/>
      <c r="C54" s="23" t="n"/>
      <c r="D54" s="23" t="n"/>
      <c r="E54" s="24" t="n"/>
      <c r="F54" s="25">
        <f>_xlfn.MINIFS(Cases!$D$2:$D$499,Cases!$B$2:$B$499,A54)</f>
        <v/>
      </c>
      <c r="G54" s="10">
        <f>COUNTIF(Cases!$B$2:$B$499,A54)</f>
        <v/>
      </c>
    </row>
    <row r="55">
      <c r="A55" s="10" t="inlineStr">
        <is>
          <t>NVMYPZXMS000047968</t>
        </is>
      </c>
      <c r="B55" s="23" t="n"/>
      <c r="C55" s="23" t="n"/>
      <c r="D55" s="23" t="n"/>
      <c r="E55" s="24" t="n"/>
      <c r="F55" s="25">
        <f>_xlfn.MINIFS(Cases!$D$2:$D$499,Cases!$B$2:$B$499,A55)</f>
        <v/>
      </c>
      <c r="G55" s="10">
        <f>COUNTIF(Cases!$B$2:$B$499,A55)</f>
        <v/>
      </c>
    </row>
    <row r="56">
      <c r="A56" s="10" t="inlineStr">
        <is>
          <t>NVMYNINJA002509240</t>
        </is>
      </c>
      <c r="B56" s="23" t="n"/>
      <c r="C56" s="23" t="n"/>
      <c r="D56" s="23" t="n"/>
      <c r="E56" s="24" t="n"/>
      <c r="F56" s="25">
        <f>_xlfn.MINIFS(Cases!$D$2:$D$499,Cases!$B$2:$B$499,A56)</f>
        <v/>
      </c>
      <c r="G56" s="10">
        <f>COUNTIF(Cases!$B$2:$B$499,A56)</f>
        <v/>
      </c>
    </row>
    <row r="57">
      <c r="A57" s="10" t="inlineStr">
        <is>
          <t>RYTDBZVLUL38BLH</t>
        </is>
      </c>
      <c r="B57" s="23" t="n"/>
      <c r="C57" s="23" t="n"/>
      <c r="D57" s="23" t="n"/>
      <c r="E57" s="24" t="n"/>
      <c r="F57" s="25">
        <f>_xlfn.MINIFS(Cases!$D$2:$D$499,Cases!$B$2:$B$499,A57)</f>
        <v/>
      </c>
      <c r="G57" s="10">
        <f>COUNTIF(Cases!$B$2:$B$499,A57)</f>
        <v/>
      </c>
    </row>
    <row r="58">
      <c r="A58" s="10" t="inlineStr">
        <is>
          <t>TNGEO202608261001243193</t>
        </is>
      </c>
      <c r="B58" s="23" t="n"/>
      <c r="C58" s="23" t="n"/>
      <c r="D58" s="23" t="n"/>
      <c r="E58" s="24" t="n"/>
      <c r="F58" s="25">
        <f>_xlfn.MINIFS(Cases!$D$2:$D$499,Cases!$B$2:$B$499,A58)</f>
        <v/>
      </c>
      <c r="G58" s="10">
        <f>COUNTIF(Cases!$B$2:$B$499,A58)</f>
        <v/>
      </c>
    </row>
    <row r="59">
      <c r="A59" s="10" t="inlineStr">
        <is>
          <t>NVMYZAFES000476028</t>
        </is>
      </c>
      <c r="B59" s="23" t="n"/>
      <c r="C59" s="23" t="n"/>
      <c r="D59" s="23" t="n"/>
      <c r="E59" s="24" t="n"/>
      <c r="F59" s="25">
        <f>_xlfn.MINIFS(Cases!$D$2:$D$499,Cases!$B$2:$B$499,A59)</f>
        <v/>
      </c>
      <c r="G59" s="10">
        <f>COUNTIF(Cases!$B$2:$B$499,A59)</f>
        <v/>
      </c>
    </row>
    <row r="60">
      <c r="A60" s="10" t="inlineStr">
        <is>
          <t>NVMYDOCMY000088025</t>
        </is>
      </c>
      <c r="B60" s="23" t="n"/>
      <c r="C60" s="23" t="n"/>
      <c r="D60" s="23" t="n"/>
      <c r="E60" s="24" t="n"/>
      <c r="F60" s="25">
        <f>_xlfn.MINIFS(Cases!$D$2:$D$499,Cases!$B$2:$B$499,A60)</f>
        <v/>
      </c>
      <c r="G60" s="10">
        <f>COUNTIF(Cases!$B$2:$B$499,A60)</f>
        <v/>
      </c>
    </row>
    <row r="61">
      <c r="A61" s="10" t="inlineStr">
        <is>
          <t>TNGDV2609046829976170</t>
        </is>
      </c>
      <c r="B61" s="23" t="n"/>
      <c r="C61" s="23" t="n"/>
      <c r="D61" s="23" t="n"/>
      <c r="E61" s="24" t="n"/>
      <c r="F61" s="25">
        <f>_xlfn.MINIFS(Cases!$D$2:$D$499,Cases!$B$2:$B$499,A61)</f>
        <v/>
      </c>
      <c r="G61" s="10">
        <f>COUNTIF(Cases!$B$2:$B$499,A61)</f>
        <v/>
      </c>
    </row>
    <row r="62">
      <c r="A62" s="10" t="inlineStr">
        <is>
          <t>NVMY47403000011228</t>
        </is>
      </c>
      <c r="B62" s="23" t="n"/>
      <c r="C62" s="23" t="n"/>
      <c r="D62" s="23" t="n"/>
      <c r="E62" s="24" t="n"/>
      <c r="F62" s="25">
        <f>_xlfn.MINIFS(Cases!$D$2:$D$499,Cases!$B$2:$B$499,A62)</f>
        <v/>
      </c>
      <c r="G62" s="10">
        <f>COUNTIF(Cases!$B$2:$B$499,A62)</f>
        <v/>
      </c>
    </row>
    <row r="63">
      <c r="A63" s="10" t="inlineStr">
        <is>
          <t>PETSMPTC243536</t>
        </is>
      </c>
      <c r="B63" s="23" t="n"/>
      <c r="C63" s="23" t="n"/>
      <c r="D63" s="23" t="n"/>
      <c r="E63" s="24" t="n"/>
      <c r="F63" s="25">
        <f>_xlfn.MINIFS(Cases!$D$2:$D$499,Cases!$B$2:$B$499,A63)</f>
        <v/>
      </c>
      <c r="G63" s="10">
        <f>COUNTIF(Cases!$B$2:$B$499,A63)</f>
        <v/>
      </c>
    </row>
    <row r="64">
      <c r="A64" s="10" t="inlineStr">
        <is>
          <t>TNGDV2608316789446580</t>
        </is>
      </c>
      <c r="B64" s="23" t="n"/>
      <c r="C64" s="23" t="n"/>
      <c r="D64" s="23" t="n"/>
      <c r="E64" s="24" t="n"/>
      <c r="F64" s="25">
        <f>_xlfn.MINIFS(Cases!$D$2:$D$499,Cases!$B$2:$B$499,A64)</f>
        <v/>
      </c>
      <c r="G64" s="10">
        <f>COUNTIF(Cases!$B$2:$B$499,A64)</f>
        <v/>
      </c>
    </row>
    <row r="65">
      <c r="A65" s="10" t="inlineStr">
        <is>
          <t>AEMYA000629320</t>
        </is>
      </c>
      <c r="B65" s="23" t="n"/>
      <c r="C65" s="23" t="n"/>
      <c r="D65" s="23" t="n"/>
      <c r="E65" s="24" t="n"/>
      <c r="F65" s="25">
        <f>_xlfn.MINIFS(Cases!$D$2:$D$499,Cases!$B$2:$B$499,A65)</f>
        <v/>
      </c>
      <c r="G65" s="10">
        <f>COUNTIF(Cases!$B$2:$B$499,A65)</f>
        <v/>
      </c>
    </row>
    <row r="66">
      <c r="A66" s="10" t="inlineStr">
        <is>
          <t>NVMY45537000029805</t>
        </is>
      </c>
      <c r="B66" s="23" t="n"/>
      <c r="C66" s="23" t="n"/>
      <c r="D66" s="23" t="n"/>
      <c r="E66" s="24" t="n"/>
      <c r="F66" s="25">
        <f>_xlfn.MINIFS(Cases!$D$2:$D$499,Cases!$B$2:$B$499,A66)</f>
        <v/>
      </c>
      <c r="G66" s="10">
        <f>COUNTIF(Cases!$B$2:$B$499,A66)</f>
        <v/>
      </c>
    </row>
    <row r="67">
      <c r="A67" s="10" t="inlineStr">
        <is>
          <t>NVMYCRGMABP3853537</t>
        </is>
      </c>
      <c r="B67" s="23" t="n"/>
      <c r="C67" s="23" t="n"/>
      <c r="D67" s="23" t="n"/>
      <c r="E67" s="24" t="n"/>
      <c r="F67" s="25">
        <f>_xlfn.MINIFS(Cases!$D$2:$D$499,Cases!$B$2:$B$499,A67)</f>
        <v/>
      </c>
      <c r="G67" s="10">
        <f>COUNTIF(Cases!$B$2:$B$499,A67)</f>
        <v/>
      </c>
    </row>
    <row r="68">
      <c r="A68" s="10" t="inlineStr">
        <is>
          <t>WNJMY00535212908</t>
        </is>
      </c>
      <c r="B68" s="23" t="n"/>
      <c r="C68" s="23" t="n"/>
      <c r="D68" s="23" t="n"/>
      <c r="E68" s="24" t="n"/>
      <c r="F68" s="25">
        <f>_xlfn.MINIFS(Cases!$D$2:$D$499,Cases!$B$2:$B$499,A68)</f>
        <v/>
      </c>
      <c r="G68" s="10">
        <f>COUNTIF(Cases!$B$2:$B$499,A68)</f>
        <v/>
      </c>
    </row>
    <row r="69">
      <c r="A69" s="10" t="inlineStr">
        <is>
          <t>NVMYNXG3S000023005</t>
        </is>
      </c>
      <c r="B69" s="23" t="n"/>
      <c r="C69" s="23" t="n"/>
      <c r="D69" s="23" t="n"/>
      <c r="E69" s="24" t="n"/>
      <c r="F69" s="25">
        <f>_xlfn.MINIFS(Cases!$D$2:$D$499,Cases!$B$2:$B$499,A69)</f>
        <v/>
      </c>
      <c r="G69" s="10">
        <f>COUNTIF(Cases!$B$2:$B$499,A69)</f>
        <v/>
      </c>
    </row>
    <row r="70">
      <c r="A70" s="10" t="inlineStr">
        <is>
          <t>ZRS4115713219939</t>
        </is>
      </c>
      <c r="B70" s="23" t="n"/>
      <c r="C70" s="23" t="n"/>
      <c r="D70" s="23" t="n"/>
      <c r="E70" s="24" t="n"/>
      <c r="F70" s="25">
        <f>_xlfn.MINIFS(Cases!$D$2:$D$499,Cases!$B$2:$B$499,A70)</f>
        <v/>
      </c>
      <c r="G70" s="10">
        <f>COUNTIF(Cases!$B$2:$B$499,A70)</f>
        <v/>
      </c>
    </row>
    <row r="71">
      <c r="A71" s="10" t="inlineStr">
        <is>
          <t>TNGDV2609096865669450</t>
        </is>
      </c>
      <c r="B71" s="23" t="n"/>
      <c r="C71" s="23" t="n"/>
      <c r="D71" s="23" t="n"/>
      <c r="E71" s="24" t="n"/>
      <c r="F71" s="25">
        <f>_xlfn.MINIFS(Cases!$D$2:$D$499,Cases!$B$2:$B$499,A71)</f>
        <v/>
      </c>
      <c r="G71" s="10">
        <f>COUNTIF(Cases!$B$2:$B$499,A71)</f>
        <v/>
      </c>
    </row>
    <row r="72">
      <c r="A72" s="10" t="inlineStr">
        <is>
          <t>TNGDV2609156948986000</t>
        </is>
      </c>
      <c r="B72" s="23" t="n"/>
      <c r="C72" s="23" t="n"/>
      <c r="D72" s="23" t="n"/>
      <c r="E72" s="24" t="n"/>
      <c r="F72" s="25">
        <f>_xlfn.MINIFS(Cases!$D$2:$D$499,Cases!$B$2:$B$499,A72)</f>
        <v/>
      </c>
      <c r="G72" s="10">
        <f>COUNTIF(Cases!$B$2:$B$499,A72)</f>
        <v/>
      </c>
    </row>
    <row r="73">
      <c r="A73" s="10" t="inlineStr">
        <is>
          <t>TNGDV2609096878921600</t>
        </is>
      </c>
      <c r="B73" s="23" t="n"/>
      <c r="C73" s="23" t="n"/>
      <c r="D73" s="23" t="n"/>
      <c r="E73" s="24" t="n"/>
      <c r="F73" s="25">
        <f>_xlfn.MINIFS(Cases!$D$2:$D$499,Cases!$B$2:$B$499,A73)</f>
        <v/>
      </c>
      <c r="G73" s="10">
        <f>COUNTIF(Cases!$B$2:$B$499,A73)</f>
        <v/>
      </c>
    </row>
    <row r="74">
      <c r="A74" s="10" t="inlineStr">
        <is>
          <t>TNGDV2609156928618340</t>
        </is>
      </c>
      <c r="B74" s="23" t="n"/>
      <c r="C74" s="23" t="n"/>
      <c r="D74" s="23" t="n"/>
      <c r="E74" s="24" t="n"/>
      <c r="F74" s="25">
        <f>_xlfn.MINIFS(Cases!$D$2:$D$499,Cases!$B$2:$B$499,A74)</f>
        <v/>
      </c>
      <c r="G74" s="10">
        <f>COUNTIF(Cases!$B$2:$B$499,A74)</f>
        <v/>
      </c>
    </row>
    <row r="75">
      <c r="A75" s="10" t="inlineStr">
        <is>
          <t>AJDHU1547854775576936448</t>
        </is>
      </c>
      <c r="B75" s="23" t="n"/>
      <c r="C75" s="23" t="n"/>
      <c r="D75" s="23" t="n"/>
      <c r="E75" s="24" t="n"/>
      <c r="F75" s="25">
        <f>_xlfn.MINIFS(Cases!$D$2:$D$499,Cases!$B$2:$B$499,A75)</f>
        <v/>
      </c>
      <c r="G75" s="10">
        <f>COUNTIF(Cases!$B$2:$B$499,A75)</f>
        <v/>
      </c>
    </row>
    <row r="76">
      <c r="A76" s="10" t="inlineStr">
        <is>
          <t>NVMYLTCMU000000160</t>
        </is>
      </c>
      <c r="B76" s="23" t="n"/>
      <c r="C76" s="23" t="n"/>
      <c r="D76" s="23" t="n"/>
      <c r="E76" s="24" t="n"/>
      <c r="F76" s="25">
        <f>_xlfn.MINIFS(Cases!$D$2:$D$499,Cases!$B$2:$B$499,A76)</f>
        <v/>
      </c>
      <c r="G76" s="10">
        <f>COUNTIF(Cases!$B$2:$B$499,A76)</f>
        <v/>
      </c>
    </row>
    <row r="77">
      <c r="A77" s="10" t="inlineStr">
        <is>
          <t>NIVMY1549984394616983552</t>
        </is>
      </c>
      <c r="B77" s="23" t="n"/>
      <c r="C77" s="23" t="n"/>
      <c r="D77" s="23" t="n"/>
      <c r="E77" s="24" t="n"/>
      <c r="F77" s="25">
        <f>_xlfn.MINIFS(Cases!$D$2:$D$499,Cases!$B$2:$B$499,A77)</f>
        <v/>
      </c>
      <c r="G77" s="10">
        <f>COUNTIF(Cases!$B$2:$B$499,A77)</f>
        <v/>
      </c>
    </row>
    <row r="78">
      <c r="A78" s="10" t="inlineStr">
        <is>
          <t>AEMYA000615925</t>
        </is>
      </c>
      <c r="B78" s="23" t="n"/>
      <c r="C78" s="23" t="n"/>
      <c r="D78" s="23" t="n"/>
      <c r="E78" s="24" t="n"/>
      <c r="F78" s="25">
        <f>_xlfn.MINIFS(Cases!$D$2:$D$499,Cases!$B$2:$B$499,A78)</f>
        <v/>
      </c>
      <c r="G78" s="10">
        <f>COUNTIF(Cases!$B$2:$B$499,A78)</f>
        <v/>
      </c>
    </row>
    <row r="79">
      <c r="A79" s="10" t="inlineStr">
        <is>
          <t>ZMP241385945-5821</t>
        </is>
      </c>
      <c r="B79" s="23" t="n"/>
      <c r="C79" s="23" t="n"/>
      <c r="D79" s="23" t="n"/>
      <c r="E79" s="24" t="n"/>
      <c r="F79" s="25">
        <f>_xlfn.MINIFS(Cases!$D$2:$D$499,Cases!$B$2:$B$499,A79)</f>
        <v/>
      </c>
      <c r="G79" s="10">
        <f>COUNTIF(Cases!$B$2:$B$499,A79)</f>
        <v/>
      </c>
    </row>
    <row r="80">
      <c r="A80" s="10" t="inlineStr">
        <is>
          <t>NVMY48214000023869</t>
        </is>
      </c>
      <c r="B80" s="23" t="n"/>
      <c r="C80" s="23" t="n"/>
      <c r="D80" s="23" t="n"/>
      <c r="E80" s="24" t="n"/>
      <c r="F80" s="25">
        <f>_xlfn.MINIFS(Cases!$D$2:$D$499,Cases!$B$2:$B$499,A80)</f>
        <v/>
      </c>
      <c r="G80" s="10">
        <f>COUNTIF(Cases!$B$2:$B$499,A80)</f>
        <v/>
      </c>
    </row>
    <row r="81">
      <c r="A81" s="10" t="inlineStr">
        <is>
          <t>ZMP271541945-3625</t>
        </is>
      </c>
      <c r="B81" s="23" t="n"/>
      <c r="C81" s="23" t="n"/>
      <c r="D81" s="23" t="n"/>
      <c r="E81" s="24" t="n"/>
      <c r="F81" s="25">
        <f>_xlfn.MINIFS(Cases!$D$2:$D$499,Cases!$B$2:$B$499,A81)</f>
        <v/>
      </c>
      <c r="G81" s="10">
        <f>COUNTIF(Cases!$B$2:$B$499,A81)</f>
        <v/>
      </c>
    </row>
    <row r="82">
      <c r="A82" s="10" t="inlineStr">
        <is>
          <t>NVMY8NFNT0HW10327A</t>
        </is>
      </c>
      <c r="B82" s="23" t="n"/>
      <c r="C82" s="23" t="n"/>
      <c r="D82" s="23" t="n"/>
      <c r="E82" s="24" t="n"/>
      <c r="F82" s="25">
        <f>_xlfn.MINIFS(Cases!$D$2:$D$499,Cases!$B$2:$B$499,A82)</f>
        <v/>
      </c>
      <c r="G82" s="10">
        <f>COUNTIF(Cases!$B$2:$B$499,A82)</f>
        <v/>
      </c>
    </row>
    <row r="83">
      <c r="A83" s="10" t="inlineStr">
        <is>
          <t>NVMYYSLWE330031831</t>
        </is>
      </c>
      <c r="B83" s="23" t="n"/>
      <c r="C83" s="23" t="n"/>
      <c r="D83" s="23" t="n"/>
      <c r="E83" s="24" t="n"/>
      <c r="F83" s="25">
        <f>_xlfn.MINIFS(Cases!$D$2:$D$499,Cases!$B$2:$B$499,A83)</f>
        <v/>
      </c>
      <c r="G83" s="10">
        <f>COUNTIF(Cases!$B$2:$B$499,A83)</f>
        <v/>
      </c>
    </row>
    <row r="84">
      <c r="A84" s="10" t="inlineStr">
        <is>
          <t>VICTN1549303472678359040</t>
        </is>
      </c>
      <c r="B84" s="23" t="n"/>
      <c r="C84" s="23" t="n"/>
      <c r="D84" s="23" t="n"/>
      <c r="E84" s="24" t="n"/>
      <c r="F84" s="25">
        <f>_xlfn.MINIFS(Cases!$D$2:$D$499,Cases!$B$2:$B$499,A84)</f>
        <v/>
      </c>
      <c r="G84" s="10">
        <f>COUNTIF(Cases!$B$2:$B$499,A84)</f>
        <v/>
      </c>
    </row>
    <row r="85">
      <c r="A85" s="10" t="inlineStr">
        <is>
          <t>VICTN1549990377922347008</t>
        </is>
      </c>
      <c r="B85" s="23" t="n"/>
      <c r="C85" s="23" t="n"/>
      <c r="D85" s="23" t="n"/>
      <c r="E85" s="24" t="n"/>
      <c r="F85" s="25">
        <f>_xlfn.MINIFS(Cases!$D$2:$D$499,Cases!$B$2:$B$499,A85)</f>
        <v/>
      </c>
      <c r="G85" s="10">
        <f>COUNTIF(Cases!$B$2:$B$499,A85)</f>
        <v/>
      </c>
    </row>
    <row r="86">
      <c r="A86" s="10" t="inlineStr">
        <is>
          <t>NVMYONEGA000042476</t>
        </is>
      </c>
      <c r="B86" s="23" t="n"/>
      <c r="C86" s="23" t="n"/>
      <c r="D86" s="23" t="n"/>
      <c r="E86" s="24" t="n"/>
      <c r="F86" s="25">
        <f>_xlfn.MINIFS(Cases!$D$2:$D$499,Cases!$B$2:$B$499,A86)</f>
        <v/>
      </c>
      <c r="G86" s="10">
        <f>COUNTIF(Cases!$B$2:$B$499,A86)</f>
        <v/>
      </c>
    </row>
    <row r="87">
      <c r="A87" s="10" t="inlineStr">
        <is>
          <t>WNJMY00190082908</t>
        </is>
      </c>
      <c r="B87" s="23" t="n"/>
      <c r="C87" s="23" t="n"/>
      <c r="D87" s="23" t="n"/>
      <c r="E87" s="24" t="n"/>
      <c r="F87" s="25">
        <f>_xlfn.MINIFS(Cases!$D$2:$D$499,Cases!$B$2:$B$499,A87)</f>
        <v/>
      </c>
      <c r="G87" s="10">
        <f>COUNTIF(Cases!$B$2:$B$499,A87)</f>
        <v/>
      </c>
    </row>
    <row r="88">
      <c r="A88" s="10" t="inlineStr">
        <is>
          <t>APGUK012000005049513</t>
        </is>
      </c>
      <c r="B88" s="23" t="n"/>
      <c r="C88" s="23" t="n"/>
      <c r="D88" s="23" t="n"/>
      <c r="E88" s="24" t="n"/>
      <c r="F88" s="25">
        <f>_xlfn.MINIFS(Cases!$D$2:$D$499,Cases!$B$2:$B$499,A88)</f>
        <v/>
      </c>
      <c r="G88" s="10">
        <f>COUNTIF(Cases!$B$2:$B$499,A88)</f>
        <v/>
      </c>
    </row>
    <row r="89">
      <c r="A89" s="10" t="inlineStr">
        <is>
          <t>RNCNV000498992</t>
        </is>
      </c>
      <c r="B89" s="23" t="n"/>
      <c r="C89" s="23" t="n"/>
      <c r="D89" s="23" t="n"/>
      <c r="E89" s="24" t="n"/>
      <c r="F89" s="25">
        <f>_xlfn.MINIFS(Cases!$D$2:$D$499,Cases!$B$2:$B$499,A89)</f>
        <v/>
      </c>
      <c r="G89" s="10">
        <f>COUNTIF(Cases!$B$2:$B$499,A89)</f>
        <v/>
      </c>
    </row>
    <row r="90">
      <c r="A90" s="10" t="inlineStr">
        <is>
          <t>NVMYCOMOO000015506</t>
        </is>
      </c>
      <c r="B90" s="23" t="n"/>
      <c r="C90" s="23" t="n"/>
      <c r="D90" s="23" t="n"/>
      <c r="E90" s="24" t="n"/>
      <c r="F90" s="25">
        <f>_xlfn.MINIFS(Cases!$D$2:$D$499,Cases!$B$2:$B$499,A90)</f>
        <v/>
      </c>
      <c r="G90" s="10">
        <f>COUNTIF(Cases!$B$2:$B$499,A90)</f>
        <v/>
      </c>
    </row>
    <row r="91">
      <c r="A91" s="10" t="inlineStr">
        <is>
          <t>NVMYCHMOT000000348</t>
        </is>
      </c>
      <c r="B91" s="23" t="n"/>
      <c r="C91" s="23" t="n"/>
      <c r="D91" s="23" t="n"/>
      <c r="E91" s="24" t="n"/>
      <c r="F91" s="25">
        <f>_xlfn.MINIFS(Cases!$D$2:$D$499,Cases!$B$2:$B$499,A91)</f>
        <v/>
      </c>
      <c r="G91" s="10">
        <f>COUNTIF(Cases!$B$2:$B$499,A91)</f>
        <v/>
      </c>
    </row>
    <row r="92">
      <c r="A92" s="10" t="inlineStr">
        <is>
          <t>NVMY21533000009024</t>
        </is>
      </c>
      <c r="B92" s="23" t="n"/>
      <c r="C92" s="23" t="n"/>
      <c r="D92" s="23" t="n"/>
      <c r="E92" s="24" t="n"/>
      <c r="F92" s="25">
        <f>_xlfn.MINIFS(Cases!$D$2:$D$499,Cases!$B$2:$B$499,A92)</f>
        <v/>
      </c>
      <c r="G92" s="10">
        <f>COUNTIF(Cases!$B$2:$B$499,A92)</f>
        <v/>
      </c>
    </row>
    <row r="93">
      <c r="A93" s="10" t="inlineStr">
        <is>
          <t>NVMYSIS120SIS48138</t>
        </is>
      </c>
      <c r="B93" s="23" t="n"/>
      <c r="C93" s="23" t="n"/>
      <c r="D93" s="23" t="n"/>
      <c r="E93" s="24" t="n"/>
      <c r="F93" s="25">
        <f>_xlfn.MINIFS(Cases!$D$2:$D$499,Cases!$B$2:$B$499,A93)</f>
        <v/>
      </c>
      <c r="G93" s="10">
        <f>COUNTIF(Cases!$B$2:$B$499,A93)</f>
        <v/>
      </c>
    </row>
    <row r="94">
      <c r="A94" s="10" t="inlineStr">
        <is>
          <t>ZNV946827970-1591</t>
        </is>
      </c>
      <c r="B94" s="23" t="n"/>
      <c r="C94" s="23" t="n"/>
      <c r="D94" s="23" t="n"/>
      <c r="E94" s="24" t="n"/>
      <c r="F94" s="25">
        <f>_xlfn.MINIFS(Cases!$D$2:$D$499,Cases!$B$2:$B$499,A94)</f>
        <v/>
      </c>
      <c r="G94" s="10">
        <f>COUNTIF(Cases!$B$2:$B$499,A94)</f>
        <v/>
      </c>
    </row>
    <row r="95">
      <c r="A95" s="10" t="inlineStr">
        <is>
          <t>ADI111550678986921603072</t>
        </is>
      </c>
      <c r="B95" s="23" t="n"/>
      <c r="C95" s="23" t="n"/>
      <c r="D95" s="23" t="n"/>
      <c r="E95" s="24" t="n"/>
      <c r="F95" s="25">
        <f>_xlfn.MINIFS(Cases!$D$2:$D$499,Cases!$B$2:$B$499,A95)</f>
        <v/>
      </c>
      <c r="G95" s="10">
        <f>COUNTIF(Cases!$B$2:$B$499,A95)</f>
        <v/>
      </c>
    </row>
    <row r="96">
      <c r="A96" s="10" t="inlineStr">
        <is>
          <t>TNGE126047281027686000</t>
        </is>
      </c>
      <c r="B96" s="23" t="n"/>
      <c r="C96" s="23" t="n"/>
      <c r="D96" s="23" t="n"/>
      <c r="E96" s="24" t="n"/>
      <c r="F96" s="25">
        <f>_xlfn.MINIFS(Cases!$D$2:$D$499,Cases!$B$2:$B$499,A96)</f>
        <v/>
      </c>
      <c r="G96" s="10">
        <f>COUNTIF(Cases!$B$2:$B$499,A96)</f>
        <v/>
      </c>
    </row>
    <row r="97">
      <c r="A97" s="10" t="inlineStr">
        <is>
          <t>NVMYNINJA002511067</t>
        </is>
      </c>
      <c r="B97" s="23" t="n"/>
      <c r="C97" s="23" t="n"/>
      <c r="D97" s="23" t="n"/>
      <c r="E97" s="24" t="n"/>
      <c r="F97" s="25">
        <f>_xlfn.MINIFS(Cases!$D$2:$D$499,Cases!$B$2:$B$499,A97)</f>
        <v/>
      </c>
      <c r="G97" s="10">
        <f>COUNTIF(Cases!$B$2:$B$499,A97)</f>
        <v/>
      </c>
    </row>
    <row r="98">
      <c r="A98" s="10" t="inlineStr">
        <is>
          <t>MYMPA261084847</t>
        </is>
      </c>
      <c r="B98" s="23" t="n"/>
      <c r="C98" s="23" t="n"/>
      <c r="D98" s="23" t="n"/>
      <c r="E98" s="24" t="n"/>
      <c r="F98" s="25">
        <f>_xlfn.MINIFS(Cases!$D$2:$D$499,Cases!$B$2:$B$499,A98)</f>
        <v/>
      </c>
      <c r="G98" s="10">
        <f>COUNTIF(Cases!$B$2:$B$499,A98)</f>
        <v/>
      </c>
    </row>
    <row r="99">
      <c r="A99" s="10" t="inlineStr">
        <is>
          <t>NVMYGMPKT00SH8766A</t>
        </is>
      </c>
      <c r="B99" s="23" t="n"/>
      <c r="C99" s="23" t="n"/>
      <c r="D99" s="23" t="n"/>
      <c r="E99" s="24" t="n"/>
      <c r="F99" s="25">
        <f>_xlfn.MINIFS(Cases!$D$2:$D$499,Cases!$B$2:$B$499,A99)</f>
        <v/>
      </c>
      <c r="G99" s="10">
        <f>COUNTIF(Cases!$B$2:$B$499,A99)</f>
        <v/>
      </c>
    </row>
    <row r="100">
      <c r="A100" s="10" t="inlineStr">
        <is>
          <t>NVMYROBAN000005753</t>
        </is>
      </c>
      <c r="B100" s="23" t="n"/>
      <c r="C100" s="23" t="n"/>
      <c r="D100" s="23" t="n"/>
      <c r="E100" s="24" t="n"/>
      <c r="F100" s="25">
        <f>_xlfn.MINIFS(Cases!$D$2:$D$499,Cases!$B$2:$B$499,A100)</f>
        <v/>
      </c>
      <c r="G100" s="10">
        <f>COUNTIF(Cases!$B$2:$B$499,A100)</f>
        <v/>
      </c>
    </row>
    <row r="101">
      <c r="A101" s="10" t="inlineStr">
        <is>
          <t>NVMYYUSMM000002979</t>
        </is>
      </c>
      <c r="B101" s="23" t="n"/>
      <c r="C101" s="23" t="n"/>
      <c r="D101" s="23" t="n"/>
      <c r="E101" s="24" t="n"/>
      <c r="F101" s="25">
        <f>_xlfn.MINIFS(Cases!$D$2:$D$499,Cases!$B$2:$B$499,A101)</f>
        <v/>
      </c>
      <c r="G101" s="10">
        <f>COUNTIF(Cases!$B$2:$B$499,A101)</f>
        <v/>
      </c>
    </row>
    <row r="102">
      <c r="A102" s="10" t="inlineStr">
        <is>
          <t>ESHP003312054</t>
        </is>
      </c>
      <c r="B102" s="23" t="n"/>
      <c r="C102" s="23" t="n"/>
      <c r="D102" s="23" t="n"/>
      <c r="E102" s="24" t="n"/>
      <c r="F102" s="25">
        <f>_xlfn.MINIFS(Cases!$D$2:$D$499,Cases!$B$2:$B$499,A102)</f>
        <v/>
      </c>
      <c r="G102" s="10">
        <f>COUNTIF(Cases!$B$2:$B$499,A102)</f>
        <v/>
      </c>
    </row>
    <row r="103">
      <c r="A103" s="10" t="inlineStr">
        <is>
          <t>MYNJV70067115778</t>
        </is>
      </c>
      <c r="B103" s="23" t="n"/>
      <c r="C103" s="23" t="n"/>
      <c r="D103" s="23" t="n"/>
      <c r="E103" s="24" t="n"/>
      <c r="F103" s="25">
        <f>_xlfn.MINIFS(Cases!$D$2:$D$499,Cases!$B$2:$B$499,A103)</f>
        <v/>
      </c>
      <c r="G103" s="10">
        <f>COUNTIF(Cases!$B$2:$B$499,A103)</f>
        <v/>
      </c>
    </row>
    <row r="104">
      <c r="A104" s="10" t="inlineStr">
        <is>
          <t>NVMYNINJA002497597</t>
        </is>
      </c>
      <c r="B104" s="23" t="n"/>
      <c r="C104" s="23" t="n"/>
      <c r="D104" s="23" t="n"/>
      <c r="E104" s="24" t="n"/>
      <c r="F104" s="25">
        <f>_xlfn.MINIFS(Cases!$D$2:$D$499,Cases!$B$2:$B$499,A104)</f>
        <v/>
      </c>
      <c r="G104" s="10">
        <f>COUNTIF(Cases!$B$2:$B$499,A104)</f>
        <v/>
      </c>
    </row>
    <row r="105">
      <c r="A105" s="10" t="inlineStr">
        <is>
          <t>ZMP258439945-6440</t>
        </is>
      </c>
      <c r="B105" s="23" t="n"/>
      <c r="C105" s="23" t="n"/>
      <c r="D105" s="23" t="n"/>
      <c r="E105" s="24" t="n"/>
      <c r="F105" s="25">
        <f>_xlfn.MINIFS(Cases!$D$2:$D$499,Cases!$B$2:$B$499,A105)</f>
        <v/>
      </c>
      <c r="G105" s="10">
        <f>COUNTIF(Cases!$B$2:$B$499,A105)</f>
        <v/>
      </c>
    </row>
    <row r="106">
      <c r="A106" s="10" t="inlineStr">
        <is>
          <t>NVMYHYGRR00121440A</t>
        </is>
      </c>
      <c r="B106" s="23" t="n"/>
      <c r="C106" s="23" t="n"/>
      <c r="D106" s="23" t="n"/>
      <c r="E106" s="24" t="n"/>
      <c r="F106" s="25">
        <f>_xlfn.MINIFS(Cases!$D$2:$D$499,Cases!$B$2:$B$499,A106)</f>
        <v/>
      </c>
      <c r="G106" s="10">
        <f>COUNTIF(Cases!$B$2:$B$499,A106)</f>
        <v/>
      </c>
    </row>
    <row r="107">
      <c r="A107" s="10" t="inlineStr">
        <is>
          <t>ZRP856483223067</t>
        </is>
      </c>
      <c r="B107" s="23" t="n"/>
      <c r="C107" s="23" t="n"/>
      <c r="D107" s="23" t="n"/>
      <c r="E107" s="24" t="n"/>
      <c r="F107" s="25">
        <f>_xlfn.MINIFS(Cases!$D$2:$D$499,Cases!$B$2:$B$499,A107)</f>
        <v/>
      </c>
      <c r="G107" s="10">
        <f>COUNTIF(Cases!$B$2:$B$499,A107)</f>
        <v/>
      </c>
    </row>
    <row r="108">
      <c r="A108" s="10" t="inlineStr">
        <is>
          <t>TNGDV2609056822351280</t>
        </is>
      </c>
      <c r="B108" s="23" t="n"/>
      <c r="C108" s="23" t="n"/>
      <c r="D108" s="23" t="n"/>
      <c r="E108" s="24" t="n"/>
      <c r="F108" s="25">
        <f>_xlfn.MINIFS(Cases!$D$2:$D$499,Cases!$B$2:$B$499,A108)</f>
        <v/>
      </c>
      <c r="G108" s="10">
        <f>COUNTIF(Cases!$B$2:$B$499,A108)</f>
        <v/>
      </c>
    </row>
    <row r="109">
      <c r="A109" s="10" t="inlineStr">
        <is>
          <t>NVMYSECOM000093574</t>
        </is>
      </c>
      <c r="B109" s="23" t="n"/>
      <c r="C109" s="23" t="n"/>
      <c r="D109" s="23" t="n"/>
      <c r="E109" s="24" t="n"/>
      <c r="F109" s="25">
        <f>_xlfn.MINIFS(Cases!$D$2:$D$499,Cases!$B$2:$B$499,A109)</f>
        <v/>
      </c>
      <c r="G109" s="10">
        <f>COUNTIF(Cases!$B$2:$B$499,A109)</f>
        <v/>
      </c>
    </row>
    <row r="110">
      <c r="A110" s="10" t="inlineStr">
        <is>
          <t>NVMYBPXPD000001853</t>
        </is>
      </c>
      <c r="B110" s="23" t="n"/>
      <c r="C110" s="23" t="n"/>
      <c r="D110" s="23" t="n"/>
      <c r="E110" s="24" t="n"/>
      <c r="F110" s="25">
        <f>_xlfn.MINIFS(Cases!$D$2:$D$499,Cases!$B$2:$B$499,A110)</f>
        <v/>
      </c>
      <c r="G110" s="10">
        <f>COUNTIF(Cases!$B$2:$B$499,A110)</f>
        <v/>
      </c>
    </row>
    <row r="111">
      <c r="A111" s="10" t="inlineStr">
        <is>
          <t>UMIDI1548934597354450944&amp;UMIDI1548934598646771712</t>
        </is>
      </c>
      <c r="B111" s="23" t="n"/>
      <c r="C111" s="23" t="n"/>
      <c r="D111" s="23" t="n"/>
      <c r="E111" s="24" t="n"/>
      <c r="F111" s="25">
        <f>_xlfn.MINIFS(Cases!$D$2:$D$499,Cases!$B$2:$B$499,A111)</f>
        <v/>
      </c>
      <c r="G111" s="10">
        <f>COUNTIF(Cases!$B$2:$B$499,A111)</f>
        <v/>
      </c>
    </row>
    <row r="112">
      <c r="A112" s="10" t="inlineStr">
        <is>
          <t>ZMP291418945-2148</t>
        </is>
      </c>
      <c r="B112" s="23" t="n"/>
      <c r="C112" s="23" t="n"/>
      <c r="D112" s="23" t="n"/>
      <c r="E112" s="24" t="n"/>
      <c r="F112" s="25">
        <f>_xlfn.MINIFS(Cases!$D$2:$D$499,Cases!$B$2:$B$499,A112)</f>
        <v/>
      </c>
      <c r="G112" s="10">
        <f>COUNTIF(Cases!$B$2:$B$499,A112)</f>
        <v/>
      </c>
    </row>
    <row r="113">
      <c r="A113" s="10" t="inlineStr">
        <is>
          <t>MY-NV093284166</t>
        </is>
      </c>
      <c r="B113" s="23" t="n"/>
      <c r="C113" s="23" t="n"/>
      <c r="D113" s="23" t="n"/>
      <c r="E113" s="24" t="n"/>
      <c r="F113" s="25">
        <f>_xlfn.MINIFS(Cases!$D$2:$D$499,Cases!$B$2:$B$499,A113)</f>
        <v/>
      </c>
      <c r="G113" s="10">
        <f>COUNTIF(Cases!$B$2:$B$499,A113)</f>
        <v/>
      </c>
    </row>
    <row r="114">
      <c r="A114" s="10" t="inlineStr">
        <is>
          <t>MYNJV70062415718</t>
        </is>
      </c>
      <c r="B114" s="23" t="n"/>
      <c r="C114" s="23" t="n"/>
      <c r="D114" s="23" t="n"/>
      <c r="E114" s="24" t="n"/>
      <c r="F114" s="25">
        <f>_xlfn.MINIFS(Cases!$D$2:$D$499,Cases!$B$2:$B$499,A114)</f>
        <v/>
      </c>
      <c r="G114" s="10">
        <f>COUNTIF(Cases!$B$2:$B$499,A114)</f>
        <v/>
      </c>
    </row>
    <row r="115">
      <c r="A115" s="10" t="inlineStr">
        <is>
          <t>NVMYHNIKJ00316257E</t>
        </is>
      </c>
      <c r="B115" s="23" t="n"/>
      <c r="C115" s="23" t="n"/>
      <c r="D115" s="23" t="n"/>
      <c r="E115" s="24" t="n"/>
      <c r="F115" s="25">
        <f>_xlfn.MINIFS(Cases!$D$2:$D$499,Cases!$B$2:$B$499,A115)</f>
        <v/>
      </c>
      <c r="G115" s="10">
        <f>COUNTIF(Cases!$B$2:$B$499,A115)</f>
        <v/>
      </c>
    </row>
    <row r="116">
      <c r="A116" s="10" t="inlineStr">
        <is>
          <t>BAZAE1550537982831177728</t>
        </is>
      </c>
      <c r="B116" s="23" t="n"/>
      <c r="C116" s="23" t="n"/>
      <c r="D116" s="23" t="n"/>
      <c r="E116" s="24" t="n"/>
      <c r="F116" s="25">
        <f>_xlfn.MINIFS(Cases!$D$2:$D$499,Cases!$B$2:$B$499,A116)</f>
        <v/>
      </c>
      <c r="G116" s="10">
        <f>COUNTIF(Cases!$B$2:$B$499,A116)</f>
        <v/>
      </c>
    </row>
    <row r="117">
      <c r="A117" s="10" t="inlineStr">
        <is>
          <t>STLMY1544276476882800640</t>
        </is>
      </c>
      <c r="B117" s="23" t="n"/>
      <c r="C117" s="23" t="n"/>
      <c r="D117" s="23" t="n"/>
      <c r="E117" s="24" t="n"/>
      <c r="F117" s="25">
        <f>_xlfn.MINIFS(Cases!$D$2:$D$499,Cases!$B$2:$B$499,A117)</f>
        <v/>
      </c>
      <c r="G117" s="10">
        <f>COUNTIF(Cases!$B$2:$B$499,A117)</f>
        <v/>
      </c>
    </row>
    <row r="118">
      <c r="A118" s="10" t="inlineStr">
        <is>
          <t>NVMYVSI0N000005699</t>
        </is>
      </c>
      <c r="B118" s="23" t="n"/>
      <c r="C118" s="23" t="n"/>
      <c r="D118" s="23" t="n"/>
      <c r="E118" s="24" t="n"/>
      <c r="F118" s="25">
        <f>_xlfn.MINIFS(Cases!$D$2:$D$499,Cases!$B$2:$B$499,A118)</f>
        <v/>
      </c>
      <c r="G118" s="10">
        <f>COUNTIF(Cases!$B$2:$B$499,A118)</f>
        <v/>
      </c>
    </row>
    <row r="119">
      <c r="A119" s="10" t="inlineStr">
        <is>
          <t>MYNJV70005095678</t>
        </is>
      </c>
      <c r="B119" s="23" t="n"/>
      <c r="C119" s="23" t="n"/>
      <c r="D119" s="23" t="n"/>
      <c r="E119" s="24" t="n"/>
      <c r="F119" s="25">
        <f>_xlfn.MINIFS(Cases!$D$2:$D$499,Cases!$B$2:$B$499,A119)</f>
        <v/>
      </c>
      <c r="G119" s="10">
        <f>COUNTIF(Cases!$B$2:$B$499,A119)</f>
        <v/>
      </c>
    </row>
    <row r="120">
      <c r="A120" s="10" t="inlineStr">
        <is>
          <t>KULIM1550108430772015104</t>
        </is>
      </c>
      <c r="B120" s="23" t="n"/>
      <c r="C120" s="23" t="n"/>
      <c r="D120" s="23" t="n"/>
      <c r="E120" s="24" t="n"/>
      <c r="F120" s="25">
        <f>_xlfn.MINIFS(Cases!$D$2:$D$499,Cases!$B$2:$B$499,A120)</f>
        <v/>
      </c>
      <c r="G120" s="10">
        <f>COUNTIF(Cases!$B$2:$B$499,A120)</f>
        <v/>
      </c>
    </row>
    <row r="121">
      <c r="A121" s="10" t="inlineStr">
        <is>
          <t>CASIA1548166026215026688</t>
        </is>
      </c>
      <c r="B121" s="23" t="n"/>
      <c r="C121" s="23" t="n"/>
      <c r="D121" s="23" t="n"/>
      <c r="E121" s="24" t="n"/>
      <c r="F121" s="25">
        <f>_xlfn.MINIFS(Cases!$D$2:$D$499,Cases!$B$2:$B$499,A121)</f>
        <v/>
      </c>
      <c r="G121" s="10">
        <f>COUNTIF(Cases!$B$2:$B$499,A121)</f>
        <v/>
      </c>
    </row>
    <row r="122">
      <c r="A122" s="10" t="inlineStr">
        <is>
          <t>NVMYMYBAL000039241</t>
        </is>
      </c>
      <c r="B122" s="23" t="n"/>
      <c r="C122" s="23" t="n"/>
      <c r="D122" s="23" t="n"/>
      <c r="E122" s="24" t="n"/>
      <c r="F122" s="25">
        <f>_xlfn.MINIFS(Cases!$D$2:$D$499,Cases!$B$2:$B$499,A122)</f>
        <v/>
      </c>
      <c r="G122" s="10">
        <f>COUNTIF(Cases!$B$2:$B$499,A122)</f>
        <v/>
      </c>
    </row>
    <row r="123">
      <c r="A123" s="10" t="inlineStr">
        <is>
          <t>NVMYDAIGO0SD11689A</t>
        </is>
      </c>
      <c r="B123" s="23" t="n"/>
      <c r="C123" s="23" t="n"/>
      <c r="D123" s="23" t="n"/>
      <c r="E123" s="24" t="n"/>
      <c r="F123" s="25">
        <f>_xlfn.MINIFS(Cases!$D$2:$D$499,Cases!$B$2:$B$499,A123)</f>
        <v/>
      </c>
      <c r="G123" s="10">
        <f>COUNTIF(Cases!$B$2:$B$499,A123)</f>
        <v/>
      </c>
    </row>
    <row r="124">
      <c r="A124" s="10" t="inlineStr">
        <is>
          <t>BBPE1548563273542471680</t>
        </is>
      </c>
      <c r="B124" s="23" t="n"/>
      <c r="C124" s="23" t="n"/>
      <c r="D124" s="23" t="n"/>
      <c r="E124" s="24" t="n"/>
      <c r="F124" s="25">
        <f>_xlfn.MINIFS(Cases!$D$2:$D$499,Cases!$B$2:$B$499,A124)</f>
        <v/>
      </c>
      <c r="G124" s="10">
        <f>COUNTIF(Cases!$B$2:$B$499,A124)</f>
        <v/>
      </c>
    </row>
    <row r="125">
      <c r="A125" s="10" t="inlineStr">
        <is>
          <t>TNGDV2609156900807310</t>
        </is>
      </c>
      <c r="B125" s="23" t="n"/>
      <c r="C125" s="23" t="n"/>
      <c r="D125" s="23" t="n"/>
      <c r="E125" s="24" t="n"/>
      <c r="F125" s="25">
        <f>_xlfn.MINIFS(Cases!$D$2:$D$499,Cases!$B$2:$B$499,A125)</f>
        <v/>
      </c>
      <c r="G125" s="10">
        <f>COUNTIF(Cases!$B$2:$B$499,A125)</f>
        <v/>
      </c>
    </row>
    <row r="126">
      <c r="A126" s="10" t="inlineStr">
        <is>
          <t>AJDHU1550340179671482368</t>
        </is>
      </c>
      <c r="B126" s="23" t="n"/>
      <c r="C126" s="23" t="n"/>
      <c r="D126" s="23" t="n"/>
      <c r="E126" s="24" t="n"/>
      <c r="F126" s="25">
        <f>_xlfn.MINIFS(Cases!$D$2:$D$499,Cases!$B$2:$B$499,A126)</f>
        <v/>
      </c>
      <c r="G126" s="10">
        <f>COUNTIF(Cases!$B$2:$B$499,A126)</f>
        <v/>
      </c>
    </row>
    <row r="127">
      <c r="A127" s="10" t="inlineStr">
        <is>
          <t>NVMYNINJA002508449</t>
        </is>
      </c>
      <c r="B127" s="23" t="n"/>
      <c r="C127" s="23" t="n"/>
      <c r="D127" s="23" t="n"/>
      <c r="E127" s="24" t="n"/>
      <c r="F127" s="25">
        <f>_xlfn.MINIFS(Cases!$D$2:$D$499,Cases!$B$2:$B$499,A127)</f>
        <v/>
      </c>
      <c r="G127" s="10">
        <f>COUNTIF(Cases!$B$2:$B$499,A127)</f>
        <v/>
      </c>
    </row>
    <row r="128">
      <c r="A128" s="10" t="inlineStr">
        <is>
          <t>NVMYFCSSB000000568</t>
        </is>
      </c>
      <c r="B128" s="23" t="n"/>
      <c r="C128" s="23" t="n"/>
      <c r="D128" s="23" t="n"/>
      <c r="E128" s="24" t="n"/>
      <c r="F128" s="25">
        <f>_xlfn.MINIFS(Cases!$D$2:$D$499,Cases!$B$2:$B$499,A128)</f>
        <v/>
      </c>
      <c r="G128" s="10">
        <f>COUNTIF(Cases!$B$2:$B$499,A128)</f>
        <v/>
      </c>
    </row>
    <row r="129">
      <c r="A129" s="10" t="inlineStr">
        <is>
          <t>NVMYMYAZL000000044</t>
        </is>
      </c>
      <c r="B129" s="23" t="n"/>
      <c r="C129" s="23" t="n"/>
      <c r="D129" s="23" t="n"/>
      <c r="E129" s="24" t="n"/>
      <c r="F129" s="25">
        <f>_xlfn.MINIFS(Cases!$D$2:$D$499,Cases!$B$2:$B$499,A129)</f>
        <v/>
      </c>
      <c r="G129" s="10">
        <f>COUNTIF(Cases!$B$2:$B$499,A129)</f>
        <v/>
      </c>
    </row>
    <row r="130">
      <c r="A130" s="10" t="inlineStr">
        <is>
          <t>NVMYHENEL000011349</t>
        </is>
      </c>
      <c r="B130" s="23" t="n"/>
      <c r="C130" s="23" t="n"/>
      <c r="D130" s="23" t="n"/>
      <c r="E130" s="24" t="n"/>
      <c r="F130" s="25">
        <f>_xlfn.MINIFS(Cases!$D$2:$D$499,Cases!$B$2:$B$499,A130)</f>
        <v/>
      </c>
      <c r="G130" s="10">
        <f>COUNTIF(Cases!$B$2:$B$499,A130)</f>
        <v/>
      </c>
    </row>
    <row r="131">
      <c r="A131" s="10" t="inlineStr">
        <is>
          <t>ZNV211571945-3369</t>
        </is>
      </c>
      <c r="B131" s="23" t="n"/>
      <c r="C131" s="23" t="n"/>
      <c r="D131" s="23" t="n"/>
      <c r="E131" s="24" t="n"/>
      <c r="F131" s="25">
        <f>_xlfn.MINIFS(Cases!$D$2:$D$499,Cases!$B$2:$B$499,A131)</f>
        <v/>
      </c>
      <c r="G131" s="10">
        <f>COUNTIF(Cases!$B$2:$B$499,A131)</f>
        <v/>
      </c>
    </row>
    <row r="132">
      <c r="A132" s="10" t="inlineStr">
        <is>
          <t>MAILB1550695095780970496</t>
        </is>
      </c>
      <c r="B132" s="23" t="n"/>
      <c r="C132" s="23" t="n"/>
      <c r="D132" s="23" t="n"/>
      <c r="E132" s="24" t="n"/>
      <c r="F132" s="25">
        <f>_xlfn.MINIFS(Cases!$D$2:$D$499,Cases!$B$2:$B$499,A132)</f>
        <v/>
      </c>
      <c r="G132" s="10">
        <f>COUNTIF(Cases!$B$2:$B$499,A132)</f>
        <v/>
      </c>
    </row>
    <row r="133">
      <c r="A133" s="10" t="inlineStr">
        <is>
          <t>FBEAR1549328730363207680</t>
        </is>
      </c>
      <c r="B133" s="23" t="n"/>
      <c r="C133" s="23" t="n"/>
      <c r="D133" s="23" t="n"/>
      <c r="E133" s="24" t="n"/>
      <c r="F133" s="25">
        <f>_xlfn.MINIFS(Cases!$D$2:$D$499,Cases!$B$2:$B$499,A133)</f>
        <v/>
      </c>
      <c r="G133" s="10">
        <f>COUNTIF(Cases!$B$2:$B$499,A133)</f>
        <v/>
      </c>
    </row>
    <row r="134">
      <c r="A134" s="10" t="inlineStr">
        <is>
          <t>TNGE326040018499785030</t>
        </is>
      </c>
      <c r="B134" s="23" t="n"/>
      <c r="C134" s="23" t="n"/>
      <c r="D134" s="23" t="n"/>
      <c r="E134" s="24" t="n"/>
      <c r="F134" s="25">
        <f>_xlfn.MINIFS(Cases!$D$2:$D$499,Cases!$B$2:$B$499,A134)</f>
        <v/>
      </c>
      <c r="G134" s="10">
        <f>COUNTIF(Cases!$B$2:$B$499,A134)</f>
        <v/>
      </c>
    </row>
    <row r="135">
      <c r="A135" s="10" t="inlineStr">
        <is>
          <t>CCORB1550039098201280512</t>
        </is>
      </c>
      <c r="B135" s="23" t="n"/>
      <c r="C135" s="23" t="n"/>
      <c r="D135" s="23" t="n"/>
      <c r="E135" s="24" t="n"/>
      <c r="F135" s="25">
        <f>_xlfn.MINIFS(Cases!$D$2:$D$499,Cases!$B$2:$B$499,A135)</f>
        <v/>
      </c>
      <c r="G135" s="10">
        <f>COUNTIF(Cases!$B$2:$B$499,A135)</f>
        <v/>
      </c>
    </row>
    <row r="136">
      <c r="A136" s="10" t="inlineStr">
        <is>
          <t>NVMYTEPIS000003837</t>
        </is>
      </c>
      <c r="B136" s="23" t="n"/>
      <c r="C136" s="23" t="n"/>
      <c r="D136" s="23" t="n"/>
      <c r="E136" s="24" t="n"/>
      <c r="F136" s="25">
        <f>_xlfn.MINIFS(Cases!$D$2:$D$499,Cases!$B$2:$B$499,A136)</f>
        <v/>
      </c>
      <c r="G136" s="10">
        <f>COUNTIF(Cases!$B$2:$B$499,A136)</f>
        <v/>
      </c>
    </row>
    <row r="137">
      <c r="A137" s="10" t="inlineStr">
        <is>
          <t>NLMYWA04659139</t>
        </is>
      </c>
      <c r="B137" s="23" t="n"/>
      <c r="C137" s="23" t="n"/>
      <c r="D137" s="23" t="n"/>
      <c r="E137" s="24" t="n"/>
      <c r="F137" s="25">
        <f>_xlfn.MINIFS(Cases!$D$2:$D$499,Cases!$B$2:$B$499,A137)</f>
        <v/>
      </c>
      <c r="G137" s="10">
        <f>COUNTIF(Cases!$B$2:$B$499,A137)</f>
        <v/>
      </c>
    </row>
    <row r="138">
      <c r="A138" s="10" t="inlineStr">
        <is>
          <t>ESHP003312621</t>
        </is>
      </c>
      <c r="B138" s="23" t="n"/>
      <c r="C138" s="23" t="n"/>
      <c r="D138" s="23" t="n"/>
      <c r="E138" s="24" t="n"/>
      <c r="F138" s="25">
        <f>_xlfn.MINIFS(Cases!$D$2:$D$499,Cases!$B$2:$B$499,A138)</f>
        <v/>
      </c>
      <c r="G138" s="10">
        <f>COUNTIF(Cases!$B$2:$B$499,A138)</f>
        <v/>
      </c>
    </row>
    <row r="139">
      <c r="A139" s="10" t="inlineStr">
        <is>
          <t>NVMY9MTNY000005885</t>
        </is>
      </c>
      <c r="B139" s="23" t="n"/>
      <c r="C139" s="23" t="n"/>
      <c r="D139" s="23" t="n"/>
      <c r="E139" s="24" t="n"/>
      <c r="F139" s="25">
        <f>_xlfn.MINIFS(Cases!$D$2:$D$499,Cases!$B$2:$B$499,A139)</f>
        <v/>
      </c>
      <c r="G139" s="10">
        <f>COUNTIF(Cases!$B$2:$B$499,A139)</f>
        <v/>
      </c>
    </row>
    <row r="140">
      <c r="A140" s="10" t="inlineStr">
        <is>
          <t>THIDR17920266</t>
        </is>
      </c>
      <c r="B140" s="23" t="n"/>
      <c r="C140" s="23" t="n"/>
      <c r="D140" s="23" t="n"/>
      <c r="E140" s="24" t="n"/>
      <c r="F140" s="25">
        <f>_xlfn.MINIFS(Cases!$D$2:$D$499,Cases!$B$2:$B$499,A140)</f>
        <v/>
      </c>
      <c r="G140" s="10">
        <f>COUNTIF(Cases!$B$2:$B$499,A140)</f>
        <v/>
      </c>
    </row>
    <row r="141">
      <c r="A141" s="10" t="inlineStr">
        <is>
          <t>NVMYNINJA002513766</t>
        </is>
      </c>
      <c r="B141" s="23" t="n"/>
      <c r="C141" s="23" t="n"/>
      <c r="D141" s="23" t="n"/>
      <c r="E141" s="24" t="n"/>
      <c r="F141" s="25">
        <f>_xlfn.MINIFS(Cases!$D$2:$D$499,Cases!$B$2:$B$499,A141)</f>
        <v/>
      </c>
      <c r="G141" s="10">
        <f>COUNTIF(Cases!$B$2:$B$499,A141)</f>
        <v/>
      </c>
    </row>
    <row r="142">
      <c r="A142" s="10" t="inlineStr">
        <is>
          <t>NVMYMYWRI000002165</t>
        </is>
      </c>
      <c r="B142" s="23" t="n"/>
      <c r="C142" s="23" t="n"/>
      <c r="D142" s="23" t="n"/>
      <c r="E142" s="24" t="n"/>
      <c r="F142" s="25">
        <f>_xlfn.MINIFS(Cases!$D$2:$D$499,Cases!$B$2:$B$499,A142)</f>
        <v/>
      </c>
      <c r="G142" s="10">
        <f>COUNTIF(Cases!$B$2:$B$499,A142)</f>
        <v/>
      </c>
    </row>
    <row r="143">
      <c r="A143" s="10" t="inlineStr">
        <is>
          <t>MUJIM0000089331003</t>
        </is>
      </c>
      <c r="B143" s="23" t="n"/>
      <c r="C143" s="23" t="n"/>
      <c r="D143" s="23" t="n"/>
      <c r="E143" s="24" t="n"/>
      <c r="F143" s="25">
        <f>_xlfn.MINIFS(Cases!$D$2:$D$499,Cases!$B$2:$B$499,A143)</f>
        <v/>
      </c>
      <c r="G143" s="10">
        <f>COUNTIF(Cases!$B$2:$B$499,A143)</f>
        <v/>
      </c>
    </row>
    <row r="144">
      <c r="A144" s="10" t="inlineStr">
        <is>
          <t>APGUK012000005043821</t>
        </is>
      </c>
      <c r="B144" s="23" t="n"/>
      <c r="C144" s="23" t="n"/>
      <c r="D144" s="23" t="n"/>
      <c r="E144" s="24" t="n"/>
      <c r="F144" s="25">
        <f>_xlfn.MINIFS(Cases!$D$2:$D$499,Cases!$B$2:$B$499,A144)</f>
        <v/>
      </c>
      <c r="G144" s="10">
        <f>COUNTIF(Cases!$B$2:$B$499,A144)</f>
        <v/>
      </c>
    </row>
    <row r="145">
      <c r="A145" s="10" t="inlineStr">
        <is>
          <t>NVMY00SNS102333600</t>
        </is>
      </c>
      <c r="B145" s="23" t="n"/>
      <c r="C145" s="23" t="n"/>
      <c r="D145" s="23" t="n"/>
      <c r="E145" s="24" t="n"/>
      <c r="F145" s="25">
        <f>_xlfn.MINIFS(Cases!$D$2:$D$499,Cases!$B$2:$B$499,A145)</f>
        <v/>
      </c>
      <c r="G145" s="10">
        <f>COUNTIF(Cases!$B$2:$B$499,A145)</f>
        <v/>
      </c>
    </row>
    <row r="146">
      <c r="A146" s="10" t="inlineStr">
        <is>
          <t>NVMYTCALE000000964</t>
        </is>
      </c>
      <c r="B146" s="23" t="n"/>
      <c r="C146" s="23" t="n"/>
      <c r="D146" s="23" t="n"/>
      <c r="E146" s="24" t="n"/>
      <c r="F146" s="25">
        <f>_xlfn.MINIFS(Cases!$D$2:$D$499,Cases!$B$2:$B$499,A146)</f>
        <v/>
      </c>
      <c r="G146" s="10">
        <f>COUNTIF(Cases!$B$2:$B$499,A146)</f>
        <v/>
      </c>
    </row>
    <row r="147">
      <c r="A147" s="10" t="inlineStr">
        <is>
          <t>ZMP274355945-2588</t>
        </is>
      </c>
      <c r="B147" s="23" t="n"/>
      <c r="C147" s="23" t="n"/>
      <c r="D147" s="23" t="n"/>
      <c r="E147" s="24" t="n"/>
      <c r="F147" s="25">
        <f>_xlfn.MINIFS(Cases!$D$2:$D$499,Cases!$B$2:$B$499,A147)</f>
        <v/>
      </c>
      <c r="G147" s="10">
        <f>COUNTIF(Cases!$B$2:$B$499,A147)</f>
        <v/>
      </c>
    </row>
    <row r="148">
      <c r="A148" s="10" t="inlineStr">
        <is>
          <t>BBPE1550736921844985856</t>
        </is>
      </c>
      <c r="B148" s="23" t="n"/>
      <c r="C148" s="23" t="n"/>
      <c r="D148" s="23" t="n"/>
      <c r="E148" s="24" t="n"/>
      <c r="F148" s="25">
        <f>_xlfn.MINIFS(Cases!$D$2:$D$499,Cases!$B$2:$B$499,A148)</f>
        <v/>
      </c>
      <c r="G148" s="10">
        <f>COUNTIF(Cases!$B$2:$B$499,A148)</f>
        <v/>
      </c>
    </row>
    <row r="149">
      <c r="A149" s="10" t="inlineStr">
        <is>
          <t>TNGDV2608306813565210</t>
        </is>
      </c>
      <c r="B149" s="23" t="n"/>
      <c r="C149" s="23" t="n"/>
      <c r="D149" s="23" t="n"/>
      <c r="E149" s="24" t="n"/>
      <c r="F149" s="25">
        <f>_xlfn.MINIFS(Cases!$D$2:$D$499,Cases!$B$2:$B$499,A149)</f>
        <v/>
      </c>
      <c r="G149" s="10">
        <f>COUNTIF(Cases!$B$2:$B$499,A149)</f>
        <v/>
      </c>
    </row>
    <row r="150">
      <c r="A150" s="10" t="inlineStr">
        <is>
          <t>TNGE126007020392797000</t>
        </is>
      </c>
      <c r="B150" s="23" t="n"/>
      <c r="C150" s="23" t="n"/>
      <c r="D150" s="23" t="n"/>
      <c r="E150" s="24" t="n"/>
      <c r="F150" s="25">
        <f>_xlfn.MINIFS(Cases!$D$2:$D$499,Cases!$B$2:$B$499,A150)</f>
        <v/>
      </c>
      <c r="G150" s="10">
        <f>COUNTIF(Cases!$B$2:$B$499,A150)</f>
        <v/>
      </c>
    </row>
    <row r="151">
      <c r="A151" s="10" t="inlineStr">
        <is>
          <t>NVMYHJSBG000023117</t>
        </is>
      </c>
      <c r="B151" s="23" t="n"/>
      <c r="C151" s="23" t="n"/>
      <c r="D151" s="23" t="n"/>
      <c r="E151" s="24" t="n"/>
      <c r="F151" s="25">
        <f>_xlfn.MINIFS(Cases!$D$2:$D$499,Cases!$B$2:$B$499,A151)</f>
        <v/>
      </c>
      <c r="G151" s="10">
        <f>COUNTIF(Cases!$B$2:$B$499,A151)</f>
        <v/>
      </c>
    </row>
    <row r="152">
      <c r="A152" s="10" t="inlineStr">
        <is>
          <t>AEMYA000629951</t>
        </is>
      </c>
      <c r="B152" s="23" t="n"/>
      <c r="C152" s="23" t="n"/>
      <c r="D152" s="23" t="n"/>
      <c r="E152" s="24" t="n"/>
      <c r="F152" s="25">
        <f>_xlfn.MINIFS(Cases!$D$2:$D$499,Cases!$B$2:$B$499,A152)</f>
        <v/>
      </c>
      <c r="G152" s="10">
        <f>COUNTIF(Cases!$B$2:$B$499,A152)</f>
        <v/>
      </c>
    </row>
    <row r="153">
      <c r="A153" s="10" t="inlineStr">
        <is>
          <t>NVMYTEPIS000003833</t>
        </is>
      </c>
      <c r="B153" s="23" t="n"/>
      <c r="C153" s="23" t="n"/>
      <c r="D153" s="23" t="n"/>
      <c r="E153" s="24" t="n"/>
      <c r="F153" s="25">
        <f>_xlfn.MINIFS(Cases!$D$2:$D$499,Cases!$B$2:$B$499,A153)</f>
        <v/>
      </c>
      <c r="G153" s="10">
        <f>COUNTIF(Cases!$B$2:$B$499,A153)</f>
        <v/>
      </c>
    </row>
    <row r="154">
      <c r="A154" s="10" t="inlineStr">
        <is>
          <t>NVMYTEPIS000003807</t>
        </is>
      </c>
      <c r="B154" s="23" t="n"/>
      <c r="C154" s="23" t="n"/>
      <c r="D154" s="23" t="n"/>
      <c r="E154" s="24" t="n"/>
      <c r="F154" s="25">
        <f>_xlfn.MINIFS(Cases!$D$2:$D$499,Cases!$B$2:$B$499,A154)</f>
        <v/>
      </c>
      <c r="G154" s="10">
        <f>COUNTIF(Cases!$B$2:$B$499,A154)</f>
        <v/>
      </c>
    </row>
    <row r="155">
      <c r="A155" s="10" t="inlineStr">
        <is>
          <t>NVMYNINJA002518185</t>
        </is>
      </c>
      <c r="B155" s="23" t="n"/>
      <c r="C155" s="23" t="n"/>
      <c r="D155" s="23" t="n"/>
      <c r="E155" s="24" t="n"/>
      <c r="F155" s="25">
        <f>_xlfn.MINIFS(Cases!$D$2:$D$499,Cases!$B$2:$B$499,A155)</f>
        <v/>
      </c>
      <c r="G155" s="10">
        <f>COUNTIF(Cases!$B$2:$B$499,A155)</f>
        <v/>
      </c>
    </row>
    <row r="156">
      <c r="A156" s="10" t="inlineStr">
        <is>
          <t>TNGDV2609086877050030</t>
        </is>
      </c>
      <c r="B156" s="23" t="n"/>
      <c r="C156" s="23" t="n"/>
      <c r="D156" s="23" t="n"/>
      <c r="E156" s="24" t="n"/>
      <c r="F156" s="25">
        <f>_xlfn.MINIFS(Cases!$D$2:$D$499,Cases!$B$2:$B$499,A156)</f>
        <v/>
      </c>
      <c r="G156" s="10">
        <f>COUNTIF(Cases!$B$2:$B$499,A156)</f>
        <v/>
      </c>
    </row>
    <row r="157">
      <c r="A157" s="10" t="inlineStr">
        <is>
          <t>TNGDV2609096888689700</t>
        </is>
      </c>
      <c r="B157" s="23" t="n"/>
      <c r="C157" s="23" t="n"/>
      <c r="D157" s="23" t="n"/>
      <c r="E157" s="24" t="n"/>
      <c r="F157" s="25">
        <f>_xlfn.MINIFS(Cases!$D$2:$D$499,Cases!$B$2:$B$499,A157)</f>
        <v/>
      </c>
      <c r="G157" s="10">
        <f>COUNTIF(Cases!$B$2:$B$499,A157)</f>
        <v/>
      </c>
    </row>
    <row r="158">
      <c r="A158" s="10" t="inlineStr">
        <is>
          <t>TNGE125896323458678000</t>
        </is>
      </c>
      <c r="B158" s="23" t="n"/>
      <c r="C158" s="23" t="n"/>
      <c r="D158" s="23" t="n"/>
      <c r="E158" s="24" t="n"/>
      <c r="F158" s="25">
        <f>_xlfn.MINIFS(Cases!$D$2:$D$499,Cases!$B$2:$B$499,A158)</f>
        <v/>
      </c>
      <c r="G158" s="10">
        <f>COUNTIF(Cases!$B$2:$B$499,A158)</f>
        <v/>
      </c>
    </row>
    <row r="159">
      <c r="A159" s="10" t="inlineStr">
        <is>
          <t>NVMYANIMO000001482</t>
        </is>
      </c>
      <c r="B159" s="23" t="n"/>
      <c r="C159" s="23" t="n"/>
      <c r="D159" s="23" t="n"/>
      <c r="E159" s="24" t="n"/>
      <c r="F159" s="25">
        <f>_xlfn.MINIFS(Cases!$D$2:$D$499,Cases!$B$2:$B$499,A159)</f>
        <v/>
      </c>
      <c r="G159" s="10">
        <f>COUNTIF(Cases!$B$2:$B$499,A159)</f>
        <v/>
      </c>
    </row>
    <row r="160">
      <c r="A160" s="10" t="inlineStr">
        <is>
          <t>ZMP212817945-9249</t>
        </is>
      </c>
      <c r="B160" s="23" t="n"/>
      <c r="C160" s="23" t="n"/>
      <c r="D160" s="23" t="n"/>
      <c r="E160" s="24" t="n"/>
      <c r="F160" s="25">
        <f>_xlfn.MINIFS(Cases!$D$2:$D$499,Cases!$B$2:$B$499,A160)</f>
        <v/>
      </c>
      <c r="G160" s="10">
        <f>COUNTIF(Cases!$B$2:$B$499,A160)</f>
        <v/>
      </c>
    </row>
    <row r="161">
      <c r="A161" s="10" t="inlineStr">
        <is>
          <t>AEMYA000620728</t>
        </is>
      </c>
      <c r="B161" s="23" t="n"/>
      <c r="C161" s="23" t="n"/>
      <c r="D161" s="23" t="n"/>
      <c r="E161" s="24" t="n"/>
      <c r="F161" s="25">
        <f>_xlfn.MINIFS(Cases!$D$2:$D$499,Cases!$B$2:$B$499,A161)</f>
        <v/>
      </c>
      <c r="G161" s="10">
        <f>COUNTIF(Cases!$B$2:$B$499,A161)</f>
        <v/>
      </c>
    </row>
    <row r="162">
      <c r="A162" s="10" t="inlineStr">
        <is>
          <t>JYHMYNJVM2026090738X</t>
        </is>
      </c>
      <c r="B162" s="23" t="n"/>
      <c r="C162" s="23" t="n"/>
      <c r="D162" s="23" t="n"/>
      <c r="E162" s="24" t="n"/>
      <c r="F162" s="25">
        <f>_xlfn.MINIFS(Cases!$D$2:$D$499,Cases!$B$2:$B$499,A162)</f>
        <v/>
      </c>
      <c r="G162" s="10">
        <f>COUNTIF(Cases!$B$2:$B$499,A162)</f>
        <v/>
      </c>
    </row>
    <row r="163">
      <c r="A163" s="10" t="inlineStr">
        <is>
          <t>WNJMY00915882908</t>
        </is>
      </c>
      <c r="B163" s="23" t="n"/>
      <c r="C163" s="23" t="n"/>
      <c r="D163" s="23" t="n"/>
      <c r="E163" s="24" t="n"/>
      <c r="F163" s="25">
        <f>_xlfn.MINIFS(Cases!$D$2:$D$499,Cases!$B$2:$B$499,A163)</f>
        <v/>
      </c>
      <c r="G163" s="10">
        <f>COUNTIF(Cases!$B$2:$B$499,A163)</f>
        <v/>
      </c>
    </row>
    <row r="164">
      <c r="A164" s="10" t="inlineStr">
        <is>
          <t>NVMYMSNCK000003762</t>
        </is>
      </c>
      <c r="B164" s="23" t="n"/>
      <c r="C164" s="23" t="n"/>
      <c r="D164" s="23" t="n"/>
      <c r="E164" s="24" t="n"/>
      <c r="F164" s="25">
        <f>_xlfn.MINIFS(Cases!$D$2:$D$499,Cases!$B$2:$B$499,A164)</f>
        <v/>
      </c>
      <c r="G164" s="10">
        <f>COUNTIF(Cases!$B$2:$B$499,A164)</f>
        <v/>
      </c>
    </row>
    <row r="165">
      <c r="A165" s="10" t="inlineStr">
        <is>
          <t>NVMYZZTAP000002334</t>
        </is>
      </c>
      <c r="B165" s="23" t="n"/>
      <c r="C165" s="23" t="n"/>
      <c r="D165" s="23" t="n"/>
      <c r="E165" s="24" t="n"/>
      <c r="F165" s="25">
        <f>_xlfn.MINIFS(Cases!$D$2:$D$499,Cases!$B$2:$B$499,A165)</f>
        <v/>
      </c>
      <c r="G165" s="10">
        <f>COUNTIF(Cases!$B$2:$B$499,A165)</f>
        <v/>
      </c>
    </row>
    <row r="166">
      <c r="A166" s="10" t="inlineStr">
        <is>
          <t>TNGDV2609116876150630</t>
        </is>
      </c>
      <c r="B166" s="23" t="n"/>
      <c r="C166" s="23" t="n"/>
      <c r="D166" s="23" t="n"/>
      <c r="E166" s="24" t="n"/>
      <c r="F166" s="25">
        <f>_xlfn.MINIFS(Cases!$D$2:$D$499,Cases!$B$2:$B$499,A166)</f>
        <v/>
      </c>
      <c r="G166" s="10">
        <f>COUNTIF(Cases!$B$2:$B$499,A166)</f>
        <v/>
      </c>
    </row>
    <row r="167">
      <c r="A167" s="10" t="inlineStr">
        <is>
          <t>NVMY20168000067284</t>
        </is>
      </c>
      <c r="B167" s="23" t="n"/>
      <c r="C167" s="23" t="n"/>
      <c r="D167" s="23" t="n"/>
      <c r="E167" s="24" t="n"/>
      <c r="F167" s="25">
        <f>_xlfn.MINIFS(Cases!$D$2:$D$499,Cases!$B$2:$B$499,A167)</f>
        <v/>
      </c>
      <c r="G167" s="10">
        <f>COUNTIF(Cases!$B$2:$B$499,A167)</f>
        <v/>
      </c>
    </row>
    <row r="168">
      <c r="A168" s="10" t="inlineStr">
        <is>
          <t>KIMKB1528948758730264576</t>
        </is>
      </c>
      <c r="B168" s="23" t="n"/>
      <c r="C168" s="23" t="n"/>
      <c r="D168" s="23" t="n"/>
      <c r="E168" s="24" t="n"/>
      <c r="F168" s="25">
        <f>_xlfn.MINIFS(Cases!$D$2:$D$499,Cases!$B$2:$B$499,A168)</f>
        <v/>
      </c>
      <c r="G168" s="10">
        <f>COUNTIF(Cases!$B$2:$B$499,A168)</f>
        <v/>
      </c>
    </row>
    <row r="169">
      <c r="A169" s="10" t="inlineStr">
        <is>
          <t>AEMYA000625234</t>
        </is>
      </c>
      <c r="B169" s="23" t="n"/>
      <c r="C169" s="23" t="n"/>
      <c r="D169" s="23" t="n"/>
      <c r="E169" s="24" t="n"/>
      <c r="F169" s="25">
        <f>_xlfn.MINIFS(Cases!$D$2:$D$499,Cases!$B$2:$B$499,A169)</f>
        <v/>
      </c>
      <c r="G169" s="10">
        <f>COUNTIF(Cases!$B$2:$B$499,A169)</f>
        <v/>
      </c>
    </row>
    <row r="170">
      <c r="A170" s="10" t="inlineStr">
        <is>
          <t>XHY00400470</t>
        </is>
      </c>
      <c r="B170" s="23" t="n"/>
      <c r="C170" s="23" t="n"/>
      <c r="D170" s="23" t="n"/>
      <c r="E170" s="24" t="n"/>
      <c r="F170" s="25">
        <f>_xlfn.MINIFS(Cases!$D$2:$D$499,Cases!$B$2:$B$499,A170)</f>
        <v/>
      </c>
      <c r="G170" s="10">
        <f>COUNTIF(Cases!$B$2:$B$499,A170)</f>
        <v/>
      </c>
    </row>
    <row r="171">
      <c r="A171" s="10" t="inlineStr">
        <is>
          <t>NVMYSFPRO000001022-001</t>
        </is>
      </c>
      <c r="B171" s="23" t="n"/>
      <c r="C171" s="23" t="n"/>
      <c r="D171" s="23" t="n"/>
      <c r="E171" s="24" t="n"/>
      <c r="F171" s="25">
        <f>_xlfn.MINIFS(Cases!$D$2:$D$499,Cases!$B$2:$B$499,A171)</f>
        <v/>
      </c>
      <c r="G171" s="10">
        <f>COUNTIF(Cases!$B$2:$B$499,A171)</f>
        <v/>
      </c>
    </row>
    <row r="172">
      <c r="A172" s="10" t="inlineStr">
        <is>
          <t>MAILB1550392111345020928</t>
        </is>
      </c>
      <c r="B172" s="23" t="n"/>
      <c r="C172" s="23" t="n"/>
      <c r="D172" s="23" t="n"/>
      <c r="E172" s="24" t="n"/>
      <c r="F172" s="25">
        <f>_xlfn.MINIFS(Cases!$D$2:$D$499,Cases!$B$2:$B$499,A172)</f>
        <v/>
      </c>
      <c r="G172" s="10">
        <f>COUNTIF(Cases!$B$2:$B$499,A172)</f>
        <v/>
      </c>
    </row>
    <row r="173">
      <c r="A173" s="10" t="inlineStr">
        <is>
          <t>NVMY68168001493757</t>
        </is>
      </c>
      <c r="B173" s="23" t="n"/>
      <c r="C173" s="23" t="n"/>
      <c r="D173" s="23" t="n"/>
      <c r="E173" s="24" t="n"/>
      <c r="F173" s="25">
        <f>_xlfn.MINIFS(Cases!$D$2:$D$499,Cases!$B$2:$B$499,A173)</f>
        <v/>
      </c>
      <c r="G173" s="10">
        <f>COUNTIF(Cases!$B$2:$B$499,A173)</f>
        <v/>
      </c>
    </row>
    <row r="174">
      <c r="A174" s="10" t="inlineStr">
        <is>
          <t>MYNJV70049255468</t>
        </is>
      </c>
      <c r="B174" s="23" t="n"/>
      <c r="C174" s="23" t="n"/>
      <c r="D174" s="23" t="n"/>
      <c r="E174" s="24" t="n"/>
      <c r="F174" s="25">
        <f>_xlfn.MINIFS(Cases!$D$2:$D$499,Cases!$B$2:$B$499,A174)</f>
        <v/>
      </c>
      <c r="G174" s="10">
        <f>COUNTIF(Cases!$B$2:$B$499,A174)</f>
        <v/>
      </c>
    </row>
    <row r="175">
      <c r="A175" s="10" t="inlineStr">
        <is>
          <t>NVMYFRSTG000015870</t>
        </is>
      </c>
      <c r="B175" s="23" t="n"/>
      <c r="C175" s="23" t="n"/>
      <c r="D175" s="23" t="n"/>
      <c r="E175" s="24" t="n"/>
      <c r="F175" s="25">
        <f>_xlfn.MINIFS(Cases!$D$2:$D$499,Cases!$B$2:$B$499,A175)</f>
        <v/>
      </c>
      <c r="G175" s="10">
        <f>COUNTIF(Cases!$B$2:$B$499,A175)</f>
        <v/>
      </c>
    </row>
    <row r="176">
      <c r="A176" s="10" t="inlineStr">
        <is>
          <t>NVMYLIONF00LF10310-001NVMYLIONF00LF10310-002</t>
        </is>
      </c>
      <c r="B176" s="23" t="n"/>
      <c r="C176" s="23" t="n"/>
      <c r="D176" s="23" t="n"/>
      <c r="E176" s="24" t="n"/>
      <c r="F176" s="25">
        <f>_xlfn.MINIFS(Cases!$D$2:$D$499,Cases!$B$2:$B$499,A176)</f>
        <v/>
      </c>
      <c r="G176" s="10">
        <f>COUNTIF(Cases!$B$2:$B$499,A176)</f>
        <v/>
      </c>
    </row>
    <row r="177">
      <c r="A177" s="10" t="inlineStr">
        <is>
          <t>JSXPR1547540931444981760</t>
        </is>
      </c>
      <c r="B177" s="23" t="n"/>
      <c r="C177" s="23" t="n"/>
      <c r="D177" s="23" t="n"/>
      <c r="E177" s="24" t="n"/>
      <c r="F177" s="25">
        <f>_xlfn.MINIFS(Cases!$D$2:$D$499,Cases!$B$2:$B$499,A177)</f>
        <v/>
      </c>
      <c r="G177" s="10">
        <f>COUNTIF(Cases!$B$2:$B$499,A177)</f>
        <v/>
      </c>
    </row>
    <row r="178">
      <c r="A178" s="10" t="inlineStr">
        <is>
          <t>WNJMY00154402909</t>
        </is>
      </c>
      <c r="B178" s="23" t="n"/>
      <c r="C178" s="23" t="n"/>
      <c r="D178" s="23" t="n"/>
      <c r="E178" s="24" t="n"/>
      <c r="F178" s="25">
        <f>_xlfn.MINIFS(Cases!$D$2:$D$499,Cases!$B$2:$B$499,A178)</f>
        <v/>
      </c>
      <c r="G178" s="10">
        <f>COUNTIF(Cases!$B$2:$B$499,A178)</f>
        <v/>
      </c>
    </row>
    <row r="179">
      <c r="A179" s="10" t="inlineStr">
        <is>
          <t>TNGDV2609166908059150</t>
        </is>
      </c>
      <c r="B179" s="23" t="n"/>
      <c r="C179" s="23" t="n"/>
      <c r="D179" s="23" t="n"/>
      <c r="E179" s="24" t="n"/>
      <c r="F179" s="25">
        <f>_xlfn.MINIFS(Cases!$D$2:$D$499,Cases!$B$2:$B$499,A179)</f>
        <v/>
      </c>
      <c r="G179" s="10">
        <f>COUNTIF(Cases!$B$2:$B$499,A179)</f>
        <v/>
      </c>
    </row>
    <row r="180">
      <c r="A180" s="10" t="inlineStr">
        <is>
          <t>ESHP003313075</t>
        </is>
      </c>
      <c r="B180" s="23" t="n"/>
      <c r="C180" s="23" t="n"/>
      <c r="D180" s="23" t="n"/>
      <c r="E180" s="24" t="n"/>
      <c r="F180" s="25">
        <f>_xlfn.MINIFS(Cases!$D$2:$D$499,Cases!$B$2:$B$499,A180)</f>
        <v/>
      </c>
      <c r="G180" s="10">
        <f>COUNTIF(Cases!$B$2:$B$499,A180)</f>
        <v/>
      </c>
    </row>
    <row r="181">
      <c r="A181" s="10" t="inlineStr">
        <is>
          <t>NVMYALM2Y050520741</t>
        </is>
      </c>
      <c r="B181" s="23" t="n"/>
      <c r="C181" s="23" t="n"/>
      <c r="D181" s="23" t="n"/>
      <c r="E181" s="24" t="n"/>
      <c r="F181" s="25">
        <f>_xlfn.MINIFS(Cases!$D$2:$D$499,Cases!$B$2:$B$499,A181)</f>
        <v/>
      </c>
      <c r="G181" s="10">
        <f>COUNTIF(Cases!$B$2:$B$499,A181)</f>
        <v/>
      </c>
    </row>
    <row r="182">
      <c r="A182" s="10" t="inlineStr">
        <is>
          <t>ZMP264265945-5730</t>
        </is>
      </c>
      <c r="B182" s="23" t="n"/>
      <c r="C182" s="23" t="n"/>
      <c r="D182" s="23" t="n"/>
      <c r="E182" s="24" t="n"/>
      <c r="F182" s="25">
        <f>_xlfn.MINIFS(Cases!$D$2:$D$499,Cases!$B$2:$B$499,A182)</f>
        <v/>
      </c>
      <c r="G182" s="10">
        <f>COUNTIF(Cases!$B$2:$B$499,A182)</f>
        <v/>
      </c>
    </row>
    <row r="183">
      <c r="A183" s="10" t="inlineStr">
        <is>
          <t>NVMY41A68000004589</t>
        </is>
      </c>
      <c r="B183" s="23" t="n"/>
      <c r="C183" s="23" t="n"/>
      <c r="D183" s="23" t="n"/>
      <c r="E183" s="24" t="n"/>
      <c r="F183" s="25">
        <f>_xlfn.MINIFS(Cases!$D$2:$D$499,Cases!$B$2:$B$499,A183)</f>
        <v/>
      </c>
      <c r="G183" s="10">
        <f>COUNTIF(Cases!$B$2:$B$499,A183)</f>
        <v/>
      </c>
    </row>
    <row r="184">
      <c r="A184" s="10" t="inlineStr">
        <is>
          <t>NVMYKNKAD000005234</t>
        </is>
      </c>
      <c r="B184" s="23" t="n"/>
      <c r="C184" s="23" t="n"/>
      <c r="D184" s="23" t="n"/>
      <c r="E184" s="24" t="n"/>
      <c r="F184" s="25">
        <f>_xlfn.MINIFS(Cases!$D$2:$D$499,Cases!$B$2:$B$499,A184)</f>
        <v/>
      </c>
      <c r="G184" s="10">
        <f>COUNTIF(Cases!$B$2:$B$499,A184)</f>
        <v/>
      </c>
    </row>
    <row r="185">
      <c r="A185" s="10" t="inlineStr">
        <is>
          <t>DESAR1550025465117274112</t>
        </is>
      </c>
      <c r="B185" s="23" t="n"/>
      <c r="C185" s="23" t="n"/>
      <c r="D185" s="23" t="n"/>
      <c r="E185" s="24" t="n"/>
      <c r="F185" s="25">
        <f>_xlfn.MINIFS(Cases!$D$2:$D$499,Cases!$B$2:$B$499,A185)</f>
        <v/>
      </c>
      <c r="G185" s="10">
        <f>COUNTIF(Cases!$B$2:$B$499,A185)</f>
        <v/>
      </c>
    </row>
    <row r="186">
      <c r="A186" s="10" t="inlineStr">
        <is>
          <t>NLMYWA04659528</t>
        </is>
      </c>
      <c r="B186" s="23" t="n"/>
      <c r="C186" s="23" t="n"/>
      <c r="D186" s="23" t="n"/>
      <c r="E186" s="24" t="n"/>
      <c r="F186" s="25">
        <f>_xlfn.MINIFS(Cases!$D$2:$D$499,Cases!$B$2:$B$499,A186)</f>
        <v/>
      </c>
      <c r="G186" s="10">
        <f>COUNTIF(Cases!$B$2:$B$499,A186)</f>
        <v/>
      </c>
    </row>
    <row r="187">
      <c r="A187" s="10" t="inlineStr">
        <is>
          <t>GMJI9701623533001</t>
        </is>
      </c>
      <c r="B187" s="23" t="n"/>
      <c r="C187" s="23" t="n"/>
      <c r="D187" s="23" t="n"/>
      <c r="E187" s="24" t="n"/>
      <c r="F187" s="25">
        <f>_xlfn.MINIFS(Cases!$D$2:$D$499,Cases!$B$2:$B$499,A187)</f>
        <v/>
      </c>
      <c r="G187" s="10">
        <f>COUNTIF(Cases!$B$2:$B$499,A187)</f>
        <v/>
      </c>
    </row>
    <row r="188">
      <c r="A188" s="10" t="inlineStr">
        <is>
          <t>NVMYNUYUS000003404</t>
        </is>
      </c>
      <c r="B188" s="23" t="n"/>
      <c r="C188" s="23" t="n"/>
      <c r="D188" s="23" t="n"/>
      <c r="E188" s="24" t="n"/>
      <c r="F188" s="25">
        <f>_xlfn.MINIFS(Cases!$D$2:$D$499,Cases!$B$2:$B$499,A188)</f>
        <v/>
      </c>
      <c r="G188" s="10">
        <f>COUNTIF(Cases!$B$2:$B$499,A188)</f>
        <v/>
      </c>
    </row>
    <row r="189">
      <c r="A189" s="10" t="inlineStr">
        <is>
          <t>NVMYDOCMY000089692</t>
        </is>
      </c>
      <c r="B189" s="23" t="n"/>
      <c r="C189" s="23" t="n"/>
      <c r="D189" s="23" t="n"/>
      <c r="E189" s="24" t="n"/>
      <c r="F189" s="25">
        <f>_xlfn.MINIFS(Cases!$D$2:$D$499,Cases!$B$2:$B$499,A189)</f>
        <v/>
      </c>
      <c r="G189" s="10">
        <f>COUNTIF(Cases!$B$2:$B$499,A189)</f>
        <v/>
      </c>
    </row>
    <row r="190">
      <c r="A190" s="10" t="inlineStr">
        <is>
          <t>MYNJV70088605618</t>
        </is>
      </c>
      <c r="B190" s="23" t="n"/>
      <c r="C190" s="23" t="n"/>
      <c r="D190" s="23" t="n"/>
      <c r="E190" s="24" t="n"/>
      <c r="F190" s="25">
        <f>_xlfn.MINIFS(Cases!$D$2:$D$499,Cases!$B$2:$B$499,A190)</f>
        <v/>
      </c>
      <c r="G190" s="10">
        <f>COUNTIF(Cases!$B$2:$B$499,A190)</f>
        <v/>
      </c>
    </row>
    <row r="191">
      <c r="A191" s="10" t="inlineStr">
        <is>
          <t>ZRP856253222893ZRP857883224124</t>
        </is>
      </c>
      <c r="B191" s="23" t="n"/>
      <c r="C191" s="23" t="n"/>
      <c r="D191" s="23" t="n"/>
      <c r="E191" s="24" t="n"/>
      <c r="F191" s="25">
        <f>_xlfn.MINIFS(Cases!$D$2:$D$499,Cases!$B$2:$B$499,A191)</f>
        <v/>
      </c>
      <c r="G191" s="10">
        <f>COUNTIF(Cases!$B$2:$B$499,A191)</f>
        <v/>
      </c>
    </row>
    <row r="192">
      <c r="A192" s="10" t="inlineStr">
        <is>
          <t>RNCNV000500472</t>
        </is>
      </c>
      <c r="B192" s="23" t="n"/>
      <c r="C192" s="23" t="n"/>
      <c r="D192" s="23" t="n"/>
      <c r="E192" s="24" t="n"/>
      <c r="F192" s="25">
        <f>_xlfn.MINIFS(Cases!$D$2:$D$499,Cases!$B$2:$B$499,A192)</f>
        <v/>
      </c>
      <c r="G192" s="10">
        <f>COUNTIF(Cases!$B$2:$B$499,A192)</f>
        <v/>
      </c>
    </row>
    <row r="193">
      <c r="A193" s="10" t="inlineStr">
        <is>
          <t>NVMYKBARA000008766</t>
        </is>
      </c>
      <c r="B193" s="23" t="n"/>
      <c r="C193" s="23" t="n"/>
      <c r="D193" s="23" t="n"/>
      <c r="E193" s="24" t="n"/>
      <c r="F193" s="25">
        <f>_xlfn.MINIFS(Cases!$D$2:$D$499,Cases!$B$2:$B$499,A193)</f>
        <v/>
      </c>
      <c r="G193" s="10">
        <f>COUNTIF(Cases!$B$2:$B$499,A193)</f>
        <v/>
      </c>
    </row>
    <row r="194">
      <c r="A194" s="10" t="inlineStr">
        <is>
          <t>MAILB1550405881677856768</t>
        </is>
      </c>
      <c r="B194" s="23" t="n"/>
      <c r="C194" s="23" t="n"/>
      <c r="D194" s="23" t="n"/>
      <c r="E194" s="24" t="n"/>
      <c r="F194" s="25">
        <f>_xlfn.MINIFS(Cases!$D$2:$D$499,Cases!$B$2:$B$499,A194)</f>
        <v/>
      </c>
      <c r="G194" s="10">
        <f>COUNTIF(Cases!$B$2:$B$499,A194)</f>
        <v/>
      </c>
    </row>
    <row r="195">
      <c r="A195" s="10" t="inlineStr">
        <is>
          <t>MYNJV70074605248,NVMYVTJSS000041886</t>
        </is>
      </c>
      <c r="B195" s="23" t="n"/>
      <c r="C195" s="23" t="n"/>
      <c r="D195" s="23" t="n"/>
      <c r="E195" s="24" t="n"/>
      <c r="F195" s="25">
        <f>_xlfn.MINIFS(Cases!$D$2:$D$499,Cases!$B$2:$B$499,A195)</f>
        <v/>
      </c>
      <c r="G195" s="10">
        <f>COUNTIF(Cases!$B$2:$B$499,A195)</f>
        <v/>
      </c>
    </row>
    <row r="196">
      <c r="A196" s="10" t="inlineStr">
        <is>
          <t>NVMYTA1SI000343229</t>
        </is>
      </c>
      <c r="B196" s="23" t="n"/>
      <c r="C196" s="23" t="n"/>
      <c r="D196" s="23" t="n"/>
      <c r="E196" s="24" t="n"/>
      <c r="F196" s="25">
        <f>_xlfn.MINIFS(Cases!$D$2:$D$499,Cases!$B$2:$B$499,A196)</f>
        <v/>
      </c>
      <c r="G196" s="10">
        <f>COUNTIF(Cases!$B$2:$B$499,A196)</f>
        <v/>
      </c>
    </row>
    <row r="197">
      <c r="A197" s="10" t="inlineStr">
        <is>
          <t>NVMY47011000005541</t>
        </is>
      </c>
      <c r="B197" s="23" t="n"/>
      <c r="C197" s="23" t="n"/>
      <c r="D197" s="23" t="n"/>
      <c r="E197" s="24" t="n"/>
      <c r="F197" s="25">
        <f>_xlfn.MINIFS(Cases!$D$2:$D$499,Cases!$B$2:$B$499,A197)</f>
        <v/>
      </c>
      <c r="G197" s="10">
        <f>COUNTIF(Cases!$B$2:$B$499,A197)</f>
        <v/>
      </c>
    </row>
    <row r="198">
      <c r="A198" s="10" t="inlineStr">
        <is>
          <t>TNGDV2609136901043020</t>
        </is>
      </c>
      <c r="B198" s="23" t="n"/>
      <c r="C198" s="23" t="n"/>
      <c r="D198" s="23" t="n"/>
      <c r="E198" s="24" t="n"/>
      <c r="F198" s="25">
        <f>_xlfn.MINIFS(Cases!$D$2:$D$499,Cases!$B$2:$B$499,A198)</f>
        <v/>
      </c>
      <c r="G198" s="10">
        <f>COUNTIF(Cases!$B$2:$B$499,A198)</f>
        <v/>
      </c>
    </row>
    <row r="199">
      <c r="A199" s="10" t="inlineStr">
        <is>
          <t>DEONL1549361821138235392</t>
        </is>
      </c>
      <c r="B199" s="23" t="n"/>
      <c r="C199" s="23" t="n"/>
      <c r="D199" s="23" t="n"/>
      <c r="E199" s="24" t="n"/>
      <c r="F199" s="25">
        <f>_xlfn.MINIFS(Cases!$D$2:$D$499,Cases!$B$2:$B$499,A199)</f>
        <v/>
      </c>
      <c r="G199" s="10">
        <f>COUNTIF(Cases!$B$2:$B$499,A199)</f>
        <v/>
      </c>
    </row>
    <row r="200">
      <c r="A200" s="10" t="inlineStr">
        <is>
          <t>RYTDBTQ7WO52SA8</t>
        </is>
      </c>
      <c r="B200" s="23" t="n"/>
      <c r="C200" s="23" t="n"/>
      <c r="D200" s="23" t="n"/>
      <c r="E200" s="24" t="n"/>
      <c r="F200" s="25">
        <f>_xlfn.MINIFS(Cases!$D$2:$D$499,Cases!$B$2:$B$499,A200)</f>
        <v/>
      </c>
      <c r="G200" s="10">
        <f>COUNTIF(Cases!$B$2:$B$499,A200)</f>
        <v/>
      </c>
    </row>
    <row r="201">
      <c r="A201" s="10" t="inlineStr">
        <is>
          <t>NVMYTSHSN000010726</t>
        </is>
      </c>
      <c r="B201" s="23" t="n"/>
      <c r="C201" s="23" t="n"/>
      <c r="D201" s="23" t="n"/>
      <c r="E201" s="24" t="n"/>
      <c r="F201" s="25">
        <f>_xlfn.MINIFS(Cases!$D$2:$D$499,Cases!$B$2:$B$499,A201)</f>
        <v/>
      </c>
      <c r="G201" s="10">
        <f>COUNTIF(Cases!$B$2:$B$499,A201)</f>
        <v/>
      </c>
    </row>
    <row r="202">
      <c r="A202" s="10" t="inlineStr">
        <is>
          <t>TNGEO202609111001254427</t>
        </is>
      </c>
      <c r="B202" s="23" t="n"/>
      <c r="C202" s="23" t="n"/>
      <c r="D202" s="23" t="n"/>
      <c r="E202" s="24" t="n"/>
      <c r="F202" s="25">
        <f>_xlfn.MINIFS(Cases!$D$2:$D$499,Cases!$B$2:$B$499,A202)</f>
        <v/>
      </c>
      <c r="G202" s="10">
        <f>COUNTIF(Cases!$B$2:$B$499,A202)</f>
        <v/>
      </c>
    </row>
    <row r="203">
      <c r="A203" s="10" t="inlineStr">
        <is>
          <t>NVMYCOMIT000002083</t>
        </is>
      </c>
      <c r="B203" s="23" t="n"/>
      <c r="C203" s="23" t="n"/>
      <c r="D203" s="23" t="n"/>
      <c r="E203" s="24" t="n"/>
      <c r="F203" s="25">
        <f>_xlfn.MINIFS(Cases!$D$2:$D$499,Cases!$B$2:$B$499,A203)</f>
        <v/>
      </c>
      <c r="G203" s="10">
        <f>COUNTIF(Cases!$B$2:$B$499,A203)</f>
        <v/>
      </c>
    </row>
    <row r="204">
      <c r="A204" s="10" t="inlineStr">
        <is>
          <t>WNJMY00006942908</t>
        </is>
      </c>
      <c r="B204" s="23" t="n"/>
      <c r="C204" s="23" t="n"/>
      <c r="D204" s="23" t="n"/>
      <c r="E204" s="24" t="n"/>
      <c r="F204" s="25">
        <f>_xlfn.MINIFS(Cases!$D$2:$D$499,Cases!$B$2:$B$499,A204)</f>
        <v/>
      </c>
      <c r="G204" s="10">
        <f>COUNTIF(Cases!$B$2:$B$499,A204)</f>
        <v/>
      </c>
    </row>
    <row r="205">
      <c r="A205" s="10" t="inlineStr">
        <is>
          <t>TNGDV2609126894940030</t>
        </is>
      </c>
      <c r="B205" s="23" t="n"/>
      <c r="C205" s="23" t="n"/>
      <c r="D205" s="23" t="n"/>
      <c r="E205" s="24" t="n"/>
      <c r="F205" s="25">
        <f>_xlfn.MINIFS(Cases!$D$2:$D$499,Cases!$B$2:$B$499,A205)</f>
        <v/>
      </c>
      <c r="G205" s="10">
        <f>COUNTIF(Cases!$B$2:$B$499,A205)</f>
        <v/>
      </c>
    </row>
    <row r="206">
      <c r="A206" s="10" t="inlineStr">
        <is>
          <t>ZNV283877945-1611</t>
        </is>
      </c>
      <c r="B206" s="23" t="n"/>
      <c r="C206" s="23" t="n"/>
      <c r="D206" s="23" t="n"/>
      <c r="E206" s="24" t="n"/>
      <c r="F206" s="25">
        <f>_xlfn.MINIFS(Cases!$D$2:$D$499,Cases!$B$2:$B$499,A206)</f>
        <v/>
      </c>
      <c r="G206" s="10">
        <f>COUNTIF(Cases!$B$2:$B$499,A206)</f>
        <v/>
      </c>
    </row>
    <row r="207">
      <c r="A207" s="10" t="inlineStr">
        <is>
          <t>NVMYKILATWK0077036</t>
        </is>
      </c>
      <c r="B207" s="23" t="n"/>
      <c r="C207" s="23" t="n"/>
      <c r="D207" s="23" t="n"/>
      <c r="E207" s="24" t="n"/>
      <c r="F207" s="25">
        <f>_xlfn.MINIFS(Cases!$D$2:$D$499,Cases!$B$2:$B$499,A207)</f>
        <v/>
      </c>
      <c r="G207" s="10">
        <f>COUNTIF(Cases!$B$2:$B$499,A207)</f>
        <v/>
      </c>
    </row>
    <row r="208">
      <c r="A208" s="10" t="inlineStr">
        <is>
          <t>ESHP003312506</t>
        </is>
      </c>
      <c r="B208" s="23" t="n"/>
      <c r="C208" s="23" t="n"/>
      <c r="D208" s="23" t="n"/>
      <c r="E208" s="24" t="n"/>
      <c r="F208" s="25">
        <f>_xlfn.MINIFS(Cases!$D$2:$D$499,Cases!$B$2:$B$499,A208)</f>
        <v/>
      </c>
      <c r="G208" s="10">
        <f>COUNTIF(Cases!$B$2:$B$499,A208)</f>
        <v/>
      </c>
    </row>
    <row r="209">
      <c r="A209" s="10" t="inlineStr">
        <is>
          <t>NVMYAPTST000006617</t>
        </is>
      </c>
      <c r="B209" s="23" t="n"/>
      <c r="C209" s="23" t="n"/>
      <c r="D209" s="23" t="n"/>
      <c r="E209" s="24" t="n"/>
      <c r="F209" s="25">
        <f>_xlfn.MINIFS(Cases!$D$2:$D$499,Cases!$B$2:$B$499,A209)</f>
        <v/>
      </c>
      <c r="G209" s="10">
        <f>COUNTIF(Cases!$B$2:$B$499,A209)</f>
        <v/>
      </c>
    </row>
    <row r="210">
      <c r="A210" s="10" t="inlineStr">
        <is>
          <t>NVMYYSLWE11037071A</t>
        </is>
      </c>
      <c r="B210" s="23" t="n"/>
      <c r="C210" s="23" t="n"/>
      <c r="D210" s="23" t="n"/>
      <c r="E210" s="24" t="n"/>
      <c r="F210" s="25">
        <f>_xlfn.MINIFS(Cases!$D$2:$D$499,Cases!$B$2:$B$499,A210)</f>
        <v/>
      </c>
      <c r="G210" s="10">
        <f>COUNTIF(Cases!$B$2:$B$499,A210)</f>
        <v/>
      </c>
    </row>
    <row r="211">
      <c r="A211" s="10" t="inlineStr">
        <is>
          <t>NVMYIMPJM000001454</t>
        </is>
      </c>
      <c r="B211" s="23" t="n"/>
      <c r="C211" s="23" t="n"/>
      <c r="D211" s="23" t="n"/>
      <c r="E211" s="24" t="n"/>
      <c r="F211" s="25">
        <f>_xlfn.MINIFS(Cases!$D$2:$D$499,Cases!$B$2:$B$499,A211)</f>
        <v/>
      </c>
      <c r="G211" s="10">
        <f>COUNTIF(Cases!$B$2:$B$499,A211)</f>
        <v/>
      </c>
    </row>
    <row r="212">
      <c r="A212" s="10" t="inlineStr">
        <is>
          <t>MLCOW1549977659915173888</t>
        </is>
      </c>
      <c r="B212" s="23" t="n"/>
      <c r="C212" s="23" t="n"/>
      <c r="D212" s="23" t="n"/>
      <c r="E212" s="24" t="n"/>
      <c r="F212" s="25">
        <f>_xlfn.MINIFS(Cases!$D$2:$D$499,Cases!$B$2:$B$499,A212)</f>
        <v/>
      </c>
      <c r="G212" s="10">
        <f>COUNTIF(Cases!$B$2:$B$499,A212)</f>
        <v/>
      </c>
    </row>
    <row r="213">
      <c r="A213" s="10" t="inlineStr">
        <is>
          <t>ZCOS00707946827971/ZCOS00708946728334</t>
        </is>
      </c>
      <c r="B213" s="23" t="n"/>
      <c r="C213" s="23" t="n"/>
      <c r="D213" s="23" t="n"/>
      <c r="E213" s="24" t="n"/>
      <c r="F213" s="25">
        <f>_xlfn.MINIFS(Cases!$D$2:$D$499,Cases!$B$2:$B$499,A213)</f>
        <v/>
      </c>
      <c r="G213" s="10">
        <f>COUNTIF(Cases!$B$2:$B$499,A213)</f>
        <v/>
      </c>
    </row>
    <row r="214">
      <c r="A214" s="10" t="inlineStr">
        <is>
          <t>NVMYKAMAT000013283</t>
        </is>
      </c>
      <c r="B214" s="23" t="n"/>
      <c r="C214" s="23" t="n"/>
      <c r="D214" s="23" t="n"/>
      <c r="E214" s="24" t="n"/>
      <c r="F214" s="25">
        <f>_xlfn.MINIFS(Cases!$D$2:$D$499,Cases!$B$2:$B$499,A214)</f>
        <v/>
      </c>
      <c r="G214" s="10">
        <f>COUNTIF(Cases!$B$2:$B$499,A214)</f>
        <v/>
      </c>
    </row>
    <row r="215">
      <c r="A215" s="10" t="inlineStr">
        <is>
          <t>NVMYNINJA002521024</t>
        </is>
      </c>
      <c r="B215" s="23" t="n"/>
      <c r="C215" s="23" t="n"/>
      <c r="D215" s="23" t="n"/>
      <c r="E215" s="24" t="n"/>
      <c r="F215" s="25">
        <f>_xlfn.MINIFS(Cases!$D$2:$D$499,Cases!$B$2:$B$499,A215)</f>
        <v/>
      </c>
      <c r="G215" s="10">
        <f>COUNTIF(Cases!$B$2:$B$499,A215)</f>
        <v/>
      </c>
    </row>
    <row r="216">
      <c r="A216" s="10" t="inlineStr">
        <is>
          <t>MYNJV70064585638</t>
        </is>
      </c>
      <c r="B216" s="23" t="n"/>
      <c r="C216" s="23" t="n"/>
      <c r="D216" s="23" t="n"/>
      <c r="E216" s="24" t="n"/>
      <c r="F216" s="25">
        <f>_xlfn.MINIFS(Cases!$D$2:$D$499,Cases!$B$2:$B$499,A216)</f>
        <v/>
      </c>
      <c r="G216" s="10">
        <f>COUNTIF(Cases!$B$2:$B$499,A216)</f>
        <v/>
      </c>
    </row>
    <row r="217">
      <c r="A217" s="10" t="inlineStr">
        <is>
          <t>NVMYQUTN0000015757</t>
        </is>
      </c>
      <c r="B217" s="23" t="n"/>
      <c r="C217" s="23" t="n"/>
      <c r="D217" s="23" t="n"/>
      <c r="E217" s="24" t="n"/>
      <c r="F217" s="25">
        <f>_xlfn.MINIFS(Cases!$D$2:$D$499,Cases!$B$2:$B$499,A217)</f>
        <v/>
      </c>
      <c r="G217" s="10">
        <f>COUNTIF(Cases!$B$2:$B$499,A217)</f>
        <v/>
      </c>
    </row>
    <row r="218">
      <c r="A218" s="10" t="inlineStr">
        <is>
          <t>NVMYMOLBC000001942</t>
        </is>
      </c>
      <c r="B218" s="23" t="n"/>
      <c r="C218" s="23" t="n"/>
      <c r="D218" s="23" t="n"/>
      <c r="E218" s="24" t="n"/>
      <c r="F218" s="25">
        <f>_xlfn.MINIFS(Cases!$D$2:$D$499,Cases!$B$2:$B$499,A218)</f>
        <v/>
      </c>
      <c r="G218" s="10">
        <f>COUNTIF(Cases!$B$2:$B$499,A218)</f>
        <v/>
      </c>
    </row>
    <row r="219">
      <c r="A219" s="10" t="inlineStr">
        <is>
          <t>TNGDV2609076844573390</t>
        </is>
      </c>
      <c r="B219" s="23" t="n"/>
      <c r="C219" s="23" t="n"/>
      <c r="D219" s="23" t="n"/>
      <c r="E219" s="24" t="n"/>
      <c r="F219" s="25">
        <f>_xlfn.MINIFS(Cases!$D$2:$D$499,Cases!$B$2:$B$499,A219)</f>
        <v/>
      </c>
      <c r="G219" s="10">
        <f>COUNTIF(Cases!$B$2:$B$499,A219)</f>
        <v/>
      </c>
    </row>
    <row r="220">
      <c r="A220" s="10" t="inlineStr">
        <is>
          <t>NVMYNINJA002513733</t>
        </is>
      </c>
      <c r="B220" s="23" t="n"/>
      <c r="C220" s="23" t="n"/>
      <c r="D220" s="23" t="n"/>
      <c r="E220" s="24" t="n"/>
      <c r="F220" s="25">
        <f>_xlfn.MINIFS(Cases!$D$2:$D$499,Cases!$B$2:$B$499,A220)</f>
        <v/>
      </c>
      <c r="G220" s="10">
        <f>COUNTIF(Cases!$B$2:$B$499,A220)</f>
        <v/>
      </c>
    </row>
    <row r="221">
      <c r="A221" s="10" t="inlineStr">
        <is>
          <t>RYTDBYP63YO4WN0</t>
        </is>
      </c>
      <c r="B221" s="23" t="n"/>
      <c r="C221" s="23" t="n"/>
      <c r="D221" s="23" t="n"/>
      <c r="E221" s="24" t="n"/>
      <c r="F221" s="25">
        <f>_xlfn.MINIFS(Cases!$D$2:$D$499,Cases!$B$2:$B$499,A221)</f>
        <v/>
      </c>
      <c r="G221" s="10">
        <f>COUNTIF(Cases!$B$2:$B$499,A221)</f>
        <v/>
      </c>
    </row>
    <row r="222">
      <c r="A222" s="10" t="inlineStr">
        <is>
          <t>NVMYTDGPP102333622</t>
        </is>
      </c>
      <c r="B222" s="23" t="n"/>
      <c r="C222" s="23" t="n"/>
      <c r="D222" s="23" t="n"/>
      <c r="E222" s="24" t="n"/>
      <c r="F222" s="25">
        <f>_xlfn.MINIFS(Cases!$D$2:$D$499,Cases!$B$2:$B$499,A222)</f>
        <v/>
      </c>
      <c r="G222" s="10">
        <f>COUNTIF(Cases!$B$2:$B$499,A222)</f>
        <v/>
      </c>
    </row>
    <row r="223">
      <c r="A223" s="10" t="inlineStr">
        <is>
          <t>RYTDBD29JAYW9LL</t>
        </is>
      </c>
      <c r="B223" s="23" t="n"/>
      <c r="C223" s="23" t="n"/>
      <c r="D223" s="23" t="n"/>
      <c r="E223" s="24" t="n"/>
      <c r="F223" s="25">
        <f>_xlfn.MINIFS(Cases!$D$2:$D$499,Cases!$B$2:$B$499,A223)</f>
        <v/>
      </c>
      <c r="G223" s="10">
        <f>COUNTIF(Cases!$B$2:$B$499,A223)</f>
        <v/>
      </c>
    </row>
    <row r="224">
      <c r="A224" s="10" t="inlineStr">
        <is>
          <t>NVMYLUGIF000000218</t>
        </is>
      </c>
      <c r="B224" s="23" t="n"/>
      <c r="C224" s="23" t="n"/>
      <c r="D224" s="23" t="n"/>
      <c r="E224" s="24" t="n"/>
      <c r="F224" s="25">
        <f>_xlfn.MINIFS(Cases!$D$2:$D$499,Cases!$B$2:$B$499,A224)</f>
        <v/>
      </c>
      <c r="G224" s="10">
        <f>COUNTIF(Cases!$B$2:$B$499,A224)</f>
        <v/>
      </c>
    </row>
    <row r="225">
      <c r="A225" s="10" t="inlineStr">
        <is>
          <t>NVMYNINJA002517028</t>
        </is>
      </c>
      <c r="B225" s="23" t="n"/>
      <c r="C225" s="23" t="n"/>
      <c r="D225" s="23" t="n"/>
      <c r="E225" s="24" t="n"/>
      <c r="F225" s="25">
        <f>_xlfn.MINIFS(Cases!$D$2:$D$499,Cases!$B$2:$B$499,A225)</f>
        <v/>
      </c>
      <c r="G225" s="10">
        <f>COUNTIF(Cases!$B$2:$B$499,A225)</f>
        <v/>
      </c>
    </row>
    <row r="226">
      <c r="A226" s="10" t="inlineStr">
        <is>
          <t>NVMYNINJA002514124</t>
        </is>
      </c>
      <c r="B226" s="23" t="n"/>
      <c r="C226" s="23" t="n"/>
      <c r="D226" s="23" t="n"/>
      <c r="E226" s="24" t="n"/>
      <c r="F226" s="25">
        <f>_xlfn.MINIFS(Cases!$D$2:$D$499,Cases!$B$2:$B$499,A226)</f>
        <v/>
      </c>
      <c r="G226" s="10">
        <f>COUNTIF(Cases!$B$2:$B$499,A226)</f>
        <v/>
      </c>
    </row>
    <row r="227">
      <c r="A227" s="10" t="inlineStr">
        <is>
          <t>MYNJV70027665658</t>
        </is>
      </c>
      <c r="B227" s="23" t="n"/>
      <c r="C227" s="23" t="n"/>
      <c r="D227" s="23" t="n"/>
      <c r="E227" s="24" t="n"/>
      <c r="F227" s="25">
        <f>_xlfn.MINIFS(Cases!$D$2:$D$499,Cases!$B$2:$B$499,A227)</f>
        <v/>
      </c>
      <c r="G227" s="10">
        <f>COUNTIF(Cases!$B$2:$B$499,A227)</f>
        <v/>
      </c>
    </row>
    <row r="228">
      <c r="A228" s="10" t="inlineStr">
        <is>
          <t>AEMYA000627407</t>
        </is>
      </c>
      <c r="B228" s="23" t="n"/>
      <c r="C228" s="23" t="n"/>
      <c r="D228" s="23" t="n"/>
      <c r="E228" s="24" t="n"/>
      <c r="F228" s="25">
        <f>_xlfn.MINIFS(Cases!$D$2:$D$499,Cases!$B$2:$B$499,A228)</f>
        <v/>
      </c>
      <c r="G228" s="10">
        <f>COUNTIF(Cases!$B$2:$B$499,A228)</f>
        <v/>
      </c>
    </row>
    <row r="229">
      <c r="A229" s="10" t="inlineStr">
        <is>
          <t>TNGSB125966755831752000</t>
        </is>
      </c>
      <c r="B229" s="23" t="n"/>
      <c r="C229" s="23" t="n"/>
      <c r="D229" s="23" t="n"/>
      <c r="E229" s="24" t="n"/>
      <c r="F229" s="25">
        <f>_xlfn.MINIFS(Cases!$D$2:$D$499,Cases!$B$2:$B$499,A229)</f>
        <v/>
      </c>
      <c r="G229" s="10">
        <f>COUNTIF(Cases!$B$2:$B$499,A229)</f>
        <v/>
      </c>
    </row>
    <row r="230">
      <c r="A230" s="10" t="inlineStr">
        <is>
          <t>NVMYMKLYW000NICOLE</t>
        </is>
      </c>
      <c r="B230" s="23" t="n"/>
      <c r="C230" s="23" t="n"/>
      <c r="D230" s="23" t="n"/>
      <c r="E230" s="24" t="n"/>
      <c r="F230" s="25">
        <f>_xlfn.MINIFS(Cases!$D$2:$D$499,Cases!$B$2:$B$499,A230)</f>
        <v/>
      </c>
      <c r="G230" s="10">
        <f>COUNTIF(Cases!$B$2:$B$499,A230)</f>
        <v/>
      </c>
    </row>
    <row r="231">
      <c r="A231" s="10" t="inlineStr">
        <is>
          <t>PARAS0017266312</t>
        </is>
      </c>
      <c r="B231" s="23" t="n"/>
      <c r="C231" s="23" t="n"/>
      <c r="D231" s="23" t="n"/>
      <c r="E231" s="24" t="n"/>
      <c r="F231" s="25">
        <f>_xlfn.MINIFS(Cases!$D$2:$D$499,Cases!$B$2:$B$499,A231)</f>
        <v/>
      </c>
      <c r="G231" s="10">
        <f>COUNTIF(Cases!$B$2:$B$499,A231)</f>
        <v/>
      </c>
    </row>
    <row r="232">
      <c r="A232" s="10" t="inlineStr">
        <is>
          <t>TNGE125996954640361000</t>
        </is>
      </c>
      <c r="B232" s="23" t="n"/>
      <c r="C232" s="23" t="n"/>
      <c r="D232" s="23" t="n"/>
      <c r="E232" s="24" t="n"/>
      <c r="F232" s="25">
        <f>_xlfn.MINIFS(Cases!$D$2:$D$499,Cases!$B$2:$B$499,A232)</f>
        <v/>
      </c>
      <c r="G232" s="10">
        <f>COUNTIF(Cases!$B$2:$B$499,A232)</f>
        <v/>
      </c>
    </row>
    <row r="233">
      <c r="A233" s="10" t="inlineStr">
        <is>
          <t>NVMYDYURA050594351</t>
        </is>
      </c>
      <c r="B233" s="23" t="n"/>
      <c r="C233" s="23" t="n"/>
      <c r="D233" s="23" t="n"/>
      <c r="E233" s="24" t="n"/>
      <c r="F233" s="25">
        <f>_xlfn.MINIFS(Cases!$D$2:$D$499,Cases!$B$2:$B$499,A233)</f>
        <v/>
      </c>
      <c r="G233" s="10">
        <f>COUNTIF(Cases!$B$2:$B$499,A233)</f>
        <v/>
      </c>
    </row>
    <row r="234">
      <c r="A234" s="10" t="inlineStr">
        <is>
          <t>NVMYKILATWK0077175</t>
        </is>
      </c>
      <c r="B234" s="23" t="n"/>
      <c r="C234" s="23" t="n"/>
      <c r="D234" s="23" t="n"/>
      <c r="E234" s="24" t="n"/>
      <c r="F234" s="25">
        <f>_xlfn.MINIFS(Cases!$D$2:$D$499,Cases!$B$2:$B$499,A234)</f>
        <v/>
      </c>
      <c r="G234" s="10">
        <f>COUNTIF(Cases!$B$2:$B$499,A234)</f>
        <v/>
      </c>
    </row>
    <row r="235">
      <c r="A235" s="10" t="inlineStr">
        <is>
          <t>NVMYSMRTP026091313-001</t>
        </is>
      </c>
      <c r="B235" s="23" t="n"/>
      <c r="C235" s="23" t="n"/>
      <c r="D235" s="23" t="n"/>
      <c r="E235" s="24" t="n"/>
      <c r="F235" s="25">
        <f>_xlfn.MINIFS(Cases!$D$2:$D$499,Cases!$B$2:$B$499,A235)</f>
        <v/>
      </c>
      <c r="G235" s="10">
        <f>COUNTIF(Cases!$B$2:$B$499,A235)</f>
        <v/>
      </c>
    </row>
    <row r="236">
      <c r="A236" s="10" t="inlineStr">
        <is>
          <t>JY200160145</t>
        </is>
      </c>
      <c r="B236" s="23" t="n"/>
      <c r="C236" s="23" t="n"/>
      <c r="D236" s="23" t="n"/>
      <c r="E236" s="24" t="n"/>
      <c r="F236" s="25">
        <f>_xlfn.MINIFS(Cases!$D$2:$D$499,Cases!$B$2:$B$499,A236)</f>
        <v/>
      </c>
      <c r="G236" s="10">
        <f>COUNTIF(Cases!$B$2:$B$499,A236)</f>
        <v/>
      </c>
    </row>
    <row r="237">
      <c r="A237" s="10" t="inlineStr">
        <is>
          <t>CHVIN000010433</t>
        </is>
      </c>
      <c r="B237" s="23" t="n"/>
      <c r="C237" s="23" t="n"/>
      <c r="D237" s="23" t="n"/>
      <c r="E237" s="24" t="n"/>
      <c r="F237" s="25">
        <f>_xlfn.MINIFS(Cases!$D$2:$D$499,Cases!$B$2:$B$499,A237)</f>
        <v/>
      </c>
      <c r="G237" s="10">
        <f>COUNTIF(Cases!$B$2:$B$499,A237)</f>
        <v/>
      </c>
    </row>
    <row r="238">
      <c r="A238" s="10" t="inlineStr">
        <is>
          <t>FARCM24693436-1</t>
        </is>
      </c>
      <c r="B238" s="23" t="n"/>
      <c r="C238" s="23" t="n"/>
      <c r="D238" s="23" t="n"/>
      <c r="E238" s="24" t="n"/>
      <c r="F238" s="25">
        <f>_xlfn.MINIFS(Cases!$D$2:$D$499,Cases!$B$2:$B$499,A238)</f>
        <v/>
      </c>
      <c r="G238" s="10">
        <f>COUNTIF(Cases!$B$2:$B$499,A238)</f>
        <v/>
      </c>
    </row>
    <row r="239">
      <c r="A239" s="10" t="inlineStr">
        <is>
          <t>TNGDV2609126917953110</t>
        </is>
      </c>
      <c r="B239" s="23" t="n"/>
      <c r="C239" s="23" t="n"/>
      <c r="D239" s="23" t="n"/>
      <c r="E239" s="24" t="n"/>
      <c r="F239" s="25">
        <f>_xlfn.MINIFS(Cases!$D$2:$D$499,Cases!$B$2:$B$499,A239)</f>
        <v/>
      </c>
      <c r="G239" s="10">
        <f>COUNTIF(Cases!$B$2:$B$499,A239)</f>
        <v/>
      </c>
    </row>
    <row r="240">
      <c r="A240" s="10" t="inlineStr">
        <is>
          <t>NVMYDDTSE00013757A</t>
        </is>
      </c>
      <c r="B240" s="23" t="n"/>
      <c r="C240" s="23" t="n"/>
      <c r="D240" s="23" t="n"/>
      <c r="E240" s="24" t="n"/>
      <c r="F240" s="25">
        <f>_xlfn.MINIFS(Cases!$D$2:$D$499,Cases!$B$2:$B$499,A240)</f>
        <v/>
      </c>
      <c r="G240" s="10">
        <f>COUNTIF(Cases!$B$2:$B$499,A240)</f>
        <v/>
      </c>
    </row>
    <row r="241">
      <c r="A241" s="10" t="inlineStr">
        <is>
          <t>NVMYMYNTW000HOVIS1-001</t>
        </is>
      </c>
      <c r="B241" s="23" t="n"/>
      <c r="C241" s="23" t="n"/>
      <c r="D241" s="23" t="n"/>
      <c r="E241" s="24" t="n"/>
      <c r="F241" s="25">
        <f>_xlfn.MINIFS(Cases!$D$2:$D$499,Cases!$B$2:$B$499,A241)</f>
        <v/>
      </c>
      <c r="G241" s="10">
        <f>COUNTIF(Cases!$B$2:$B$499,A241)</f>
        <v/>
      </c>
    </row>
    <row r="242">
      <c r="A242" s="10" t="inlineStr">
        <is>
          <t>LLABO01150A</t>
        </is>
      </c>
      <c r="B242" s="23" t="n"/>
      <c r="C242" s="23" t="n"/>
      <c r="D242" s="23" t="n"/>
      <c r="E242" s="24" t="n"/>
      <c r="F242" s="25">
        <f>_xlfn.MINIFS(Cases!$D$2:$D$499,Cases!$B$2:$B$499,A242)</f>
        <v/>
      </c>
      <c r="G242" s="10">
        <f>COUNTIF(Cases!$B$2:$B$499,A242)</f>
        <v/>
      </c>
    </row>
    <row r="243">
      <c r="A243" s="10" t="inlineStr">
        <is>
          <t>NVMYGCHEN000000483</t>
        </is>
      </c>
      <c r="B243" s="23" t="n"/>
      <c r="C243" s="23" t="n"/>
      <c r="D243" s="23" t="n"/>
      <c r="E243" s="24" t="n"/>
      <c r="F243" s="25">
        <f>_xlfn.MINIFS(Cases!$D$2:$D$499,Cases!$B$2:$B$499,A243)</f>
        <v/>
      </c>
      <c r="G243" s="10">
        <f>COUNTIF(Cases!$B$2:$B$499,A243)</f>
        <v/>
      </c>
    </row>
    <row r="244">
      <c r="A244" s="10" t="inlineStr">
        <is>
          <t>MYNJV70042015878</t>
        </is>
      </c>
      <c r="B244" s="23" t="n"/>
      <c r="C244" s="23" t="n"/>
      <c r="D244" s="23" t="n"/>
      <c r="E244" s="24" t="n"/>
      <c r="F244" s="25">
        <f>_xlfn.MINIFS(Cases!$D$2:$D$499,Cases!$B$2:$B$499,A244)</f>
        <v/>
      </c>
      <c r="G244" s="10">
        <f>COUNTIF(Cases!$B$2:$B$499,A244)</f>
        <v/>
      </c>
    </row>
    <row r="245">
      <c r="A245" s="10" t="inlineStr">
        <is>
          <t>TNGE126006994822516000</t>
        </is>
      </c>
      <c r="B245" s="23" t="n"/>
      <c r="C245" s="23" t="n"/>
      <c r="D245" s="23" t="n"/>
      <c r="E245" s="24" t="n"/>
      <c r="F245" s="25">
        <f>_xlfn.MINIFS(Cases!$D$2:$D$499,Cases!$B$2:$B$499,A245)</f>
        <v/>
      </c>
      <c r="G245" s="10">
        <f>COUNTIF(Cases!$B$2:$B$499,A245)</f>
        <v/>
      </c>
    </row>
    <row r="246">
      <c r="A246" s="10" t="inlineStr">
        <is>
          <t>NVMYADI00000422148</t>
        </is>
      </c>
      <c r="B246" s="23" t="n"/>
      <c r="C246" s="23" t="n"/>
      <c r="D246" s="23" t="n"/>
      <c r="E246" s="24" t="n"/>
      <c r="F246" s="25">
        <f>_xlfn.MINIFS(Cases!$D$2:$D$499,Cases!$B$2:$B$499,A246)</f>
        <v/>
      </c>
      <c r="G246" s="10">
        <f>COUNTIF(Cases!$B$2:$B$499,A246)</f>
        <v/>
      </c>
    </row>
    <row r="247">
      <c r="A247" s="10" t="inlineStr">
        <is>
          <t>NVMYNINJA002501647</t>
        </is>
      </c>
      <c r="B247" s="23" t="n"/>
      <c r="C247" s="23" t="n"/>
      <c r="D247" s="23" t="n"/>
      <c r="E247" s="24" t="n"/>
      <c r="F247" s="25">
        <f>_xlfn.MINIFS(Cases!$D$2:$D$499,Cases!$B$2:$B$499,A247)</f>
        <v/>
      </c>
      <c r="G247" s="10">
        <f>COUNTIF(Cases!$B$2:$B$499,A247)</f>
        <v/>
      </c>
    </row>
    <row r="248">
      <c r="A248" s="10" t="inlineStr">
        <is>
          <t>SPDRT1550468303319040000</t>
        </is>
      </c>
      <c r="B248" s="23" t="n"/>
      <c r="C248" s="23" t="n"/>
      <c r="D248" s="23" t="n"/>
      <c r="E248" s="24" t="n"/>
      <c r="F248" s="25">
        <f>_xlfn.MINIFS(Cases!$D$2:$D$499,Cases!$B$2:$B$499,A248)</f>
        <v/>
      </c>
      <c r="G248" s="10">
        <f>COUNTIF(Cases!$B$2:$B$499,A248)</f>
        <v/>
      </c>
    </row>
    <row r="249">
      <c r="A249" s="10" t="inlineStr">
        <is>
          <t>NVMYWLDAN000015808</t>
        </is>
      </c>
      <c r="B249" s="23" t="n"/>
      <c r="C249" s="23" t="n"/>
      <c r="D249" s="23" t="n"/>
      <c r="E249" s="24" t="n"/>
      <c r="F249" s="25">
        <f>_xlfn.MINIFS(Cases!$D$2:$D$499,Cases!$B$2:$B$499,A249)</f>
        <v/>
      </c>
      <c r="G249" s="10">
        <f>COUNTIF(Cases!$B$2:$B$499,A249)</f>
        <v/>
      </c>
    </row>
    <row r="250">
      <c r="A250" s="10" t="inlineStr">
        <is>
          <t>NVMYSFPRO000001025-001NVMYSFPRO000001025-002</t>
        </is>
      </c>
      <c r="B250" s="23" t="n"/>
      <c r="C250" s="23" t="n"/>
      <c r="D250" s="23" t="n"/>
      <c r="E250" s="24" t="n"/>
      <c r="F250" s="25">
        <f>_xlfn.MINIFS(Cases!$D$2:$D$499,Cases!$B$2:$B$499,A250)</f>
        <v/>
      </c>
      <c r="G250" s="10">
        <f>COUNTIF(Cases!$B$2:$B$499,A250)</f>
        <v/>
      </c>
    </row>
    <row r="251">
      <c r="A251" s="10" t="inlineStr">
        <is>
          <t>AEMYA000627864</t>
        </is>
      </c>
      <c r="B251" s="23" t="n"/>
      <c r="C251" s="23" t="n"/>
      <c r="D251" s="23" t="n"/>
      <c r="E251" s="24" t="n"/>
      <c r="F251" s="25">
        <f>_xlfn.MINIFS(Cases!$D$2:$D$499,Cases!$B$2:$B$499,A251)</f>
        <v/>
      </c>
      <c r="G251" s="10">
        <f>COUNTIF(Cases!$B$2:$B$499,A251)</f>
        <v/>
      </c>
    </row>
    <row r="252">
      <c r="A252" s="10" t="inlineStr">
        <is>
          <t>STLMY1550782677370200064</t>
        </is>
      </c>
      <c r="B252" s="23" t="n"/>
      <c r="C252" s="23" t="n"/>
      <c r="D252" s="23" t="n"/>
      <c r="E252" s="24" t="n"/>
      <c r="F252" s="25">
        <f>_xlfn.MINIFS(Cases!$D$2:$D$499,Cases!$B$2:$B$499,A252)</f>
        <v/>
      </c>
      <c r="G252" s="10">
        <f>COUNTIF(Cases!$B$2:$B$499,A252)</f>
        <v/>
      </c>
    </row>
    <row r="253">
      <c r="A253" s="10" t="inlineStr">
        <is>
          <t>LIVHU1550696753238847488</t>
        </is>
      </c>
      <c r="B253" s="23" t="n"/>
      <c r="C253" s="23" t="n"/>
      <c r="D253" s="23" t="n"/>
      <c r="E253" s="24" t="n"/>
      <c r="F253" s="25">
        <f>_xlfn.MINIFS(Cases!$D$2:$D$499,Cases!$B$2:$B$499,A253)</f>
        <v/>
      </c>
      <c r="G253" s="10">
        <f>COUNTIF(Cases!$B$2:$B$499,A253)</f>
        <v/>
      </c>
    </row>
    <row r="254">
      <c r="A254" s="10" t="inlineStr">
        <is>
          <t>NVMYNINJA002509548</t>
        </is>
      </c>
      <c r="B254" s="23" t="n"/>
      <c r="C254" s="23" t="n"/>
      <c r="D254" s="23" t="n"/>
      <c r="E254" s="24" t="n"/>
      <c r="F254" s="25">
        <f>_xlfn.MINIFS(Cases!$D$2:$D$499,Cases!$B$2:$B$499,A254)</f>
        <v/>
      </c>
      <c r="G254" s="10">
        <f>COUNTIF(Cases!$B$2:$B$499,A254)</f>
        <v/>
      </c>
    </row>
    <row r="255">
      <c r="A255" s="10" t="inlineStr">
        <is>
          <t>NVMYYAMOW000003004</t>
        </is>
      </c>
      <c r="B255" s="23" t="n"/>
      <c r="C255" s="23" t="n"/>
      <c r="D255" s="23" t="n"/>
      <c r="E255" s="24" t="n"/>
      <c r="F255" s="25">
        <f>_xlfn.MINIFS(Cases!$D$2:$D$499,Cases!$B$2:$B$499,A255)</f>
        <v/>
      </c>
      <c r="G255" s="10">
        <f>COUNTIF(Cases!$B$2:$B$499,A255)</f>
        <v/>
      </c>
    </row>
    <row r="256">
      <c r="A256" s="10" t="inlineStr">
        <is>
          <t>TWMY00SM26035579-002</t>
        </is>
      </c>
      <c r="B256" s="23" t="n"/>
      <c r="C256" s="23" t="n"/>
      <c r="D256" s="23" t="n"/>
      <c r="E256" s="24" t="n"/>
      <c r="F256" s="25">
        <f>_xlfn.MINIFS(Cases!$D$2:$D$499,Cases!$B$2:$B$499,A256)</f>
        <v/>
      </c>
      <c r="G256" s="10">
        <f>COUNTIF(Cases!$B$2:$B$499,A256)</f>
        <v/>
      </c>
    </row>
    <row r="257">
      <c r="A257" s="10" t="inlineStr">
        <is>
          <t>NVMYRAHOL050469063</t>
        </is>
      </c>
      <c r="B257" s="23" t="n"/>
      <c r="C257" s="23" t="n"/>
      <c r="D257" s="23" t="n"/>
      <c r="E257" s="24" t="n"/>
      <c r="F257" s="25">
        <f>_xlfn.MINIFS(Cases!$D$2:$D$499,Cases!$B$2:$B$499,A257)</f>
        <v/>
      </c>
      <c r="G257" s="10">
        <f>COUNTIF(Cases!$B$2:$B$499,A257)</f>
        <v/>
      </c>
    </row>
    <row r="258">
      <c r="A258" s="10" t="inlineStr">
        <is>
          <t>NVMYMZ0N3000028442</t>
        </is>
      </c>
      <c r="B258" s="23" t="n"/>
      <c r="C258" s="23" t="n"/>
      <c r="D258" s="23" t="n"/>
      <c r="E258" s="24" t="n"/>
      <c r="F258" s="25">
        <f>_xlfn.MINIFS(Cases!$D$2:$D$499,Cases!$B$2:$B$499,A258)</f>
        <v/>
      </c>
      <c r="G258" s="10">
        <f>COUNTIF(Cases!$B$2:$B$499,A258)</f>
        <v/>
      </c>
    </row>
    <row r="259">
      <c r="A259" s="10" t="inlineStr">
        <is>
          <t>AEMYA000634021</t>
        </is>
      </c>
      <c r="B259" s="23" t="n"/>
      <c r="C259" s="23" t="n"/>
      <c r="D259" s="23" t="n"/>
      <c r="E259" s="24" t="n"/>
      <c r="F259" s="25">
        <f>_xlfn.MINIFS(Cases!$D$2:$D$499,Cases!$B$2:$B$499,A259)</f>
        <v/>
      </c>
      <c r="G259" s="10">
        <f>COUNTIF(Cases!$B$2:$B$499,A259)</f>
        <v/>
      </c>
    </row>
    <row r="260">
      <c r="A260" s="10" t="inlineStr">
        <is>
          <t>TYARA18799A</t>
        </is>
      </c>
      <c r="B260" s="23" t="n"/>
      <c r="C260" s="23" t="n"/>
      <c r="D260" s="23" t="n"/>
      <c r="E260" s="24" t="n"/>
      <c r="F260" s="25">
        <f>_xlfn.MINIFS(Cases!$D$2:$D$499,Cases!$B$2:$B$499,A260)</f>
        <v/>
      </c>
      <c r="G260" s="10">
        <f>COUNTIF(Cases!$B$2:$B$499,A260)</f>
        <v/>
      </c>
    </row>
    <row r="261">
      <c r="A261" s="10" t="inlineStr">
        <is>
          <t>NVMYWP00000GRACE10</t>
        </is>
      </c>
      <c r="B261" s="23" t="n"/>
      <c r="C261" s="23" t="n"/>
      <c r="D261" s="23" t="n"/>
      <c r="E261" s="24" t="n"/>
      <c r="F261" s="25">
        <f>_xlfn.MINIFS(Cases!$D$2:$D$499,Cases!$B$2:$B$499,A261)</f>
        <v/>
      </c>
      <c r="G261" s="10">
        <f>COUNTIF(Cases!$B$2:$B$499,A261)</f>
        <v/>
      </c>
    </row>
    <row r="262">
      <c r="A262" s="10" t="inlineStr">
        <is>
          <t>STLMY1550348916931018752</t>
        </is>
      </c>
      <c r="B262" s="23" t="n"/>
      <c r="C262" s="23" t="n"/>
      <c r="D262" s="23" t="n"/>
      <c r="E262" s="24" t="n"/>
      <c r="F262" s="25">
        <f>_xlfn.MINIFS(Cases!$D$2:$D$499,Cases!$B$2:$B$499,A262)</f>
        <v/>
      </c>
      <c r="G262" s="10">
        <f>COUNTIF(Cases!$B$2:$B$499,A262)</f>
        <v/>
      </c>
    </row>
    <row r="263">
      <c r="A263" s="10" t="inlineStr">
        <is>
          <t>RYTDB8P4QYWC16W</t>
        </is>
      </c>
      <c r="B263" s="23" t="n"/>
      <c r="C263" s="23" t="n"/>
      <c r="D263" s="23" t="n"/>
      <c r="E263" s="24" t="n"/>
      <c r="F263" s="25">
        <f>_xlfn.MINIFS(Cases!$D$2:$D$499,Cases!$B$2:$B$499,A263)</f>
        <v/>
      </c>
      <c r="G263" s="10">
        <f>COUNTIF(Cases!$B$2:$B$499,A263)</f>
        <v/>
      </c>
    </row>
    <row r="264">
      <c r="A264" s="10" t="inlineStr">
        <is>
          <t>ZNV217543945-1255</t>
        </is>
      </c>
      <c r="B264" s="23" t="n"/>
      <c r="C264" s="23" t="n"/>
      <c r="D264" s="23" t="n"/>
      <c r="E264" s="24" t="n"/>
      <c r="F264" s="25">
        <f>_xlfn.MINIFS(Cases!$D$2:$D$499,Cases!$B$2:$B$499,A264)</f>
        <v/>
      </c>
      <c r="G264" s="10">
        <f>COUNTIF(Cases!$B$2:$B$499,A264)</f>
        <v/>
      </c>
    </row>
    <row r="265">
      <c r="A265" s="10" t="inlineStr">
        <is>
          <t>NVMYONEGA000042873</t>
        </is>
      </c>
      <c r="B265" s="23" t="n"/>
      <c r="C265" s="23" t="n"/>
      <c r="D265" s="23" t="n"/>
      <c r="E265" s="24" t="n"/>
      <c r="F265" s="25">
        <f>_xlfn.MINIFS(Cases!$D$2:$D$499,Cases!$B$2:$B$499,A265)</f>
        <v/>
      </c>
      <c r="G265" s="10">
        <f>COUNTIF(Cases!$B$2:$B$499,A265)</f>
        <v/>
      </c>
    </row>
    <row r="266">
      <c r="A266" s="10" t="inlineStr">
        <is>
          <t>ZNV946826890-4877</t>
        </is>
      </c>
      <c r="B266" s="23" t="n"/>
      <c r="C266" s="23" t="n"/>
      <c r="D266" s="23" t="n"/>
      <c r="E266" s="24" t="n"/>
      <c r="F266" s="25">
        <f>_xlfn.MINIFS(Cases!$D$2:$D$499,Cases!$B$2:$B$499,A266)</f>
        <v/>
      </c>
      <c r="G266" s="10">
        <f>COUNTIF(Cases!$B$2:$B$499,A266)</f>
        <v/>
      </c>
    </row>
    <row r="267">
      <c r="A267" s="10" t="inlineStr">
        <is>
          <t>NVMYNINJA002524047</t>
        </is>
      </c>
      <c r="B267" s="23" t="n"/>
      <c r="C267" s="23" t="n"/>
      <c r="D267" s="23" t="n"/>
      <c r="E267" s="24" t="n"/>
      <c r="F267" s="25">
        <f>_xlfn.MINIFS(Cases!$D$2:$D$499,Cases!$B$2:$B$499,A267)</f>
        <v/>
      </c>
      <c r="G267" s="10">
        <f>COUNTIF(Cases!$B$2:$B$499,A267)</f>
        <v/>
      </c>
    </row>
    <row r="268">
      <c r="A268" s="10" t="inlineStr">
        <is>
          <t>TNGDV2609096877053600</t>
        </is>
      </c>
      <c r="B268" s="23" t="n"/>
      <c r="C268" s="23" t="n"/>
      <c r="D268" s="23" t="n"/>
      <c r="E268" s="24" t="n"/>
      <c r="F268" s="25">
        <f>_xlfn.MINIFS(Cases!$D$2:$D$499,Cases!$B$2:$B$499,A268)</f>
        <v/>
      </c>
      <c r="G268" s="10">
        <f>COUNTIF(Cases!$B$2:$B$499,A268)</f>
        <v/>
      </c>
    </row>
    <row r="269">
      <c r="A269" s="10" t="inlineStr">
        <is>
          <t>NVMYNINJA002510812</t>
        </is>
      </c>
      <c r="B269" s="23" t="n"/>
      <c r="C269" s="23" t="n"/>
      <c r="D269" s="23" t="n"/>
      <c r="E269" s="24" t="n"/>
      <c r="F269" s="25">
        <f>_xlfn.MINIFS(Cases!$D$2:$D$499,Cases!$B$2:$B$499,A269)</f>
        <v/>
      </c>
      <c r="G269" s="10">
        <f>COUNTIF(Cases!$B$2:$B$499,A269)</f>
        <v/>
      </c>
    </row>
    <row r="270">
      <c r="A270" s="10" t="inlineStr">
        <is>
          <t>NVMYTRADE014223243</t>
        </is>
      </c>
      <c r="B270" s="23" t="n"/>
      <c r="C270" s="23" t="n"/>
      <c r="D270" s="23" t="n"/>
      <c r="E270" s="24" t="n"/>
      <c r="F270" s="25">
        <f>_xlfn.MINIFS(Cases!$D$2:$D$499,Cases!$B$2:$B$499,A270)</f>
        <v/>
      </c>
      <c r="G270" s="10">
        <f>COUNTIF(Cases!$B$2:$B$499,A270)</f>
        <v/>
      </c>
    </row>
    <row r="271">
      <c r="A271" s="10" t="inlineStr">
        <is>
          <t>NVMYPZXMS000048159</t>
        </is>
      </c>
      <c r="B271" s="23" t="n"/>
      <c r="C271" s="23" t="n"/>
      <c r="D271" s="23" t="n"/>
      <c r="E271" s="24" t="n"/>
      <c r="F271" s="25">
        <f>_xlfn.MINIFS(Cases!$D$2:$D$499,Cases!$B$2:$B$499,A271)</f>
        <v/>
      </c>
      <c r="G271" s="10">
        <f>COUNTIF(Cases!$B$2:$B$499,A271)</f>
        <v/>
      </c>
    </row>
    <row r="272">
      <c r="A272" s="10" t="inlineStr">
        <is>
          <t>LSGMY5908395</t>
        </is>
      </c>
      <c r="B272" s="23" t="n"/>
      <c r="C272" s="23" t="n"/>
      <c r="D272" s="23" t="n"/>
      <c r="E272" s="24" t="n"/>
      <c r="F272" s="25">
        <f>_xlfn.MINIFS(Cases!$D$2:$D$499,Cases!$B$2:$B$499,A272)</f>
        <v/>
      </c>
      <c r="G272" s="10">
        <f>COUNTIF(Cases!$B$2:$B$499,A272)</f>
        <v/>
      </c>
    </row>
    <row r="273">
      <c r="A273" s="10" t="inlineStr">
        <is>
          <t>TNGEO202609131001256129</t>
        </is>
      </c>
      <c r="B273" s="23" t="n"/>
      <c r="C273" s="23" t="n"/>
      <c r="D273" s="23" t="n"/>
      <c r="E273" s="24" t="n"/>
      <c r="F273" s="25">
        <f>_xlfn.MINIFS(Cases!$D$2:$D$499,Cases!$B$2:$B$499,A273)</f>
        <v/>
      </c>
      <c r="G273" s="10">
        <f>COUNTIF(Cases!$B$2:$B$499,A273)</f>
        <v/>
      </c>
    </row>
    <row r="274">
      <c r="A274" s="10" t="inlineStr">
        <is>
          <t>NVMYSMR88SM6855765</t>
        </is>
      </c>
      <c r="B274" s="23" t="n"/>
      <c r="C274" s="23" t="n"/>
      <c r="D274" s="23" t="n"/>
      <c r="E274" s="24" t="n"/>
      <c r="F274" s="25">
        <f>_xlfn.MINIFS(Cases!$D$2:$D$499,Cases!$B$2:$B$499,A274)</f>
        <v/>
      </c>
      <c r="G274" s="10">
        <f>COUNTIF(Cases!$B$2:$B$499,A274)</f>
        <v/>
      </c>
    </row>
    <row r="275">
      <c r="A275" s="10" t="inlineStr">
        <is>
          <t>TNGSB126037180372543000</t>
        </is>
      </c>
      <c r="B275" s="23" t="n"/>
      <c r="C275" s="23" t="n"/>
      <c r="D275" s="23" t="n"/>
      <c r="E275" s="24" t="n"/>
      <c r="F275" s="25">
        <f>_xlfn.MINIFS(Cases!$D$2:$D$499,Cases!$B$2:$B$499,A275)</f>
        <v/>
      </c>
      <c r="G275" s="10">
        <f>COUNTIF(Cases!$B$2:$B$499,A275)</f>
        <v/>
      </c>
    </row>
    <row r="276">
      <c r="A276" s="10" t="inlineStr">
        <is>
          <t>TNGEO202609161001258530</t>
        </is>
      </c>
      <c r="B276" s="23" t="n"/>
      <c r="C276" s="23" t="n"/>
      <c r="D276" s="23" t="n"/>
      <c r="E276" s="24" t="n"/>
      <c r="F276" s="25">
        <f>_xlfn.MINIFS(Cases!$D$2:$D$499,Cases!$B$2:$B$499,A276)</f>
        <v/>
      </c>
      <c r="G276" s="10">
        <f>COUNTIF(Cases!$B$2:$B$499,A276)</f>
        <v/>
      </c>
    </row>
    <row r="277">
      <c r="A277" s="10" t="inlineStr">
        <is>
          <t>ZNV217481945-2866</t>
        </is>
      </c>
      <c r="B277" s="23" t="n"/>
      <c r="C277" s="23" t="n"/>
      <c r="D277" s="23" t="n"/>
      <c r="E277" s="24" t="n"/>
      <c r="F277" s="25">
        <f>_xlfn.MINIFS(Cases!$D$2:$D$499,Cases!$B$2:$B$499,A277)</f>
        <v/>
      </c>
      <c r="G277" s="10">
        <f>COUNTIF(Cases!$B$2:$B$499,A277)</f>
        <v/>
      </c>
    </row>
    <row r="278">
      <c r="A278" s="10" t="inlineStr">
        <is>
          <t>NVMYLAYFO000002120q</t>
        </is>
      </c>
      <c r="B278" s="23" t="n"/>
      <c r="C278" s="23" t="n"/>
      <c r="D278" s="23" t="n"/>
      <c r="E278" s="24" t="n"/>
      <c r="F278" s="25">
        <f>_xlfn.MINIFS(Cases!$D$2:$D$499,Cases!$B$2:$B$499,A278)</f>
        <v/>
      </c>
      <c r="G278" s="10">
        <f>COUNTIF(Cases!$B$2:$B$499,A278)</f>
        <v/>
      </c>
    </row>
    <row r="279">
      <c r="A279" s="10" t="inlineStr">
        <is>
          <t>NVMYNEUTR0UP143771</t>
        </is>
      </c>
      <c r="B279" s="23" t="n"/>
      <c r="C279" s="23" t="n"/>
      <c r="D279" s="23" t="n"/>
      <c r="E279" s="24" t="n"/>
      <c r="F279" s="25">
        <f>_xlfn.MINIFS(Cases!$D$2:$D$499,Cases!$B$2:$B$499,A279)</f>
        <v/>
      </c>
      <c r="G279" s="10">
        <f>COUNTIF(Cases!$B$2:$B$499,A279)</f>
        <v/>
      </c>
    </row>
    <row r="280">
      <c r="A280" s="10" t="inlineStr">
        <is>
          <t>HBMY1551483304300576768</t>
        </is>
      </c>
      <c r="B280" s="23" t="n"/>
      <c r="C280" s="23" t="n"/>
      <c r="D280" s="23" t="n"/>
      <c r="E280" s="24" t="n"/>
      <c r="F280" s="25">
        <f>_xlfn.MINIFS(Cases!$D$2:$D$499,Cases!$B$2:$B$499,A280)</f>
        <v/>
      </c>
      <c r="G280" s="10">
        <f>COUNTIF(Cases!$B$2:$B$499,A280)</f>
        <v/>
      </c>
    </row>
    <row r="281">
      <c r="A281" s="10" t="inlineStr">
        <is>
          <t>NVMYNINJA002522007</t>
        </is>
      </c>
      <c r="B281" s="23" t="n"/>
      <c r="C281" s="23" t="n"/>
      <c r="D281" s="23" t="n"/>
      <c r="E281" s="24" t="n"/>
      <c r="F281" s="25">
        <f>_xlfn.MINIFS(Cases!$D$2:$D$499,Cases!$B$2:$B$499,A281)</f>
        <v/>
      </c>
      <c r="G281" s="10">
        <f>COUNTIF(Cases!$B$2:$B$499,A281)</f>
        <v/>
      </c>
    </row>
    <row r="282">
      <c r="A282" s="10" t="inlineStr">
        <is>
          <t>MAILB1547537792528531456</t>
        </is>
      </c>
      <c r="B282" s="23" t="n"/>
      <c r="C282" s="23" t="n"/>
      <c r="D282" s="23" t="n"/>
      <c r="E282" s="24" t="n"/>
      <c r="F282" s="25">
        <f>_xlfn.MINIFS(Cases!$D$2:$D$499,Cases!$B$2:$B$499,A282)</f>
        <v/>
      </c>
      <c r="G282" s="10">
        <f>COUNTIF(Cases!$B$2:$B$499,A282)</f>
        <v/>
      </c>
    </row>
    <row r="283">
      <c r="A283" s="10" t="inlineStr">
        <is>
          <t>NVMYPZXMS000047676</t>
        </is>
      </c>
      <c r="B283" s="23" t="n"/>
      <c r="C283" s="23" t="n"/>
      <c r="D283" s="23" t="n"/>
      <c r="E283" s="24" t="n"/>
      <c r="F283" s="25">
        <f>_xlfn.MINIFS(Cases!$D$2:$D$499,Cases!$B$2:$B$499,A283)</f>
        <v/>
      </c>
      <c r="G283" s="10">
        <f>COUNTIF(Cases!$B$2:$B$499,A283)</f>
        <v/>
      </c>
    </row>
    <row r="284">
      <c r="A284" s="10" t="inlineStr">
        <is>
          <t>JSXPR1550351336619966464</t>
        </is>
      </c>
      <c r="B284" s="23" t="n"/>
      <c r="C284" s="23" t="n"/>
      <c r="D284" s="23" t="n"/>
      <c r="E284" s="24" t="n"/>
      <c r="F284" s="25">
        <f>_xlfn.MINIFS(Cases!$D$2:$D$499,Cases!$B$2:$B$499,A284)</f>
        <v/>
      </c>
      <c r="G284" s="10">
        <f>COUNTIF(Cases!$B$2:$B$499,A284)</f>
        <v/>
      </c>
    </row>
    <row r="285">
      <c r="A285" s="10" t="inlineStr">
        <is>
          <t>NVMYNRLIL050614937</t>
        </is>
      </c>
      <c r="B285" s="23" t="n"/>
      <c r="C285" s="23" t="n"/>
      <c r="D285" s="23" t="n"/>
      <c r="E285" s="24" t="n"/>
      <c r="F285" s="25">
        <f>_xlfn.MINIFS(Cases!$D$2:$D$499,Cases!$B$2:$B$499,A285)</f>
        <v/>
      </c>
      <c r="G285" s="10">
        <f>COUNTIF(Cases!$B$2:$B$499,A285)</f>
        <v/>
      </c>
    </row>
    <row r="286">
      <c r="A286" s="10" t="inlineStr">
        <is>
          <t>TNGE326040017388104080</t>
        </is>
      </c>
      <c r="B286" s="23" t="n"/>
      <c r="C286" s="23" t="n"/>
      <c r="D286" s="23" t="n"/>
      <c r="E286" s="24" t="n"/>
      <c r="F286" s="25">
        <f>_xlfn.MINIFS(Cases!$D$2:$D$499,Cases!$B$2:$B$499,A286)</f>
        <v/>
      </c>
      <c r="G286" s="10">
        <f>COUNTIF(Cases!$B$2:$B$499,A286)</f>
        <v/>
      </c>
    </row>
    <row r="287">
      <c r="A287" s="10" t="inlineStr">
        <is>
          <t>HAWAS1547446975398883328</t>
        </is>
      </c>
      <c r="B287" s="23" t="n"/>
      <c r="C287" s="23" t="n"/>
      <c r="D287" s="23" t="n"/>
      <c r="E287" s="24" t="n"/>
      <c r="F287" s="25">
        <f>_xlfn.MINIFS(Cases!$D$2:$D$499,Cases!$B$2:$B$499,A287)</f>
        <v/>
      </c>
      <c r="G287" s="10">
        <f>COUNTIF(Cases!$B$2:$B$499,A287)</f>
        <v/>
      </c>
    </row>
    <row r="288">
      <c r="A288" s="10" t="inlineStr">
        <is>
          <t>TNGE126067384604826000</t>
        </is>
      </c>
      <c r="B288" s="23" t="n"/>
      <c r="C288" s="23" t="n"/>
      <c r="D288" s="23" t="n"/>
      <c r="E288" s="24" t="n"/>
      <c r="F288" s="25">
        <f>_xlfn.MINIFS(Cases!$D$2:$D$499,Cases!$B$2:$B$499,A288)</f>
        <v/>
      </c>
      <c r="G288" s="10">
        <f>COUNTIF(Cases!$B$2:$B$499,A288)</f>
        <v/>
      </c>
    </row>
    <row r="289">
      <c r="A289" s="10" t="inlineStr">
        <is>
          <t>SIASG1544997664729550848</t>
        </is>
      </c>
      <c r="B289" s="23" t="n"/>
      <c r="C289" s="23" t="n"/>
      <c r="D289" s="23" t="n"/>
      <c r="E289" s="24" t="n"/>
      <c r="F289" s="25">
        <f>_xlfn.MINIFS(Cases!$D$2:$D$499,Cases!$B$2:$B$499,A289)</f>
        <v/>
      </c>
      <c r="G289" s="10">
        <f>COUNTIF(Cases!$B$2:$B$499,A289)</f>
        <v/>
      </c>
    </row>
    <row r="290">
      <c r="A290" s="10" t="inlineStr">
        <is>
          <t>NVMY45537000029927</t>
        </is>
      </c>
      <c r="B290" s="23" t="n"/>
      <c r="C290" s="23" t="n"/>
      <c r="D290" s="23" t="n"/>
      <c r="E290" s="24" t="n"/>
      <c r="F290" s="25">
        <f>_xlfn.MINIFS(Cases!$D$2:$D$499,Cases!$B$2:$B$499,A290)</f>
        <v/>
      </c>
      <c r="G290" s="10">
        <f>COUNTIF(Cases!$B$2:$B$499,A290)</f>
        <v/>
      </c>
    </row>
    <row r="291">
      <c r="A291" s="10" t="inlineStr">
        <is>
          <t>TNGDV2609156907420100</t>
        </is>
      </c>
      <c r="B291" s="23" t="n"/>
      <c r="C291" s="23" t="n"/>
      <c r="D291" s="23" t="n"/>
      <c r="E291" s="24" t="n"/>
      <c r="F291" s="25">
        <f>_xlfn.MINIFS(Cases!$D$2:$D$499,Cases!$B$2:$B$499,A291)</f>
        <v/>
      </c>
      <c r="G291" s="10">
        <f>COUNTIF(Cases!$B$2:$B$499,A291)</f>
        <v/>
      </c>
    </row>
    <row r="292">
      <c r="A292" s="10" t="inlineStr">
        <is>
          <t>RYTDB1ZPYOXLUYJ</t>
        </is>
      </c>
      <c r="B292" s="23" t="n"/>
      <c r="C292" s="23" t="n"/>
      <c r="D292" s="23" t="n"/>
      <c r="E292" s="24" t="n"/>
      <c r="F292" s="25">
        <f>_xlfn.MINIFS(Cases!$D$2:$D$499,Cases!$B$2:$B$499,A292)</f>
        <v/>
      </c>
      <c r="G292" s="10">
        <f>COUNTIF(Cases!$B$2:$B$499,A292)</f>
        <v/>
      </c>
    </row>
    <row r="293">
      <c r="A293" s="10" t="inlineStr">
        <is>
          <t>PGMLL0004629322-1-1-51</t>
        </is>
      </c>
      <c r="B293" s="23" t="n"/>
      <c r="C293" s="23" t="n"/>
      <c r="D293" s="23" t="n"/>
      <c r="E293" s="24" t="n"/>
      <c r="F293" s="25">
        <f>_xlfn.MINIFS(Cases!$D$2:$D$499,Cases!$B$2:$B$499,A293)</f>
        <v/>
      </c>
      <c r="G293" s="10">
        <f>COUNTIF(Cases!$B$2:$B$499,A293)</f>
        <v/>
      </c>
    </row>
    <row r="294">
      <c r="A294" s="10" t="inlineStr">
        <is>
          <t>RIDZL1551442465070960640</t>
        </is>
      </c>
      <c r="B294" s="23" t="n"/>
      <c r="C294" s="23" t="n"/>
      <c r="D294" s="23" t="n"/>
      <c r="E294" s="24" t="n"/>
      <c r="F294" s="25">
        <f>_xlfn.MINIFS(Cases!$D$2:$D$499,Cases!$B$2:$B$499,A294)</f>
        <v/>
      </c>
      <c r="G294" s="10">
        <f>COUNTIF(Cases!$B$2:$B$499,A294)</f>
        <v/>
      </c>
    </row>
    <row r="295">
      <c r="A295" s="10" t="inlineStr">
        <is>
          <t>NVMYPOPLKIF1220375</t>
        </is>
      </c>
      <c r="B295" s="23" t="n"/>
      <c r="C295" s="23" t="n"/>
      <c r="D295" s="23" t="n"/>
      <c r="E295" s="24" t="n"/>
      <c r="F295" s="25">
        <f>_xlfn.MINIFS(Cases!$D$2:$D$499,Cases!$B$2:$B$499,A295)</f>
        <v/>
      </c>
      <c r="G295" s="10">
        <f>COUNTIF(Cases!$B$2:$B$499,A295)</f>
        <v/>
      </c>
    </row>
    <row r="296">
      <c r="A296" s="10" t="inlineStr">
        <is>
          <t>NFRSH1012526</t>
        </is>
      </c>
      <c r="B296" s="23" t="n"/>
      <c r="C296" s="23" t="n"/>
      <c r="D296" s="23" t="n"/>
      <c r="E296" s="24" t="n"/>
      <c r="F296" s="25">
        <f>_xlfn.MINIFS(Cases!$D$2:$D$499,Cases!$B$2:$B$499,A296)</f>
        <v/>
      </c>
      <c r="G296" s="10">
        <f>COUNTIF(Cases!$B$2:$B$499,A296)</f>
        <v/>
      </c>
    </row>
    <row r="297">
      <c r="A297" s="10" t="inlineStr">
        <is>
          <t>TNGEO202609171001259197</t>
        </is>
      </c>
      <c r="B297" s="23" t="n"/>
      <c r="C297" s="23" t="n"/>
      <c r="D297" s="23" t="n"/>
      <c r="E297" s="24" t="n"/>
      <c r="F297" s="25">
        <f>_xlfn.MINIFS(Cases!$D$2:$D$499,Cases!$B$2:$B$499,A297)</f>
        <v/>
      </c>
      <c r="G297" s="10">
        <f>COUNTIF(Cases!$B$2:$B$499,A297)</f>
        <v/>
      </c>
    </row>
    <row r="298">
      <c r="A298" s="10" t="inlineStr">
        <is>
          <t>SYI1551481379977601024</t>
        </is>
      </c>
      <c r="B298" s="23" t="n"/>
      <c r="C298" s="23" t="n"/>
      <c r="D298" s="23" t="n"/>
      <c r="E298" s="24" t="n"/>
      <c r="F298" s="25">
        <f>_xlfn.MINIFS(Cases!$D$2:$D$499,Cases!$B$2:$B$499,A298)</f>
        <v/>
      </c>
      <c r="G298" s="10">
        <f>COUNTIF(Cases!$B$2:$B$499,A298)</f>
        <v/>
      </c>
    </row>
    <row r="299">
      <c r="A299" s="10" t="inlineStr">
        <is>
          <t>NVMYNINJA002523519</t>
        </is>
      </c>
      <c r="B299" s="23" t="n"/>
      <c r="C299" s="23" t="n"/>
      <c r="D299" s="23" t="n"/>
      <c r="E299" s="24" t="n"/>
      <c r="F299" s="25">
        <f>_xlfn.MINIFS(Cases!$D$2:$D$499,Cases!$B$2:$B$499,A299)</f>
        <v/>
      </c>
      <c r="G299" s="10">
        <f>COUNTIF(Cases!$B$2:$B$499,A299)</f>
        <v/>
      </c>
    </row>
    <row r="300">
      <c r="A300" s="10" t="inlineStr">
        <is>
          <t>MJCPE1549037237451567104</t>
        </is>
      </c>
      <c r="B300" s="23" t="n"/>
      <c r="C300" s="23" t="n"/>
      <c r="D300" s="23" t="n"/>
      <c r="E300" s="24" t="n"/>
      <c r="F300" s="25">
        <f>_xlfn.MINIFS(Cases!$D$2:$D$499,Cases!$B$2:$B$499,A300)</f>
        <v/>
      </c>
      <c r="G300" s="10">
        <f>COUNTIF(Cases!$B$2:$B$499,A300)</f>
        <v/>
      </c>
    </row>
    <row r="301">
      <c r="A301" s="10" t="inlineStr">
        <is>
          <t>NVMYASTCH000011456</t>
        </is>
      </c>
      <c r="B301" s="23" t="n"/>
      <c r="C301" s="23" t="n"/>
      <c r="D301" s="23" t="n"/>
      <c r="E301" s="24" t="n"/>
      <c r="F301" s="25">
        <f>_xlfn.MINIFS(Cases!$D$2:$D$499,Cases!$B$2:$B$499,A301)</f>
        <v/>
      </c>
      <c r="G301" s="10">
        <f>COUNTIF(Cases!$B$2:$B$499,A301)</f>
        <v/>
      </c>
    </row>
    <row r="302">
      <c r="A302" s="10" t="inlineStr">
        <is>
          <t>AEMYA000630852</t>
        </is>
      </c>
      <c r="B302" s="23" t="n"/>
      <c r="C302" s="23" t="n"/>
      <c r="D302" s="23" t="n"/>
      <c r="E302" s="24" t="n"/>
      <c r="F302" s="25">
        <f>_xlfn.MINIFS(Cases!$D$2:$D$499,Cases!$B$2:$B$499,A302)</f>
        <v/>
      </c>
      <c r="G302" s="10">
        <f>COUNTIF(Cases!$B$2:$B$499,A302)</f>
        <v/>
      </c>
    </row>
    <row r="303">
      <c r="A303" s="10" t="inlineStr">
        <is>
          <t>SHINE1551872275179208704</t>
        </is>
      </c>
      <c r="B303" s="23" t="n"/>
      <c r="C303" s="23" t="n"/>
      <c r="D303" s="23" t="n"/>
      <c r="E303" s="24" t="n"/>
      <c r="F303" s="25">
        <f>_xlfn.MINIFS(Cases!$D$2:$D$499,Cases!$B$2:$B$499,A303)</f>
        <v/>
      </c>
      <c r="G303" s="10">
        <f>COUNTIF(Cases!$B$2:$B$499,A303)</f>
        <v/>
      </c>
    </row>
    <row r="304">
      <c r="A304" s="10" t="inlineStr">
        <is>
          <t>MUMPL1551622217028452352</t>
        </is>
      </c>
      <c r="B304" s="23" t="n"/>
      <c r="C304" s="23" t="n"/>
      <c r="D304" s="23" t="n"/>
      <c r="E304" s="24" t="n"/>
      <c r="F304" s="25">
        <f>_xlfn.MINIFS(Cases!$D$2:$D$499,Cases!$B$2:$B$499,A304)</f>
        <v/>
      </c>
      <c r="G304" s="10">
        <f>COUNTIF(Cases!$B$2:$B$499,A304)</f>
        <v/>
      </c>
    </row>
    <row r="305">
      <c r="A305" s="10" t="inlineStr">
        <is>
          <t>TNGE126017056518403000</t>
        </is>
      </c>
      <c r="B305" s="23" t="n"/>
      <c r="C305" s="23" t="n"/>
      <c r="D305" s="23" t="n"/>
      <c r="E305" s="24" t="n"/>
      <c r="F305" s="25">
        <f>_xlfn.MINIFS(Cases!$D$2:$D$499,Cases!$B$2:$B$499,A305)</f>
        <v/>
      </c>
      <c r="G305" s="10">
        <f>COUNTIF(Cases!$B$2:$B$499,A305)</f>
        <v/>
      </c>
    </row>
    <row r="306">
      <c r="A306" s="10" t="inlineStr">
        <is>
          <t>MYNJV70059945668</t>
        </is>
      </c>
      <c r="B306" s="23" t="n"/>
      <c r="C306" s="23" t="n"/>
      <c r="D306" s="23" t="n"/>
      <c r="E306" s="24" t="n"/>
      <c r="F306" s="25">
        <f>_xlfn.MINIFS(Cases!$D$2:$D$499,Cases!$B$2:$B$499,A306)</f>
        <v/>
      </c>
      <c r="G306" s="10">
        <f>COUNTIF(Cases!$B$2:$B$499,A306)</f>
        <v/>
      </c>
    </row>
    <row r="307">
      <c r="A307" s="10" t="inlineStr">
        <is>
          <t>TNGDV2609136913811870</t>
        </is>
      </c>
      <c r="B307" s="23" t="n"/>
      <c r="C307" s="23" t="n"/>
      <c r="D307" s="23" t="n"/>
      <c r="E307" s="24" t="n"/>
      <c r="F307" s="25">
        <f>_xlfn.MINIFS(Cases!$D$2:$D$499,Cases!$B$2:$B$499,A307)</f>
        <v/>
      </c>
      <c r="G307" s="10">
        <f>COUNTIF(Cases!$B$2:$B$499,A307)</f>
        <v/>
      </c>
    </row>
    <row r="308">
      <c r="A308" s="10" t="inlineStr">
        <is>
          <t>AEMYA000635657</t>
        </is>
      </c>
      <c r="B308" s="23" t="n"/>
      <c r="C308" s="23" t="n"/>
      <c r="D308" s="23" t="n"/>
      <c r="E308" s="24" t="n"/>
      <c r="F308" s="25">
        <f>_xlfn.MINIFS(Cases!$D$2:$D$499,Cases!$B$2:$B$499,A308)</f>
        <v/>
      </c>
      <c r="G308" s="10">
        <f>COUNTIF(Cases!$B$2:$B$499,A308)</f>
        <v/>
      </c>
    </row>
    <row r="309">
      <c r="A309" s="10" t="inlineStr">
        <is>
          <t>MAILB1550738280369963008</t>
        </is>
      </c>
      <c r="B309" s="23" t="n"/>
      <c r="C309" s="23" t="n"/>
      <c r="D309" s="23" t="n"/>
      <c r="E309" s="24" t="n"/>
      <c r="F309" s="25">
        <f>_xlfn.MINIFS(Cases!$D$2:$D$499,Cases!$B$2:$B$499,A309)</f>
        <v/>
      </c>
      <c r="G309" s="10">
        <f>COUNTIF(Cases!$B$2:$B$499,A309)</f>
        <v/>
      </c>
    </row>
    <row r="310">
      <c r="A310" s="10" t="inlineStr">
        <is>
          <t>NVMYTHROA000000598</t>
        </is>
      </c>
      <c r="B310" s="23" t="n"/>
      <c r="C310" s="23" t="n"/>
      <c r="D310" s="23" t="n"/>
      <c r="E310" s="24" t="n"/>
      <c r="F310" s="25">
        <f>_xlfn.MINIFS(Cases!$D$2:$D$499,Cases!$B$2:$B$499,A310)</f>
        <v/>
      </c>
      <c r="G310" s="10">
        <f>COUNTIF(Cases!$B$2:$B$499,A310)</f>
        <v/>
      </c>
    </row>
    <row r="311">
      <c r="A311" s="10" t="inlineStr">
        <is>
          <t>LNID2609BN6UAD4K</t>
        </is>
      </c>
      <c r="B311" s="23" t="n"/>
      <c r="C311" s="23" t="n"/>
      <c r="D311" s="23" t="n"/>
      <c r="E311" s="24" t="n"/>
      <c r="F311" s="25">
        <f>_xlfn.MINIFS(Cases!$D$2:$D$499,Cases!$B$2:$B$499,A311)</f>
        <v/>
      </c>
      <c r="G311" s="10">
        <f>COUNTIF(Cases!$B$2:$B$499,A311)</f>
        <v/>
      </c>
    </row>
    <row r="312">
      <c r="A312" s="10" t="inlineStr">
        <is>
          <t>NVMYAIMIM000004143</t>
        </is>
      </c>
      <c r="B312" s="23" t="n"/>
      <c r="C312" s="23" t="n"/>
      <c r="D312" s="23" t="n"/>
      <c r="E312" s="24" t="n"/>
      <c r="F312" s="25">
        <f>_xlfn.MINIFS(Cases!$D$2:$D$499,Cases!$B$2:$B$499,A312)</f>
        <v/>
      </c>
      <c r="G312" s="10">
        <f>COUNTIF(Cases!$B$2:$B$499,A312)</f>
        <v/>
      </c>
    </row>
    <row r="313">
      <c r="A313" s="10" t="inlineStr">
        <is>
          <t>NVMYBEVLA921354189</t>
        </is>
      </c>
      <c r="B313" s="23" t="n"/>
      <c r="C313" s="23" t="n"/>
      <c r="D313" s="23" t="n"/>
      <c r="E313" s="24" t="n"/>
      <c r="F313" s="25">
        <f>_xlfn.MINIFS(Cases!$D$2:$D$499,Cases!$B$2:$B$499,A313)</f>
        <v/>
      </c>
      <c r="G313" s="10">
        <f>COUNTIF(Cases!$B$2:$B$499,A313)</f>
        <v/>
      </c>
    </row>
    <row r="314">
      <c r="A314" s="10" t="inlineStr">
        <is>
          <t>NVMYHOOHI000012204</t>
        </is>
      </c>
      <c r="B314" s="23" t="n"/>
      <c r="C314" s="23" t="n"/>
      <c r="D314" s="23" t="n"/>
      <c r="E314" s="24" t="n"/>
      <c r="F314" s="25">
        <f>_xlfn.MINIFS(Cases!$D$2:$D$499,Cases!$B$2:$B$499,A314)</f>
        <v/>
      </c>
      <c r="G314" s="10">
        <f>COUNTIF(Cases!$B$2:$B$499,A314)</f>
        <v/>
      </c>
    </row>
    <row r="315">
      <c r="A315" s="10" t="inlineStr">
        <is>
          <t>NVMYSECOM000093833</t>
        </is>
      </c>
      <c r="B315" s="23" t="n"/>
      <c r="C315" s="23" t="n"/>
      <c r="D315" s="23" t="n"/>
      <c r="E315" s="24" t="n"/>
      <c r="F315" s="25">
        <f>_xlfn.MINIFS(Cases!$D$2:$D$499,Cases!$B$2:$B$499,A315)</f>
        <v/>
      </c>
      <c r="G315" s="10">
        <f>COUNTIF(Cases!$B$2:$B$499,A315)</f>
        <v/>
      </c>
    </row>
    <row r="316">
      <c r="A316" s="10" t="inlineStr">
        <is>
          <t>MYNJV70096675528</t>
        </is>
      </c>
      <c r="B316" s="23" t="n"/>
      <c r="C316" s="23" t="n"/>
      <c r="D316" s="23" t="n"/>
      <c r="E316" s="24" t="n"/>
      <c r="F316" s="25">
        <f>_xlfn.MINIFS(Cases!$D$2:$D$499,Cases!$B$2:$B$499,A316)</f>
        <v/>
      </c>
      <c r="G316" s="10">
        <f>COUNTIF(Cases!$B$2:$B$499,A316)</f>
        <v/>
      </c>
    </row>
    <row r="317">
      <c r="A317" s="10" t="inlineStr">
        <is>
          <t>MYNJV70073295398</t>
        </is>
      </c>
      <c r="B317" s="23" t="n"/>
      <c r="C317" s="23" t="n"/>
      <c r="D317" s="23" t="n"/>
      <c r="E317" s="24" t="n"/>
      <c r="F317" s="25">
        <f>_xlfn.MINIFS(Cases!$D$2:$D$499,Cases!$B$2:$B$499,A317)</f>
        <v/>
      </c>
      <c r="G317" s="10">
        <f>COUNTIF(Cases!$B$2:$B$499,A317)</f>
        <v/>
      </c>
    </row>
    <row r="318">
      <c r="A318" s="10" t="inlineStr">
        <is>
          <t>LYCHN1550143940582481920</t>
        </is>
      </c>
      <c r="B318" s="23" t="n"/>
      <c r="C318" s="23" t="n"/>
      <c r="D318" s="23" t="n"/>
      <c r="E318" s="24" t="n"/>
      <c r="F318" s="25">
        <f>_xlfn.MINIFS(Cases!$D$2:$D$499,Cases!$B$2:$B$499,A318)</f>
        <v/>
      </c>
      <c r="G318" s="10">
        <f>COUNTIF(Cases!$B$2:$B$499,A318)</f>
        <v/>
      </c>
    </row>
    <row r="319">
      <c r="A319" s="10" t="inlineStr">
        <is>
          <t>NVMYADI00000422746</t>
        </is>
      </c>
      <c r="B319" s="23" t="n"/>
      <c r="C319" s="23" t="n"/>
      <c r="D319" s="23" t="n"/>
      <c r="E319" s="24" t="n"/>
      <c r="F319" s="25">
        <f>_xlfn.MINIFS(Cases!$D$2:$D$499,Cases!$B$2:$B$499,A319)</f>
        <v/>
      </c>
      <c r="G319" s="10">
        <f>COUNTIF(Cases!$B$2:$B$499,A319)</f>
        <v/>
      </c>
    </row>
    <row r="320">
      <c r="A320" s="10" t="inlineStr">
        <is>
          <t>NVMYAXVEL000112120</t>
        </is>
      </c>
      <c r="B320" s="23" t="n"/>
      <c r="C320" s="23" t="n"/>
      <c r="D320" s="23" t="n"/>
      <c r="E320" s="24" t="n"/>
      <c r="F320" s="25">
        <f>_xlfn.MINIFS(Cases!$D$2:$D$499,Cases!$B$2:$B$499,A320)</f>
        <v/>
      </c>
      <c r="G320" s="10">
        <f>COUNTIF(Cases!$B$2:$B$499,A320)</f>
        <v/>
      </c>
    </row>
    <row r="321">
      <c r="A321" s="10" t="inlineStr">
        <is>
          <t>MYNJV70008945938</t>
        </is>
      </c>
      <c r="B321" s="23" t="n"/>
      <c r="C321" s="23" t="n"/>
      <c r="D321" s="23" t="n"/>
      <c r="E321" s="24" t="n"/>
      <c r="F321" s="25">
        <f>_xlfn.MINIFS(Cases!$D$2:$D$499,Cases!$B$2:$B$499,A321)</f>
        <v/>
      </c>
      <c r="G321" s="10">
        <f>COUNTIF(Cases!$B$2:$B$499,A321)</f>
        <v/>
      </c>
    </row>
    <row r="322">
      <c r="A322" s="10" t="inlineStr">
        <is>
          <t>NLMYWA04658968</t>
        </is>
      </c>
      <c r="B322" s="23" t="n"/>
      <c r="C322" s="23" t="n"/>
      <c r="D322" s="23" t="n"/>
      <c r="E322" s="24" t="n"/>
      <c r="F322" s="25">
        <f>_xlfn.MINIFS(Cases!$D$2:$D$499,Cases!$B$2:$B$499,A322)</f>
        <v/>
      </c>
      <c r="G322" s="10">
        <f>COUNTIF(Cases!$B$2:$B$499,A322)</f>
        <v/>
      </c>
    </row>
    <row r="323">
      <c r="A323" s="10" t="inlineStr">
        <is>
          <t>PGMLL0004629950-1-1-27</t>
        </is>
      </c>
      <c r="B323" s="23" t="n"/>
      <c r="C323" s="23" t="n"/>
      <c r="D323" s="23" t="n"/>
      <c r="E323" s="24" t="n"/>
      <c r="F323" s="25">
        <f>_xlfn.MINIFS(Cases!$D$2:$D$499,Cases!$B$2:$B$499,A323)</f>
        <v/>
      </c>
      <c r="G323" s="10">
        <f>COUNTIF(Cases!$B$2:$B$499,A323)</f>
        <v/>
      </c>
    </row>
    <row r="324">
      <c r="A324" s="10" t="inlineStr">
        <is>
          <t>TNGE126007000501702000</t>
        </is>
      </c>
      <c r="B324" s="23" t="n"/>
      <c r="C324" s="23" t="n"/>
      <c r="D324" s="23" t="n"/>
      <c r="E324" s="24" t="n"/>
      <c r="F324" s="25">
        <f>_xlfn.MINIFS(Cases!$D$2:$D$499,Cases!$B$2:$B$499,A324)</f>
        <v/>
      </c>
      <c r="G324" s="10">
        <f>COUNTIF(Cases!$B$2:$B$499,A324)</f>
        <v/>
      </c>
    </row>
    <row r="325">
      <c r="A325" s="10" t="inlineStr">
        <is>
          <t>ESHP003314995</t>
        </is>
      </c>
      <c r="B325" s="23" t="n"/>
      <c r="C325" s="23" t="n"/>
      <c r="D325" s="23" t="n"/>
      <c r="E325" s="24" t="n"/>
      <c r="F325" s="25">
        <f>_xlfn.MINIFS(Cases!$D$2:$D$499,Cases!$B$2:$B$499,A325)</f>
        <v/>
      </c>
      <c r="G325" s="10">
        <f>COUNTIF(Cases!$B$2:$B$499,A325)</f>
        <v/>
      </c>
    </row>
    <row r="326">
      <c r="A326" s="10" t="inlineStr">
        <is>
          <t>MYNJV70093465568</t>
        </is>
      </c>
      <c r="B326" s="23" t="n"/>
      <c r="C326" s="23" t="n"/>
      <c r="D326" s="23" t="n"/>
      <c r="E326" s="24" t="n"/>
      <c r="F326" s="25">
        <f>_xlfn.MINIFS(Cases!$D$2:$D$499,Cases!$B$2:$B$499,A326)</f>
        <v/>
      </c>
      <c r="G326" s="10">
        <f>COUNTIF(Cases!$B$2:$B$499,A326)</f>
        <v/>
      </c>
    </row>
    <row r="327">
      <c r="A327" s="10" t="inlineStr">
        <is>
          <t>ZNV256384945-4282</t>
        </is>
      </c>
      <c r="B327" s="23" t="n"/>
      <c r="C327" s="23" t="n"/>
      <c r="D327" s="23" t="n"/>
      <c r="E327" s="24" t="n"/>
      <c r="F327" s="25">
        <f>_xlfn.MINIFS(Cases!$D$2:$D$499,Cases!$B$2:$B$499,A327)</f>
        <v/>
      </c>
      <c r="G327" s="10">
        <f>COUNTIF(Cases!$B$2:$B$499,A327)</f>
        <v/>
      </c>
    </row>
    <row r="328">
      <c r="A328" s="10" t="inlineStr">
        <is>
          <t>HFGMY12609161310007</t>
        </is>
      </c>
      <c r="B328" s="23" t="n"/>
      <c r="C328" s="23" t="n"/>
      <c r="D328" s="23" t="n"/>
      <c r="E328" s="24" t="n"/>
      <c r="F328" s="25">
        <f>_xlfn.MINIFS(Cases!$D$2:$D$499,Cases!$B$2:$B$499,A328)</f>
        <v/>
      </c>
      <c r="G328" s="10">
        <f>COUNTIF(Cases!$B$2:$B$499,A328)</f>
        <v/>
      </c>
    </row>
    <row r="329">
      <c r="A329" s="10" t="inlineStr">
        <is>
          <t>NVMYNINJA002502259</t>
        </is>
      </c>
      <c r="B329" s="23" t="n"/>
      <c r="C329" s="23" t="n"/>
      <c r="D329" s="23" t="n"/>
      <c r="E329" s="24" t="n"/>
      <c r="F329" s="25">
        <f>_xlfn.MINIFS(Cases!$D$2:$D$499,Cases!$B$2:$B$499,A329)</f>
        <v/>
      </c>
      <c r="G329" s="10">
        <f>COUNTIF(Cases!$B$2:$B$499,A329)</f>
        <v/>
      </c>
    </row>
    <row r="330">
      <c r="A330" s="10" t="inlineStr">
        <is>
          <t>BEINT1546361398446215168</t>
        </is>
      </c>
      <c r="B330" s="23" t="n"/>
      <c r="C330" s="23" t="n"/>
      <c r="D330" s="23" t="n"/>
      <c r="E330" s="24" t="n"/>
      <c r="F330" s="25">
        <f>_xlfn.MINIFS(Cases!$D$2:$D$499,Cases!$B$2:$B$499,A330)</f>
        <v/>
      </c>
      <c r="G330" s="10">
        <f>COUNTIF(Cases!$B$2:$B$499,A330)</f>
        <v/>
      </c>
    </row>
    <row r="331">
      <c r="A331" s="10" t="inlineStr">
        <is>
          <t>MGBOO1549219794276077568</t>
        </is>
      </c>
      <c r="B331" s="23" t="n"/>
      <c r="C331" s="23" t="n"/>
      <c r="D331" s="23" t="n"/>
      <c r="E331" s="24" t="n"/>
      <c r="F331" s="25">
        <f>_xlfn.MINIFS(Cases!$D$2:$D$499,Cases!$B$2:$B$499,A331)</f>
        <v/>
      </c>
      <c r="G331" s="10">
        <f>COUNTIF(Cases!$B$2:$B$499,A331)</f>
        <v/>
      </c>
    </row>
    <row r="332">
      <c r="A332" s="10" t="inlineStr">
        <is>
          <t>SUMORNJ3698-001</t>
        </is>
      </c>
      <c r="B332" s="23" t="n"/>
      <c r="C332" s="23" t="n"/>
      <c r="D332" s="23" t="n"/>
      <c r="E332" s="24" t="n"/>
      <c r="F332" s="25">
        <f>_xlfn.MINIFS(Cases!$D$2:$D$499,Cases!$B$2:$B$499,A332)</f>
        <v/>
      </c>
      <c r="G332" s="10">
        <f>COUNTIF(Cases!$B$2:$B$499,A332)</f>
        <v/>
      </c>
    </row>
    <row r="333">
      <c r="A333" s="10" t="inlineStr">
        <is>
          <t>TNGE126057319316659000</t>
        </is>
      </c>
      <c r="B333" s="23" t="n"/>
      <c r="C333" s="23" t="n"/>
      <c r="D333" s="23" t="n"/>
      <c r="E333" s="24" t="n"/>
      <c r="F333" s="25">
        <f>_xlfn.MINIFS(Cases!$D$2:$D$499,Cases!$B$2:$B$499,A333)</f>
        <v/>
      </c>
      <c r="G333" s="10">
        <f>COUNTIF(Cases!$B$2:$B$499,A333)</f>
        <v/>
      </c>
    </row>
    <row r="334">
      <c r="A334" s="10" t="inlineStr">
        <is>
          <t>NVMYPZXMS000048199</t>
        </is>
      </c>
      <c r="B334" s="23" t="n"/>
      <c r="C334" s="23" t="n"/>
      <c r="D334" s="23" t="n"/>
      <c r="E334" s="24" t="n"/>
      <c r="F334" s="25">
        <f>_xlfn.MINIFS(Cases!$D$2:$D$499,Cases!$B$2:$B$499,A334)</f>
        <v/>
      </c>
      <c r="G334" s="10">
        <f>COUNTIF(Cases!$B$2:$B$499,A334)</f>
        <v/>
      </c>
    </row>
    <row r="335">
      <c r="A335" s="10" t="inlineStr">
        <is>
          <t>NVMYNINJA002523907</t>
        </is>
      </c>
      <c r="B335" s="23" t="n"/>
      <c r="C335" s="23" t="n"/>
      <c r="D335" s="23" t="n"/>
      <c r="E335" s="24" t="n"/>
      <c r="F335" s="25">
        <f>_xlfn.MINIFS(Cases!$D$2:$D$499,Cases!$B$2:$B$499,A335)</f>
        <v/>
      </c>
      <c r="G335" s="10">
        <f>COUNTIF(Cases!$B$2:$B$499,A335)</f>
        <v/>
      </c>
    </row>
    <row r="336">
      <c r="A336" s="10" t="inlineStr">
        <is>
          <t>SFDUN1551440210219233280</t>
        </is>
      </c>
      <c r="B336" s="23" t="n"/>
      <c r="C336" s="23" t="n"/>
      <c r="D336" s="23" t="n"/>
      <c r="E336" s="24" t="n"/>
      <c r="F336" s="25">
        <f>_xlfn.MINIFS(Cases!$D$2:$D$499,Cases!$B$2:$B$499,A336)</f>
        <v/>
      </c>
      <c r="G336" s="10">
        <f>COUNTIF(Cases!$B$2:$B$499,A336)</f>
        <v/>
      </c>
    </row>
    <row r="337">
      <c r="A337" s="10" t="inlineStr">
        <is>
          <t>NVMY48214000023987</t>
        </is>
      </c>
      <c r="B337" s="23" t="n"/>
      <c r="C337" s="23" t="n"/>
      <c r="D337" s="23" t="n"/>
      <c r="E337" s="24" t="n"/>
      <c r="F337" s="25">
        <f>_xlfn.MINIFS(Cases!$D$2:$D$499,Cases!$B$2:$B$499,A337)</f>
        <v/>
      </c>
      <c r="G337" s="10">
        <f>COUNTIF(Cases!$B$2:$B$499,A337)</f>
        <v/>
      </c>
    </row>
    <row r="338">
      <c r="A338" s="10" t="inlineStr">
        <is>
          <t>NVMYTEPIS000003841</t>
        </is>
      </c>
      <c r="B338" s="23" t="n"/>
      <c r="C338" s="23" t="n"/>
      <c r="D338" s="23" t="n"/>
      <c r="E338" s="24" t="n"/>
      <c r="F338" s="25">
        <f>_xlfn.MINIFS(Cases!$D$2:$D$499,Cases!$B$2:$B$499,A338)</f>
        <v/>
      </c>
      <c r="G338" s="10">
        <f>COUNTIF(Cases!$B$2:$B$499,A338)</f>
        <v/>
      </c>
    </row>
    <row r="339">
      <c r="A339" s="10" t="inlineStr">
        <is>
          <t>NVMYMVBLY050581976</t>
        </is>
      </c>
      <c r="B339" s="23" t="n"/>
      <c r="C339" s="23" t="n"/>
      <c r="D339" s="23" t="n"/>
      <c r="E339" s="24" t="n"/>
      <c r="F339" s="25">
        <f>_xlfn.MINIFS(Cases!$D$2:$D$499,Cases!$B$2:$B$499,A339)</f>
        <v/>
      </c>
      <c r="G339" s="10">
        <f>COUNTIF(Cases!$B$2:$B$499,A339)</f>
        <v/>
      </c>
    </row>
    <row r="340">
      <c r="A340" s="10" t="inlineStr">
        <is>
          <t>NVMYCRGMABP3888094</t>
        </is>
      </c>
      <c r="B340" s="23" t="n"/>
      <c r="C340" s="23" t="n"/>
      <c r="D340" s="23" t="n"/>
      <c r="E340" s="24" t="n"/>
      <c r="F340" s="25">
        <f>_xlfn.MINIFS(Cases!$D$2:$D$499,Cases!$B$2:$B$499,A340)</f>
        <v/>
      </c>
      <c r="G340" s="10">
        <f>COUNTIF(Cases!$B$2:$B$499,A340)</f>
        <v/>
      </c>
    </row>
    <row r="341">
      <c r="A341" s="10" t="inlineStr">
        <is>
          <t>TRESA372646401</t>
        </is>
      </c>
      <c r="B341" s="23" t="n"/>
      <c r="C341" s="23" t="n"/>
      <c r="D341" s="23" t="n"/>
      <c r="E341" s="24" t="n"/>
      <c r="F341" s="25">
        <f>_xlfn.MINIFS(Cases!$D$2:$D$499,Cases!$B$2:$B$499,A341)</f>
        <v/>
      </c>
      <c r="G341" s="10">
        <f>COUNTIF(Cases!$B$2:$B$499,A341)</f>
        <v/>
      </c>
    </row>
    <row r="342">
      <c r="A342" s="10" t="inlineStr">
        <is>
          <t>NVMYSILKN000018213</t>
        </is>
      </c>
      <c r="B342" s="23" t="n"/>
      <c r="C342" s="23" t="n"/>
      <c r="D342" s="23" t="n"/>
      <c r="E342" s="24" t="n"/>
      <c r="F342" s="25">
        <f>_xlfn.MINIFS(Cases!$D$2:$D$499,Cases!$B$2:$B$499,A342)</f>
        <v/>
      </c>
      <c r="G342" s="10">
        <f>COUNTIF(Cases!$B$2:$B$499,A342)</f>
        <v/>
      </c>
    </row>
    <row r="343">
      <c r="A343" s="10" t="inlineStr">
        <is>
          <t>MYNJV70043925628</t>
        </is>
      </c>
      <c r="B343" s="23" t="n"/>
      <c r="C343" s="23" t="n"/>
      <c r="D343" s="23" t="n"/>
      <c r="E343" s="24" t="n"/>
      <c r="F343" s="25">
        <f>_xlfn.MINIFS(Cases!$D$2:$D$499,Cases!$B$2:$B$499,A343)</f>
        <v/>
      </c>
      <c r="G343" s="10">
        <f>COUNTIF(Cases!$B$2:$B$499,A343)</f>
        <v/>
      </c>
    </row>
    <row r="344">
      <c r="A344" s="10" t="inlineStr">
        <is>
          <t>SYI1551535855957438464</t>
        </is>
      </c>
      <c r="B344" s="23" t="n"/>
      <c r="C344" s="23" t="n"/>
      <c r="D344" s="23" t="n"/>
      <c r="E344" s="24" t="n"/>
      <c r="F344" s="25">
        <f>_xlfn.MINIFS(Cases!$D$2:$D$499,Cases!$B$2:$B$499,A344)</f>
        <v/>
      </c>
      <c r="G344" s="10">
        <f>COUNTIF(Cases!$B$2:$B$499,A344)</f>
        <v/>
      </c>
    </row>
    <row r="345">
      <c r="A345" s="10" t="inlineStr">
        <is>
          <t>TNGEO202609041001249005</t>
        </is>
      </c>
      <c r="B345" s="23" t="n"/>
      <c r="C345" s="23" t="n"/>
      <c r="D345" s="23" t="n"/>
      <c r="E345" s="24" t="n"/>
      <c r="F345" s="25">
        <f>_xlfn.MINIFS(Cases!$D$2:$D$499,Cases!$B$2:$B$499,A345)</f>
        <v/>
      </c>
      <c r="G345" s="10">
        <f>COUNTIF(Cases!$B$2:$B$499,A345)</f>
        <v/>
      </c>
    </row>
    <row r="346">
      <c r="A346" s="10" t="inlineStr">
        <is>
          <t>NVMYAJUNA093311976</t>
        </is>
      </c>
      <c r="B346" s="23" t="n"/>
      <c r="C346" s="23" t="n"/>
      <c r="D346" s="23" t="n"/>
      <c r="E346" s="24" t="n"/>
      <c r="F346" s="25">
        <f>_xlfn.MINIFS(Cases!$D$2:$D$499,Cases!$B$2:$B$499,A346)</f>
        <v/>
      </c>
      <c r="G346" s="10">
        <f>COUNTIF(Cases!$B$2:$B$499,A346)</f>
        <v/>
      </c>
    </row>
    <row r="347">
      <c r="A347" s="10" t="inlineStr">
        <is>
          <t>NVMYHNIKJ0316706CC</t>
        </is>
      </c>
      <c r="B347" s="23" t="n"/>
      <c r="C347" s="23" t="n"/>
      <c r="D347" s="23" t="n"/>
      <c r="E347" s="24" t="n"/>
      <c r="F347" s="25">
        <f>_xlfn.MINIFS(Cases!$D$2:$D$499,Cases!$B$2:$B$499,A347)</f>
        <v/>
      </c>
      <c r="G347" s="10">
        <f>COUNTIF(Cases!$B$2:$B$499,A347)</f>
        <v/>
      </c>
    </row>
    <row r="348">
      <c r="A348" s="10" t="inlineStr">
        <is>
          <t>NVMYAR11V000137129</t>
        </is>
      </c>
      <c r="B348" s="23" t="n"/>
      <c r="C348" s="23" t="n"/>
      <c r="D348" s="23" t="n"/>
      <c r="E348" s="24" t="n"/>
      <c r="F348" s="25">
        <f>_xlfn.MINIFS(Cases!$D$2:$D$499,Cases!$B$2:$B$499,A348)</f>
        <v/>
      </c>
      <c r="G348" s="10">
        <f>COUNTIF(Cases!$B$2:$B$499,A348)</f>
        <v/>
      </c>
    </row>
    <row r="349">
      <c r="A349" s="10" t="inlineStr">
        <is>
          <t>AEMYA000633717</t>
        </is>
      </c>
      <c r="B349" s="23" t="n"/>
      <c r="C349" s="23" t="n"/>
      <c r="D349" s="23" t="n"/>
      <c r="E349" s="24" t="n"/>
      <c r="F349" s="25">
        <f>_xlfn.MINIFS(Cases!$D$2:$D$499,Cases!$B$2:$B$499,A349)</f>
        <v/>
      </c>
      <c r="G349" s="10">
        <f>COUNTIF(Cases!$B$2:$B$499,A349)</f>
        <v/>
      </c>
    </row>
    <row r="350">
      <c r="A350" s="10" t="inlineStr">
        <is>
          <t>ZMP212761945-9199</t>
        </is>
      </c>
      <c r="B350" s="23" t="n"/>
      <c r="C350" s="23" t="n"/>
      <c r="D350" s="23" t="n"/>
      <c r="E350" s="24" t="n"/>
      <c r="F350" s="25">
        <f>_xlfn.MINIFS(Cases!$D$2:$D$499,Cases!$B$2:$B$499,A350)</f>
        <v/>
      </c>
      <c r="G350" s="10">
        <f>COUNTIF(Cases!$B$2:$B$499,A350)</f>
        <v/>
      </c>
    </row>
    <row r="351">
      <c r="A351" s="10" t="inlineStr">
        <is>
          <t>MYNJV70005976008</t>
        </is>
      </c>
      <c r="B351" s="23" t="n"/>
      <c r="C351" s="23" t="n"/>
      <c r="D351" s="23" t="n"/>
      <c r="E351" s="24" t="n"/>
      <c r="F351" s="25">
        <f>_xlfn.MINIFS(Cases!$D$2:$D$499,Cases!$B$2:$B$499,A351)</f>
        <v/>
      </c>
      <c r="G351" s="10">
        <f>COUNTIF(Cases!$B$2:$B$499,A351)</f>
        <v/>
      </c>
    </row>
    <row r="352">
      <c r="A352" s="10" t="inlineStr">
        <is>
          <t>NVMYDLRA000DL80075</t>
        </is>
      </c>
      <c r="B352" s="23" t="n"/>
      <c r="C352" s="23" t="n"/>
      <c r="D352" s="23" t="n"/>
      <c r="E352" s="24" t="n"/>
      <c r="F352" s="25">
        <f>_xlfn.MINIFS(Cases!$D$2:$D$499,Cases!$B$2:$B$499,A352)</f>
        <v/>
      </c>
      <c r="G352" s="10">
        <f>COUNTIF(Cases!$B$2:$B$499,A352)</f>
        <v/>
      </c>
    </row>
    <row r="353">
      <c r="A353" s="10" t="inlineStr">
        <is>
          <t>MOONB1548961047584903168</t>
        </is>
      </c>
      <c r="B353" s="23" t="n"/>
      <c r="C353" s="23" t="n"/>
      <c r="D353" s="23" t="n"/>
      <c r="E353" s="24" t="n"/>
      <c r="F353" s="25">
        <f>_xlfn.MINIFS(Cases!$D$2:$D$499,Cases!$B$2:$B$499,A353)</f>
        <v/>
      </c>
      <c r="G353" s="10">
        <f>COUNTIF(Cases!$B$2:$B$499,A353)</f>
        <v/>
      </c>
    </row>
    <row r="354">
      <c r="A354" s="10" t="inlineStr">
        <is>
          <t>TNGDV2609196953561960</t>
        </is>
      </c>
      <c r="B354" s="23" t="n"/>
      <c r="C354" s="23" t="n"/>
      <c r="D354" s="23" t="n"/>
      <c r="E354" s="24" t="n"/>
      <c r="F354" s="25">
        <f>_xlfn.MINIFS(Cases!$D$2:$D$499,Cases!$B$2:$B$499,A354)</f>
        <v/>
      </c>
      <c r="G354" s="10">
        <f>COUNTIF(Cases!$B$2:$B$499,A354)</f>
        <v/>
      </c>
    </row>
    <row r="355">
      <c r="A355" s="10" t="inlineStr">
        <is>
          <t>NVMYTMTSB0TH67622I</t>
        </is>
      </c>
      <c r="B355" s="23" t="n"/>
      <c r="C355" s="23" t="n"/>
      <c r="D355" s="23" t="n"/>
      <c r="E355" s="24" t="n"/>
      <c r="F355" s="25">
        <f>_xlfn.MINIFS(Cases!$D$2:$D$499,Cases!$B$2:$B$499,A355)</f>
        <v/>
      </c>
      <c r="G355" s="10">
        <f>COUNTIF(Cases!$B$2:$B$499,A355)</f>
        <v/>
      </c>
    </row>
    <row r="356">
      <c r="A356" s="10" t="inlineStr">
        <is>
          <t>MYNJV70039345518</t>
        </is>
      </c>
      <c r="B356" s="23" t="n"/>
      <c r="C356" s="23" t="n"/>
      <c r="D356" s="23" t="n"/>
      <c r="E356" s="24" t="n"/>
      <c r="F356" s="25">
        <f>_xlfn.MINIFS(Cases!$D$2:$D$499,Cases!$B$2:$B$499,A356)</f>
        <v/>
      </c>
      <c r="G356" s="10">
        <f>COUNTIF(Cases!$B$2:$B$499,A356)</f>
        <v/>
      </c>
    </row>
    <row r="357">
      <c r="A357" s="10" t="inlineStr">
        <is>
          <t>HAWAS1551423395595153408</t>
        </is>
      </c>
      <c r="B357" s="23" t="n"/>
      <c r="C357" s="23" t="n"/>
      <c r="D357" s="23" t="n"/>
      <c r="E357" s="24" t="n"/>
      <c r="F357" s="25">
        <f>_xlfn.MINIFS(Cases!$D$2:$D$499,Cases!$B$2:$B$499,A357)</f>
        <v/>
      </c>
      <c r="G357" s="10">
        <f>COUNTIF(Cases!$B$2:$B$499,A357)</f>
        <v/>
      </c>
    </row>
    <row r="358">
      <c r="A358" s="10" t="inlineStr">
        <is>
          <t>NVMYNINJAMYRPLPV1Y</t>
        </is>
      </c>
      <c r="B358" s="23" t="n"/>
      <c r="C358" s="23" t="n"/>
      <c r="D358" s="23" t="n"/>
      <c r="E358" s="24" t="n"/>
      <c r="F358" s="25">
        <f>_xlfn.MINIFS(Cases!$D$2:$D$499,Cases!$B$2:$B$499,A358)</f>
        <v/>
      </c>
      <c r="G358" s="10">
        <f>COUNTIF(Cases!$B$2:$B$499,A358)</f>
        <v/>
      </c>
    </row>
    <row r="359">
      <c r="A359" s="10" t="inlineStr">
        <is>
          <t>TNGE126067354686503000</t>
        </is>
      </c>
      <c r="B359" s="23" t="n"/>
      <c r="C359" s="23" t="n"/>
      <c r="D359" s="23" t="n"/>
      <c r="E359" s="24" t="n"/>
      <c r="F359" s="25">
        <f>_xlfn.MINIFS(Cases!$D$2:$D$499,Cases!$B$2:$B$499,A359)</f>
        <v/>
      </c>
      <c r="G359" s="10">
        <f>COUNTIF(Cases!$B$2:$B$499,A359)</f>
        <v/>
      </c>
    </row>
    <row r="360">
      <c r="A360" s="10" t="inlineStr">
        <is>
          <t>NVMYNINJA002519071</t>
        </is>
      </c>
      <c r="B360" s="23" t="n"/>
      <c r="C360" s="23" t="n"/>
      <c r="D360" s="23" t="n"/>
      <c r="E360" s="24" t="n"/>
      <c r="F360" s="25">
        <f>_xlfn.MINIFS(Cases!$D$2:$D$499,Cases!$B$2:$B$499,A360)</f>
        <v/>
      </c>
      <c r="G360" s="10">
        <f>COUNTIF(Cases!$B$2:$B$499,A360)</f>
        <v/>
      </c>
    </row>
    <row r="361">
      <c r="A361" s="10" t="inlineStr">
        <is>
          <t>ESHP003314663</t>
        </is>
      </c>
      <c r="B361" s="23" t="n"/>
      <c r="C361" s="23" t="n"/>
      <c r="D361" s="23" t="n"/>
      <c r="E361" s="24" t="n"/>
      <c r="F361" s="25">
        <f>_xlfn.MINIFS(Cases!$D$2:$D$499,Cases!$B$2:$B$499,A361)</f>
        <v/>
      </c>
      <c r="G361" s="10">
        <f>COUNTIF(Cases!$B$2:$B$499,A361)</f>
        <v/>
      </c>
    </row>
    <row r="362">
      <c r="A362" s="10" t="inlineStr">
        <is>
          <t>RSAPA2601402-001,RSAPA2601402-002&amp;RSAPA2601402-003</t>
        </is>
      </c>
      <c r="B362" s="23" t="n"/>
      <c r="C362" s="23" t="n"/>
      <c r="D362" s="23" t="n"/>
      <c r="E362" s="24" t="n"/>
      <c r="F362" s="25">
        <f>_xlfn.MINIFS(Cases!$D$2:$D$499,Cases!$B$2:$B$499,A362)</f>
        <v/>
      </c>
      <c r="G362" s="10">
        <f>COUNTIF(Cases!$B$2:$B$499,A362)</f>
        <v/>
      </c>
    </row>
    <row r="363">
      <c r="A363" s="10" t="inlineStr">
        <is>
          <t>AMNV005965607</t>
        </is>
      </c>
      <c r="B363" s="23" t="n"/>
      <c r="C363" s="23" t="n"/>
      <c r="D363" s="23" t="n"/>
      <c r="E363" s="24" t="n"/>
      <c r="F363" s="25">
        <f>_xlfn.MINIFS(Cases!$D$2:$D$499,Cases!$B$2:$B$499,A363)</f>
        <v/>
      </c>
      <c r="G363" s="10">
        <f>COUNTIF(Cases!$B$2:$B$499,A363)</f>
        <v/>
      </c>
    </row>
    <row r="364">
      <c r="A364" s="10" t="inlineStr">
        <is>
          <t>KLNNBR004925</t>
        </is>
      </c>
      <c r="B364" s="23" t="n"/>
      <c r="C364" s="23" t="n"/>
      <c r="D364" s="23" t="n"/>
      <c r="E364" s="24" t="n"/>
      <c r="F364" s="25">
        <f>_xlfn.MINIFS(Cases!$D$2:$D$499,Cases!$B$2:$B$499,A364)</f>
        <v/>
      </c>
      <c r="G364" s="10">
        <f>COUNTIF(Cases!$B$2:$B$499,A364)</f>
        <v/>
      </c>
    </row>
    <row r="365">
      <c r="A365" s="10" t="inlineStr">
        <is>
          <t>NVMYDOCMY000089342</t>
        </is>
      </c>
      <c r="B365" s="23" t="n"/>
      <c r="C365" s="23" t="n"/>
      <c r="D365" s="23" t="n"/>
      <c r="E365" s="24" t="n"/>
      <c r="F365" s="25">
        <f>_xlfn.MINIFS(Cases!$D$2:$D$499,Cases!$B$2:$B$499,A365)</f>
        <v/>
      </c>
      <c r="G365" s="10">
        <f>COUNTIF(Cases!$B$2:$B$499,A365)</f>
        <v/>
      </c>
    </row>
    <row r="366">
      <c r="A366" s="10" t="inlineStr">
        <is>
          <t>NVMYDRSMG000046536</t>
        </is>
      </c>
      <c r="B366" s="23" t="n"/>
      <c r="C366" s="23" t="n"/>
      <c r="D366" s="23" t="n"/>
      <c r="E366" s="24" t="n"/>
      <c r="F366" s="25">
        <f>_xlfn.MINIFS(Cases!$D$2:$D$499,Cases!$B$2:$B$499,A366)</f>
        <v/>
      </c>
      <c r="G366" s="10">
        <f>COUNTIF(Cases!$B$2:$B$499,A366)</f>
        <v/>
      </c>
    </row>
    <row r="367">
      <c r="A367" s="10" t="inlineStr">
        <is>
          <t>NVMYN4TUP000000653-001</t>
        </is>
      </c>
      <c r="B367" s="23" t="n"/>
      <c r="C367" s="23" t="n"/>
      <c r="D367" s="23" t="n"/>
      <c r="E367" s="24" t="n"/>
      <c r="F367" s="25">
        <f>_xlfn.MINIFS(Cases!$D$2:$D$499,Cases!$B$2:$B$499,A367)</f>
        <v/>
      </c>
      <c r="G367" s="10">
        <f>COUNTIF(Cases!$B$2:$B$499,A367)</f>
        <v/>
      </c>
    </row>
    <row r="368">
      <c r="A368" s="10" t="inlineStr">
        <is>
          <t>MYNJV70058725648</t>
        </is>
      </c>
      <c r="B368" s="23" t="n"/>
      <c r="C368" s="23" t="n"/>
      <c r="D368" s="23" t="n"/>
      <c r="E368" s="24" t="n"/>
      <c r="F368" s="25">
        <f>_xlfn.MINIFS(Cases!$D$2:$D$499,Cases!$B$2:$B$499,A368)</f>
        <v/>
      </c>
      <c r="G368" s="10">
        <f>COUNTIF(Cases!$B$2:$B$499,A368)</f>
        <v/>
      </c>
    </row>
    <row r="369">
      <c r="A369" s="10" t="inlineStr">
        <is>
          <t>NVMYPKGRO000003879</t>
        </is>
      </c>
      <c r="B369" s="23" t="n"/>
      <c r="C369" s="23" t="n"/>
      <c r="D369" s="23" t="n"/>
      <c r="E369" s="24" t="n"/>
      <c r="F369" s="25">
        <f>_xlfn.MINIFS(Cases!$D$2:$D$499,Cases!$B$2:$B$499,A369)</f>
        <v/>
      </c>
      <c r="G369" s="10">
        <f>COUNTIF(Cases!$B$2:$B$499,A369)</f>
        <v/>
      </c>
    </row>
    <row r="370">
      <c r="A370" s="10" t="inlineStr">
        <is>
          <t>NVMYDOCMY000089617</t>
        </is>
      </c>
      <c r="B370" s="23" t="n"/>
      <c r="C370" s="23" t="n"/>
      <c r="D370" s="23" t="n"/>
      <c r="E370" s="24" t="n"/>
      <c r="F370" s="25">
        <f>_xlfn.MINIFS(Cases!$D$2:$D$499,Cases!$B$2:$B$499,A370)</f>
        <v/>
      </c>
      <c r="G370" s="10">
        <f>COUNTIF(Cases!$B$2:$B$499,A370)</f>
        <v/>
      </c>
    </row>
    <row r="371">
      <c r="A371" s="10" t="inlineStr">
        <is>
          <t>TNGDV2609106895983080</t>
        </is>
      </c>
      <c r="B371" s="23" t="n"/>
      <c r="C371" s="23" t="n"/>
      <c r="D371" s="23" t="n"/>
      <c r="E371" s="24" t="n"/>
      <c r="F371" s="25">
        <f>_xlfn.MINIFS(Cases!$D$2:$D$499,Cases!$B$2:$B$499,A371)</f>
        <v/>
      </c>
      <c r="G371" s="10">
        <f>COUNTIF(Cases!$B$2:$B$499,A371)</f>
        <v/>
      </c>
    </row>
    <row r="372">
      <c r="A372" s="10" t="inlineStr">
        <is>
          <t>NVMYNINJA002526014</t>
        </is>
      </c>
      <c r="B372" s="23" t="n"/>
      <c r="C372" s="23" t="n"/>
      <c r="D372" s="23" t="n"/>
      <c r="E372" s="24" t="n"/>
      <c r="F372" s="25">
        <f>_xlfn.MINIFS(Cases!$D$2:$D$499,Cases!$B$2:$B$499,A372)</f>
        <v/>
      </c>
      <c r="G372" s="10">
        <f>COUNTIF(Cases!$B$2:$B$499,A372)</f>
        <v/>
      </c>
    </row>
    <row r="373">
      <c r="A373" s="10" t="inlineStr">
        <is>
          <t>NVMYHVMJB0316698CC</t>
        </is>
      </c>
      <c r="B373" s="23" t="n"/>
      <c r="C373" s="23" t="n"/>
      <c r="D373" s="23" t="n"/>
      <c r="E373" s="24" t="n"/>
      <c r="F373" s="25">
        <f>_xlfn.MINIFS(Cases!$D$2:$D$499,Cases!$B$2:$B$499,A373)</f>
        <v/>
      </c>
      <c r="G373" s="10">
        <f>COUNTIF(Cases!$B$2:$B$499,A373)</f>
        <v/>
      </c>
    </row>
    <row r="374">
      <c r="A374" s="10" t="inlineStr">
        <is>
          <t>NVMYNINJA002503781</t>
        </is>
      </c>
      <c r="B374" s="23" t="n"/>
      <c r="C374" s="23" t="n"/>
      <c r="D374" s="23" t="n"/>
      <c r="E374" s="24" t="n"/>
      <c r="F374" s="25">
        <f>_xlfn.MINIFS(Cases!$D$2:$D$499,Cases!$B$2:$B$499,A374)</f>
        <v/>
      </c>
      <c r="G374" s="10">
        <f>COUNTIF(Cases!$B$2:$B$499,A374)</f>
        <v/>
      </c>
    </row>
    <row r="375">
      <c r="A375" s="10" t="inlineStr">
        <is>
          <t>NVMYKEIMA000009699</t>
        </is>
      </c>
      <c r="B375" s="23" t="n"/>
      <c r="C375" s="23" t="n"/>
      <c r="D375" s="23" t="n"/>
      <c r="E375" s="24" t="n"/>
      <c r="F375" s="25">
        <f>_xlfn.MINIFS(Cases!$D$2:$D$499,Cases!$B$2:$B$499,A375)</f>
        <v/>
      </c>
      <c r="G375" s="10">
        <f>COUNTIF(Cases!$B$2:$B$499,A375)</f>
        <v/>
      </c>
    </row>
    <row r="376">
      <c r="A376" s="10" t="inlineStr">
        <is>
          <t>NVMYNINJA002525652</t>
        </is>
      </c>
      <c r="B376" s="23" t="n"/>
      <c r="C376" s="23" t="n"/>
      <c r="D376" s="23" t="n"/>
      <c r="E376" s="24" t="n"/>
      <c r="F376" s="25">
        <f>_xlfn.MINIFS(Cases!$D$2:$D$499,Cases!$B$2:$B$499,A376)</f>
        <v/>
      </c>
      <c r="G376" s="10">
        <f>COUNTIF(Cases!$B$2:$B$499,A376)</f>
        <v/>
      </c>
    </row>
    <row r="377">
      <c r="A377" s="10" t="inlineStr">
        <is>
          <t>ZMP228561945-5221</t>
        </is>
      </c>
      <c r="B377" s="23" t="n"/>
      <c r="C377" s="23" t="n"/>
      <c r="D377" s="23" t="n"/>
      <c r="E377" s="24" t="n"/>
      <c r="F377" s="25">
        <f>_xlfn.MINIFS(Cases!$D$2:$D$499,Cases!$B$2:$B$499,A377)</f>
        <v/>
      </c>
      <c r="G377" s="10">
        <f>COUNTIF(Cases!$B$2:$B$499,A377)</f>
        <v/>
      </c>
    </row>
    <row r="378">
      <c r="A378" s="10" t="inlineStr">
        <is>
          <t>XHY00400946</t>
        </is>
      </c>
      <c r="B378" s="23" t="n"/>
      <c r="C378" s="23" t="n"/>
      <c r="D378" s="23" t="n"/>
      <c r="E378" s="24" t="n"/>
      <c r="F378" s="25">
        <f>_xlfn.MINIFS(Cases!$D$2:$D$499,Cases!$B$2:$B$499,A378)</f>
        <v/>
      </c>
      <c r="G378" s="10">
        <f>COUNTIF(Cases!$B$2:$B$499,A378)</f>
        <v/>
      </c>
    </row>
    <row r="379">
      <c r="A379" s="10" t="inlineStr">
        <is>
          <t>MYNJV70054005568</t>
        </is>
      </c>
      <c r="B379" s="23" t="n"/>
      <c r="C379" s="23" t="n"/>
      <c r="D379" s="23" t="n"/>
      <c r="E379" s="24" t="n"/>
      <c r="F379" s="25">
        <f>_xlfn.MINIFS(Cases!$D$2:$D$499,Cases!$B$2:$B$499,A379)</f>
        <v/>
      </c>
      <c r="G379" s="10">
        <f>COUNTIF(Cases!$B$2:$B$499,A379)</f>
        <v/>
      </c>
    </row>
    <row r="380">
      <c r="A380" s="10" t="inlineStr">
        <is>
          <t>NVMYJOCEL000115093</t>
        </is>
      </c>
      <c r="B380" s="23" t="n"/>
      <c r="C380" s="23" t="n"/>
      <c r="D380" s="23" t="n"/>
      <c r="E380" s="24" t="n"/>
      <c r="F380" s="25">
        <f>_xlfn.MINIFS(Cases!$D$2:$D$499,Cases!$B$2:$B$499,A380)</f>
        <v/>
      </c>
      <c r="G380" s="10">
        <f>COUNTIF(Cases!$B$2:$B$499,A380)</f>
        <v/>
      </c>
    </row>
    <row r="381">
      <c r="A381" s="10" t="inlineStr">
        <is>
          <t>NVMYQISZR00440341A</t>
        </is>
      </c>
      <c r="B381" s="23" t="n"/>
      <c r="C381" s="23" t="n"/>
      <c r="D381" s="23" t="n"/>
      <c r="E381" s="24" t="n"/>
      <c r="F381" s="25">
        <f>_xlfn.MINIFS(Cases!$D$2:$D$499,Cases!$B$2:$B$499,A381)</f>
        <v/>
      </c>
      <c r="G381" s="10">
        <f>COUNTIF(Cases!$B$2:$B$499,A381)</f>
        <v/>
      </c>
    </row>
    <row r="382">
      <c r="A382" s="10" t="inlineStr">
        <is>
          <t>TNGDV2609176911637730</t>
        </is>
      </c>
      <c r="B382" s="23" t="n"/>
      <c r="C382" s="23" t="n"/>
      <c r="D382" s="23" t="n"/>
      <c r="E382" s="24" t="n"/>
      <c r="F382" s="25">
        <f>_xlfn.MINIFS(Cases!$D$2:$D$499,Cases!$B$2:$B$499,A382)</f>
        <v/>
      </c>
      <c r="G382" s="10">
        <f>COUNTIF(Cases!$B$2:$B$499,A382)</f>
        <v/>
      </c>
    </row>
    <row r="383">
      <c r="A383" s="10" t="inlineStr">
        <is>
          <t>NVMYAXVEL000112073</t>
        </is>
      </c>
      <c r="B383" s="23" t="n"/>
      <c r="C383" s="23" t="n"/>
      <c r="D383" s="23" t="n"/>
      <c r="E383" s="24" t="n"/>
      <c r="F383" s="25">
        <f>_xlfn.MINIFS(Cases!$D$2:$D$499,Cases!$B$2:$B$499,A383)</f>
        <v/>
      </c>
      <c r="G383" s="10">
        <f>COUNTIF(Cases!$B$2:$B$499,A383)</f>
        <v/>
      </c>
    </row>
    <row r="384">
      <c r="A384" s="10" t="inlineStr">
        <is>
          <t>AJDHU1549235139594887168</t>
        </is>
      </c>
      <c r="B384" s="23" t="n"/>
      <c r="C384" s="23" t="n"/>
      <c r="D384" s="23" t="n"/>
      <c r="E384" s="24" t="n"/>
      <c r="F384" s="25">
        <f>_xlfn.MINIFS(Cases!$D$2:$D$499,Cases!$B$2:$B$499,A384)</f>
        <v/>
      </c>
      <c r="G384" s="10">
        <f>COUNTIF(Cases!$B$2:$B$499,A384)</f>
        <v/>
      </c>
    </row>
    <row r="385">
      <c r="A385" s="10" t="inlineStr">
        <is>
          <t>NVMYMASYE000000003</t>
        </is>
      </c>
      <c r="B385" s="23" t="n"/>
      <c r="C385" s="23" t="n"/>
      <c r="D385" s="23" t="n"/>
      <c r="E385" s="24" t="n"/>
      <c r="F385" s="25">
        <f>_xlfn.MINIFS(Cases!$D$2:$D$499,Cases!$B$2:$B$499,A385)</f>
        <v/>
      </c>
      <c r="G385" s="10">
        <f>COUNTIF(Cases!$B$2:$B$499,A385)</f>
        <v/>
      </c>
    </row>
    <row r="386">
      <c r="A386" s="10" t="inlineStr">
        <is>
          <t>WESRS1551197386171473920</t>
        </is>
      </c>
      <c r="B386" s="23" t="n"/>
      <c r="C386" s="23" t="n"/>
      <c r="D386" s="23" t="n"/>
      <c r="E386" s="24" t="n"/>
      <c r="F386" s="25">
        <f>_xlfn.MINIFS(Cases!$D$2:$D$499,Cases!$B$2:$B$499,A386)</f>
        <v/>
      </c>
      <c r="G386" s="10">
        <f>COUNTIF(Cases!$B$2:$B$499,A386)</f>
        <v/>
      </c>
    </row>
    <row r="387">
      <c r="A387" s="10" t="inlineStr">
        <is>
          <t>TNGDV2609196956179110</t>
        </is>
      </c>
      <c r="B387" s="23" t="n"/>
      <c r="C387" s="23" t="n"/>
      <c r="D387" s="23" t="n"/>
      <c r="E387" s="24" t="n"/>
      <c r="F387" s="25">
        <f>_xlfn.MINIFS(Cases!$D$2:$D$499,Cases!$B$2:$B$499,A387)</f>
        <v/>
      </c>
      <c r="G387" s="10">
        <f>COUNTIF(Cases!$B$2:$B$499,A387)</f>
        <v/>
      </c>
    </row>
    <row r="388">
      <c r="A388" s="10" t="inlineStr">
        <is>
          <t>TNGDV2609126912414340</t>
        </is>
      </c>
      <c r="B388" s="23" t="n"/>
      <c r="C388" s="23" t="n"/>
      <c r="D388" s="23" t="n"/>
      <c r="E388" s="24" t="n"/>
      <c r="F388" s="25">
        <f>_xlfn.MINIFS(Cases!$D$2:$D$499,Cases!$B$2:$B$499,A388)</f>
        <v/>
      </c>
      <c r="G388" s="10">
        <f>COUNTIF(Cases!$B$2:$B$499,A388)</f>
        <v/>
      </c>
    </row>
    <row r="389">
      <c r="A389" s="10" t="inlineStr">
        <is>
          <t>AEMYA000637229</t>
        </is>
      </c>
      <c r="B389" s="23" t="n"/>
      <c r="C389" s="23" t="n"/>
      <c r="D389" s="23" t="n"/>
      <c r="E389" s="24" t="n"/>
      <c r="F389" s="25">
        <f>_xlfn.MINIFS(Cases!$D$2:$D$499,Cases!$B$2:$B$499,A389)</f>
        <v/>
      </c>
      <c r="G389" s="10">
        <f>COUNTIF(Cases!$B$2:$B$499,A389)</f>
        <v/>
      </c>
    </row>
    <row r="390">
      <c r="A390" s="10" t="inlineStr">
        <is>
          <t>NVMYMAOPT000056705</t>
        </is>
      </c>
      <c r="B390" s="23" t="n"/>
      <c r="C390" s="23" t="n"/>
      <c r="D390" s="23" t="n"/>
      <c r="E390" s="24" t="n"/>
      <c r="F390" s="25">
        <f>_xlfn.MINIFS(Cases!$D$2:$D$499,Cases!$B$2:$B$499,A390)</f>
        <v/>
      </c>
      <c r="G390" s="10">
        <f>COUNTIF(Cases!$B$2:$B$499,A390)</f>
        <v/>
      </c>
    </row>
    <row r="391">
      <c r="A391" s="10" t="inlineStr">
        <is>
          <t>TNGE326020018325386770</t>
        </is>
      </c>
      <c r="B391" s="23" t="n"/>
      <c r="C391" s="23" t="n"/>
      <c r="D391" s="23" t="n"/>
      <c r="E391" s="24" t="n"/>
      <c r="F391" s="25">
        <f>_xlfn.MINIFS(Cases!$D$2:$D$499,Cases!$B$2:$B$499,A391)</f>
        <v/>
      </c>
      <c r="G391" s="10">
        <f>COUNTIF(Cases!$B$2:$B$499,A391)</f>
        <v/>
      </c>
    </row>
    <row r="392">
      <c r="A392" s="10" t="inlineStr">
        <is>
          <t>HAFDA1551311816403288064</t>
        </is>
      </c>
      <c r="B392" s="23" t="n"/>
      <c r="C392" s="23" t="n"/>
      <c r="D392" s="23" t="n"/>
      <c r="E392" s="24" t="n"/>
      <c r="F392" s="25">
        <f>_xlfn.MINIFS(Cases!$D$2:$D$499,Cases!$B$2:$B$499,A392)</f>
        <v/>
      </c>
      <c r="G392" s="10">
        <f>COUNTIF(Cases!$B$2:$B$499,A392)</f>
        <v/>
      </c>
    </row>
    <row r="393">
      <c r="A393" s="10" t="inlineStr">
        <is>
          <t>NVMYVNTRL00095212A</t>
        </is>
      </c>
      <c r="B393" s="23" t="n"/>
      <c r="C393" s="23" t="n"/>
      <c r="D393" s="23" t="n"/>
      <c r="E393" s="24" t="n"/>
      <c r="F393" s="25">
        <f>_xlfn.MINIFS(Cases!$D$2:$D$499,Cases!$B$2:$B$499,A393)</f>
        <v/>
      </c>
      <c r="G393" s="10">
        <f>COUNTIF(Cases!$B$2:$B$499,A393)</f>
        <v/>
      </c>
    </row>
    <row r="394">
      <c r="A394" s="10" t="inlineStr">
        <is>
          <t>NVMYFRSTG000015878</t>
        </is>
      </c>
      <c r="B394" s="23" t="n"/>
      <c r="C394" s="23" t="n"/>
      <c r="D394" s="23" t="n"/>
      <c r="E394" s="24" t="n"/>
      <c r="F394" s="25">
        <f>_xlfn.MINIFS(Cases!$D$2:$D$499,Cases!$B$2:$B$499,A394)</f>
        <v/>
      </c>
      <c r="G394" s="10">
        <f>COUNTIF(Cases!$B$2:$B$499,A394)</f>
        <v/>
      </c>
    </row>
    <row r="395">
      <c r="A395" s="10" t="inlineStr">
        <is>
          <t>NVMYFUMSB002601441-004</t>
        </is>
      </c>
      <c r="B395" s="23" t="n"/>
      <c r="C395" s="23" t="n"/>
      <c r="D395" s="23" t="n"/>
      <c r="E395" s="24" t="n"/>
      <c r="F395" s="25">
        <f>_xlfn.MINIFS(Cases!$D$2:$D$499,Cases!$B$2:$B$499,A395)</f>
        <v/>
      </c>
      <c r="G395" s="10">
        <f>COUNTIF(Cases!$B$2:$B$499,A395)</f>
        <v/>
      </c>
    </row>
    <row r="396">
      <c r="A396" s="10" t="inlineStr">
        <is>
          <t>NVMY21533000009049</t>
        </is>
      </c>
      <c r="B396" s="23" t="n"/>
      <c r="C396" s="23" t="n"/>
      <c r="D396" s="23" t="n"/>
      <c r="E396" s="24" t="n"/>
      <c r="F396" s="25">
        <f>_xlfn.MINIFS(Cases!$D$2:$D$499,Cases!$B$2:$B$499,A396)</f>
        <v/>
      </c>
      <c r="G396" s="10">
        <f>COUNTIF(Cases!$B$2:$B$499,A396)</f>
        <v/>
      </c>
    </row>
    <row r="397">
      <c r="A397" s="10" t="inlineStr">
        <is>
          <t>UMIDI1551484761843580928</t>
        </is>
      </c>
      <c r="B397" s="23" t="n"/>
      <c r="C397" s="23" t="n"/>
      <c r="D397" s="23" t="n"/>
      <c r="E397" s="24" t="n"/>
      <c r="F397" s="25">
        <f>_xlfn.MINIFS(Cases!$D$2:$D$499,Cases!$B$2:$B$499,A397)</f>
        <v/>
      </c>
      <c r="G397" s="10">
        <f>COUNTIF(Cases!$B$2:$B$499,A397)</f>
        <v/>
      </c>
    </row>
    <row r="398">
      <c r="A398" s="10" t="inlineStr">
        <is>
          <t>NVMYNINJA002524173</t>
        </is>
      </c>
      <c r="B398" s="23" t="n"/>
      <c r="C398" s="23" t="n"/>
      <c r="D398" s="23" t="n"/>
      <c r="E398" s="24" t="n"/>
      <c r="F398" s="25">
        <f>_xlfn.MINIFS(Cases!$D$2:$D$499,Cases!$B$2:$B$499,A398)</f>
        <v/>
      </c>
      <c r="G398" s="10">
        <f>COUNTIF(Cases!$B$2:$B$499,A398)</f>
        <v/>
      </c>
    </row>
    <row r="399">
      <c r="A399" s="10" t="inlineStr">
        <is>
          <t>NVMYMAURE000005570</t>
        </is>
      </c>
      <c r="B399" s="23" t="n"/>
      <c r="C399" s="23" t="n"/>
      <c r="D399" s="23" t="n"/>
      <c r="E399" s="24" t="n"/>
      <c r="F399" s="25">
        <f>_xlfn.MINIFS(Cases!$D$2:$D$499,Cases!$B$2:$B$499,A399)</f>
        <v/>
      </c>
      <c r="G399" s="10">
        <f>COUNTIF(Cases!$B$2:$B$499,A399)</f>
        <v/>
      </c>
    </row>
    <row r="400">
      <c r="A400" s="10" t="inlineStr">
        <is>
          <t>NVMYTSHSN000010671</t>
        </is>
      </c>
      <c r="B400" s="23" t="n"/>
      <c r="C400" s="23" t="n"/>
      <c r="D400" s="23" t="n"/>
      <c r="E400" s="24" t="n"/>
      <c r="F400" s="25">
        <f>_xlfn.MINIFS(Cases!$D$2:$D$499,Cases!$B$2:$B$499,A400)</f>
        <v/>
      </c>
      <c r="G400" s="10">
        <f>COUNTIF(Cases!$B$2:$B$499,A400)</f>
        <v/>
      </c>
    </row>
    <row r="401">
      <c r="A401" s="10" t="inlineStr">
        <is>
          <t>SIASG1549237398332002304</t>
        </is>
      </c>
      <c r="B401" s="23" t="n"/>
      <c r="C401" s="23" t="n"/>
      <c r="D401" s="23" t="n"/>
      <c r="E401" s="24" t="n"/>
      <c r="F401" s="25">
        <f>_xlfn.MINIFS(Cases!$D$2:$D$499,Cases!$B$2:$B$499,A401)</f>
        <v/>
      </c>
      <c r="G401" s="10">
        <f>COUNTIF(Cases!$B$2:$B$499,A401)</f>
        <v/>
      </c>
    </row>
    <row r="402">
      <c r="A402" s="10" t="inlineStr">
        <is>
          <t>NVMYJNNEE000FE2FE2</t>
        </is>
      </c>
      <c r="B402" s="23" t="n"/>
      <c r="C402" s="23" t="n"/>
      <c r="D402" s="23" t="n"/>
      <c r="E402" s="24" t="n"/>
      <c r="F402" s="25">
        <f>_xlfn.MINIFS(Cases!$D$2:$D$499,Cases!$B$2:$B$499,A402)</f>
        <v/>
      </c>
      <c r="G402" s="10">
        <f>COUNTIF(Cases!$B$2:$B$499,A402)</f>
        <v/>
      </c>
    </row>
    <row r="403">
      <c r="A403" s="10" t="inlineStr">
        <is>
          <t>OASIS1551935707836563456</t>
        </is>
      </c>
      <c r="B403" s="23" t="n"/>
      <c r="C403" s="23" t="n"/>
      <c r="D403" s="23" t="n"/>
      <c r="E403" s="24" t="n"/>
      <c r="F403" s="25">
        <f>_xlfn.MINIFS(Cases!$D$2:$D$499,Cases!$B$2:$B$499,A403)</f>
        <v/>
      </c>
      <c r="G403" s="10">
        <f>COUNTIF(Cases!$B$2:$B$499,A403)</f>
        <v/>
      </c>
    </row>
    <row r="404">
      <c r="A404" s="10" t="inlineStr">
        <is>
          <t>MAILBP63218</t>
        </is>
      </c>
      <c r="B404" s="23" t="n"/>
      <c r="C404" s="23" t="n"/>
      <c r="D404" s="23" t="n"/>
      <c r="E404" s="24" t="n"/>
      <c r="F404" s="25">
        <f>_xlfn.MINIFS(Cases!$D$2:$D$499,Cases!$B$2:$B$499,A404)</f>
        <v/>
      </c>
      <c r="G404" s="10">
        <f>COUNTIF(Cases!$B$2:$B$499,A404)</f>
        <v/>
      </c>
    </row>
    <row r="405">
      <c r="A405" s="10" t="inlineStr">
        <is>
          <t>MYNJV70088895918</t>
        </is>
      </c>
      <c r="B405" s="23" t="n"/>
      <c r="C405" s="23" t="n"/>
      <c r="D405" s="23" t="n"/>
      <c r="E405" s="24" t="n"/>
      <c r="F405" s="25">
        <f>_xlfn.MINIFS(Cases!$D$2:$D$499,Cases!$B$2:$B$499,A405)</f>
        <v/>
      </c>
      <c r="G405" s="10">
        <f>COUNTIF(Cases!$B$2:$B$499,A405)</f>
        <v/>
      </c>
    </row>
    <row r="406">
      <c r="A406" s="10" t="inlineStr">
        <is>
          <t>NVMYGRITM000000975</t>
        </is>
      </c>
      <c r="B406" s="23" t="n"/>
      <c r="C406" s="23" t="n"/>
      <c r="D406" s="23" t="n"/>
      <c r="E406" s="24" t="n"/>
      <c r="F406" s="25">
        <f>_xlfn.MINIFS(Cases!$D$2:$D$499,Cases!$B$2:$B$499,A406)</f>
        <v/>
      </c>
      <c r="G406" s="10">
        <f>COUNTIF(Cases!$B$2:$B$499,A406)</f>
        <v/>
      </c>
    </row>
    <row r="407">
      <c r="A407" s="10" t="inlineStr">
        <is>
          <t>AMNV005962832</t>
        </is>
      </c>
      <c r="B407" s="23" t="n"/>
      <c r="C407" s="23" t="n"/>
      <c r="D407" s="23" t="n"/>
      <c r="E407" s="24" t="n"/>
      <c r="F407" s="25">
        <f>_xlfn.MINIFS(Cases!$D$2:$D$499,Cases!$B$2:$B$499,A407)</f>
        <v/>
      </c>
      <c r="G407" s="10">
        <f>COUNTIF(Cases!$B$2:$B$499,A407)</f>
        <v/>
      </c>
    </row>
    <row r="408">
      <c r="A408" s="10" t="inlineStr">
        <is>
          <t>STLMY1550748596491894784</t>
        </is>
      </c>
      <c r="B408" s="23" t="n"/>
      <c r="C408" s="23" t="n"/>
      <c r="D408" s="23" t="n"/>
      <c r="E408" s="24" t="n"/>
      <c r="F408" s="25">
        <f>_xlfn.MINIFS(Cases!$D$2:$D$499,Cases!$B$2:$B$499,A408)</f>
        <v/>
      </c>
      <c r="G408" s="10">
        <f>COUNTIF(Cases!$B$2:$B$499,A408)</f>
        <v/>
      </c>
    </row>
    <row r="409">
      <c r="A409" s="10" t="inlineStr">
        <is>
          <t>MYNJV70061605738</t>
        </is>
      </c>
      <c r="B409" s="23" t="n"/>
      <c r="C409" s="23" t="n"/>
      <c r="D409" s="23" t="n"/>
      <c r="E409" s="24" t="n"/>
      <c r="F409" s="25">
        <f>_xlfn.MINIFS(Cases!$D$2:$D$499,Cases!$B$2:$B$499,A409)</f>
        <v/>
      </c>
      <c r="G409" s="10">
        <f>COUNTIF(Cases!$B$2:$B$499,A409)</f>
        <v/>
      </c>
    </row>
    <row r="410">
      <c r="A410" s="10" t="inlineStr">
        <is>
          <t>NVMYYIJIA000002856</t>
        </is>
      </c>
      <c r="B410" s="23" t="n"/>
      <c r="C410" s="23" t="n"/>
      <c r="D410" s="23" t="n"/>
      <c r="E410" s="24" t="n"/>
      <c r="F410" s="25">
        <f>_xlfn.MINIFS(Cases!$D$2:$D$499,Cases!$B$2:$B$499,A410)</f>
        <v/>
      </c>
      <c r="G410" s="10">
        <f>COUNTIF(Cases!$B$2:$B$499,A410)</f>
        <v/>
      </c>
    </row>
    <row r="411">
      <c r="A411" s="10" t="inlineStr">
        <is>
          <t>TNGDV2609176979102830</t>
        </is>
      </c>
      <c r="B411" s="23" t="n"/>
      <c r="C411" s="23" t="n"/>
      <c r="D411" s="23" t="n"/>
      <c r="E411" s="24" t="n"/>
      <c r="F411" s="25">
        <f>_xlfn.MINIFS(Cases!$D$2:$D$499,Cases!$B$2:$B$499,A411)</f>
        <v/>
      </c>
      <c r="G411" s="10">
        <f>COUNTIF(Cases!$B$2:$B$499,A411)</f>
        <v/>
      </c>
    </row>
    <row r="412">
      <c r="A412" s="10" t="inlineStr">
        <is>
          <t>NVMYNINJA002525573</t>
        </is>
      </c>
      <c r="B412" s="23" t="n"/>
      <c r="C412" s="23" t="n"/>
      <c r="D412" s="23" t="n"/>
      <c r="E412" s="24" t="n"/>
      <c r="F412" s="25">
        <f>_xlfn.MINIFS(Cases!$D$2:$D$499,Cases!$B$2:$B$499,A412)</f>
        <v/>
      </c>
      <c r="G412" s="10">
        <f>COUNTIF(Cases!$B$2:$B$499,A412)</f>
        <v/>
      </c>
    </row>
    <row r="413">
      <c r="A413" s="10" t="inlineStr">
        <is>
          <t>NVMYNINJA002524588</t>
        </is>
      </c>
      <c r="B413" s="23" t="n"/>
      <c r="C413" s="23" t="n"/>
      <c r="D413" s="23" t="n"/>
      <c r="E413" s="24" t="n"/>
      <c r="F413" s="25">
        <f>_xlfn.MINIFS(Cases!$D$2:$D$499,Cases!$B$2:$B$499,A413)</f>
        <v/>
      </c>
      <c r="G413" s="10">
        <f>COUNTIF(Cases!$B$2:$B$499,A413)</f>
        <v/>
      </c>
    </row>
    <row r="414">
      <c r="A414" s="10" t="inlineStr">
        <is>
          <t>TNGDV2609136921142710</t>
        </is>
      </c>
      <c r="B414" s="23" t="n"/>
      <c r="C414" s="23" t="n"/>
      <c r="D414" s="23" t="n"/>
      <c r="E414" s="24" t="n"/>
      <c r="F414" s="25">
        <f>_xlfn.MINIFS(Cases!$D$2:$D$499,Cases!$B$2:$B$499,A414)</f>
        <v/>
      </c>
      <c r="G414" s="10">
        <f>COUNTIF(Cases!$B$2:$B$499,A414)</f>
        <v/>
      </c>
    </row>
    <row r="415">
      <c r="A415" s="10" t="inlineStr">
        <is>
          <t>AJDHU1551787456464850944</t>
        </is>
      </c>
      <c r="B415" s="23" t="n"/>
      <c r="C415" s="23" t="n"/>
      <c r="D415" s="23" t="n"/>
      <c r="E415" s="24" t="n"/>
      <c r="F415" s="25">
        <f>_xlfn.MINIFS(Cases!$D$2:$D$499,Cases!$B$2:$B$499,A415)</f>
        <v/>
      </c>
      <c r="G415" s="10">
        <f>COUNTIF(Cases!$B$2:$B$499,A415)</f>
        <v/>
      </c>
    </row>
    <row r="416">
      <c r="A416" s="10" t="inlineStr">
        <is>
          <t>NVMYBNBMS000019184</t>
        </is>
      </c>
      <c r="B416" s="23" t="n"/>
      <c r="C416" s="23" t="n"/>
      <c r="D416" s="23" t="n"/>
      <c r="E416" s="24" t="n"/>
      <c r="F416" s="25">
        <f>_xlfn.MINIFS(Cases!$D$2:$D$499,Cases!$B$2:$B$499,A416)</f>
        <v/>
      </c>
      <c r="G416" s="10">
        <f>COUNTIF(Cases!$B$2:$B$499,A416)</f>
        <v/>
      </c>
    </row>
    <row r="417">
      <c r="A417" s="10" t="inlineStr">
        <is>
          <t>NVMYHETUP000007729</t>
        </is>
      </c>
      <c r="B417" s="23" t="n"/>
      <c r="C417" s="23" t="n"/>
      <c r="D417" s="23" t="n"/>
      <c r="E417" s="24" t="n"/>
      <c r="F417" s="25">
        <f>_xlfn.MINIFS(Cases!$D$2:$D$499,Cases!$B$2:$B$499,A417)</f>
        <v/>
      </c>
      <c r="G417" s="10">
        <f>COUNTIF(Cases!$B$2:$B$499,A417)</f>
        <v/>
      </c>
    </row>
    <row r="418">
      <c r="A418" s="10" t="inlineStr">
        <is>
          <t>NVMYMYAZL000000045</t>
        </is>
      </c>
      <c r="B418" s="23" t="n"/>
      <c r="C418" s="23" t="n"/>
      <c r="D418" s="23" t="n"/>
      <c r="E418" s="24" t="n"/>
      <c r="F418" s="25">
        <f>_xlfn.MINIFS(Cases!$D$2:$D$499,Cases!$B$2:$B$499,A418)</f>
        <v/>
      </c>
      <c r="G418" s="10">
        <f>COUNTIF(Cases!$B$2:$B$499,A418)</f>
        <v/>
      </c>
    </row>
    <row r="419">
      <c r="A419" s="10" t="inlineStr">
        <is>
          <t>PYHCS1551483367557894144</t>
        </is>
      </c>
      <c r="B419" s="23" t="n"/>
      <c r="C419" s="23" t="n"/>
      <c r="D419" s="23" t="n"/>
      <c r="E419" s="24" t="n"/>
      <c r="F419" s="25">
        <f>_xlfn.MINIFS(Cases!$D$2:$D$499,Cases!$B$2:$B$499,A419)</f>
        <v/>
      </c>
      <c r="G419" s="10">
        <f>COUNTIF(Cases!$B$2:$B$499,A419)</f>
        <v/>
      </c>
    </row>
    <row r="420">
      <c r="A420" s="10" t="inlineStr">
        <is>
          <t>NVMYADI00000422193</t>
        </is>
      </c>
      <c r="B420" s="23" t="n"/>
      <c r="C420" s="23" t="n"/>
      <c r="D420" s="23" t="n"/>
      <c r="E420" s="24" t="n"/>
      <c r="F420" s="25">
        <f>_xlfn.MINIFS(Cases!$D$2:$D$499,Cases!$B$2:$B$499,A420)</f>
        <v/>
      </c>
      <c r="G420" s="10">
        <f>COUNTIF(Cases!$B$2:$B$499,A420)</f>
        <v/>
      </c>
    </row>
    <row r="421">
      <c r="A421" s="10" t="inlineStr">
        <is>
          <t>TNGSB126107603036673000</t>
        </is>
      </c>
      <c r="B421" s="23" t="n"/>
      <c r="C421" s="23" t="n"/>
      <c r="D421" s="23" t="n"/>
      <c r="E421" s="24" t="n"/>
      <c r="F421" s="25">
        <f>_xlfn.MINIFS(Cases!$D$2:$D$499,Cases!$B$2:$B$499,A421)</f>
        <v/>
      </c>
      <c r="G421" s="10">
        <f>COUNTIF(Cases!$B$2:$B$499,A421)</f>
        <v/>
      </c>
    </row>
    <row r="422">
      <c r="A422" s="10" t="inlineStr">
        <is>
          <t>ZNV218133945-9245</t>
        </is>
      </c>
      <c r="B422" s="23" t="n"/>
      <c r="C422" s="23" t="n"/>
      <c r="D422" s="23" t="n"/>
      <c r="E422" s="24" t="n"/>
      <c r="F422" s="25">
        <f>_xlfn.MINIFS(Cases!$D$2:$D$499,Cases!$B$2:$B$499,A422)</f>
        <v/>
      </c>
      <c r="G422" s="10">
        <f>COUNTIF(Cases!$B$2:$B$499,A422)</f>
        <v/>
      </c>
    </row>
    <row r="423">
      <c r="A423" s="10" t="inlineStr">
        <is>
          <t>NVMYNRWAE000000555</t>
        </is>
      </c>
      <c r="B423" s="23" t="n"/>
      <c r="C423" s="23" t="n"/>
      <c r="D423" s="23" t="n"/>
      <c r="E423" s="24" t="n"/>
      <c r="F423" s="25">
        <f>_xlfn.MINIFS(Cases!$D$2:$D$499,Cases!$B$2:$B$499,A423)</f>
        <v/>
      </c>
      <c r="G423" s="10">
        <f>COUNTIF(Cases!$B$2:$B$499,A423)</f>
        <v/>
      </c>
    </row>
    <row r="424">
      <c r="A424" s="10" t="inlineStr">
        <is>
          <t>NVMYPCTDA000003033</t>
        </is>
      </c>
      <c r="B424" s="23" t="n"/>
      <c r="C424" s="23" t="n"/>
      <c r="D424" s="23" t="n"/>
      <c r="E424" s="24" t="n"/>
      <c r="F424" s="25">
        <f>_xlfn.MINIFS(Cases!$D$2:$D$499,Cases!$B$2:$B$499,A424)</f>
        <v/>
      </c>
      <c r="G424" s="10">
        <f>COUNTIF(Cases!$B$2:$B$499,A424)</f>
        <v/>
      </c>
    </row>
    <row r="425">
      <c r="A425" s="10" t="inlineStr">
        <is>
          <t>DEONL1552139449979105280</t>
        </is>
      </c>
      <c r="B425" s="23" t="n"/>
      <c r="C425" s="23" t="n"/>
      <c r="D425" s="23" t="n"/>
      <c r="E425" s="24" t="n"/>
      <c r="F425" s="25">
        <f>_xlfn.MINIFS(Cases!$D$2:$D$499,Cases!$B$2:$B$499,A425)</f>
        <v/>
      </c>
      <c r="G425" s="10">
        <f>COUNTIF(Cases!$B$2:$B$499,A425)</f>
        <v/>
      </c>
    </row>
    <row r="426">
      <c r="A426" s="10" t="inlineStr">
        <is>
          <t>MYNJV70011815668</t>
        </is>
      </c>
      <c r="B426" s="23" t="n"/>
      <c r="C426" s="23" t="n"/>
      <c r="D426" s="23" t="n"/>
      <c r="E426" s="24" t="n"/>
      <c r="F426" s="25">
        <f>_xlfn.MINIFS(Cases!$D$2:$D$499,Cases!$B$2:$B$499,A426)</f>
        <v/>
      </c>
      <c r="G426" s="10">
        <f>COUNTIF(Cases!$B$2:$B$499,A426)</f>
        <v/>
      </c>
    </row>
    <row r="427">
      <c r="A427" s="10" t="inlineStr">
        <is>
          <t>MYNJV70024105848</t>
        </is>
      </c>
      <c r="B427" s="23" t="n"/>
      <c r="C427" s="23" t="n"/>
      <c r="D427" s="23" t="n"/>
      <c r="E427" s="24" t="n"/>
      <c r="F427" s="25">
        <f>_xlfn.MINIFS(Cases!$D$2:$D$499,Cases!$B$2:$B$499,A427)</f>
        <v/>
      </c>
      <c r="G427" s="10">
        <f>COUNTIF(Cases!$B$2:$B$499,A427)</f>
        <v/>
      </c>
    </row>
    <row r="428">
      <c r="A428" s="10" t="inlineStr">
        <is>
          <t>NVMYAFAAG093340266</t>
        </is>
      </c>
      <c r="B428" s="23" t="n"/>
      <c r="C428" s="23" t="n"/>
      <c r="D428" s="23" t="n"/>
      <c r="E428" s="24" t="n"/>
      <c r="F428" s="25">
        <f>_xlfn.MINIFS(Cases!$D$2:$D$499,Cases!$B$2:$B$499,A428)</f>
        <v/>
      </c>
      <c r="G428" s="10">
        <f>COUNTIF(Cases!$B$2:$B$499,A428)</f>
        <v/>
      </c>
    </row>
    <row r="429">
      <c r="A429" s="10" t="inlineStr">
        <is>
          <t>NVMYVTERA0FB714726</t>
        </is>
      </c>
      <c r="B429" s="23" t="n"/>
      <c r="C429" s="23" t="n"/>
      <c r="D429" s="23" t="n"/>
      <c r="E429" s="24" t="n"/>
      <c r="F429" s="25">
        <f>_xlfn.MINIFS(Cases!$D$2:$D$499,Cases!$B$2:$B$499,A429)</f>
        <v/>
      </c>
      <c r="G429" s="10">
        <f>COUNTIF(Cases!$B$2:$B$499,A429)</f>
        <v/>
      </c>
    </row>
    <row r="430">
      <c r="A430" s="10" t="inlineStr">
        <is>
          <t>MUJIM0000092080419</t>
        </is>
      </c>
      <c r="B430" s="23" t="n"/>
      <c r="C430" s="23" t="n"/>
      <c r="D430" s="23" t="n"/>
      <c r="E430" s="24" t="n"/>
      <c r="F430" s="25">
        <f>_xlfn.MINIFS(Cases!$D$2:$D$499,Cases!$B$2:$B$499,A430)</f>
        <v/>
      </c>
      <c r="G430" s="10">
        <f>COUNTIF(Cases!$B$2:$B$499,A430)</f>
        <v/>
      </c>
    </row>
    <row r="431">
      <c r="A431" s="10" t="inlineStr">
        <is>
          <t>AMNV005968012</t>
        </is>
      </c>
      <c r="B431" s="23" t="n"/>
      <c r="C431" s="23" t="n"/>
      <c r="D431" s="23" t="n"/>
      <c r="E431" s="24" t="n"/>
      <c r="F431" s="25">
        <f>_xlfn.MINIFS(Cases!$D$2:$D$499,Cases!$B$2:$B$499,A431)</f>
        <v/>
      </c>
      <c r="G431" s="10">
        <f>COUNTIF(Cases!$B$2:$B$499,A431)</f>
        <v/>
      </c>
    </row>
    <row r="432">
      <c r="A432" s="10" t="inlineStr">
        <is>
          <t>KPSLT1552534938003660800</t>
        </is>
      </c>
      <c r="B432" s="23" t="n"/>
      <c r="C432" s="23" t="n"/>
      <c r="D432" s="23" t="n"/>
      <c r="E432" s="24" t="n"/>
      <c r="F432" s="25">
        <f>_xlfn.MINIFS(Cases!$D$2:$D$499,Cases!$B$2:$B$499,A432)</f>
        <v/>
      </c>
      <c r="G432" s="10">
        <f>COUNTIF(Cases!$B$2:$B$499,A432)</f>
        <v/>
      </c>
    </row>
    <row r="433">
      <c r="A433" s="10" t="inlineStr">
        <is>
          <t>NVMYINISF03196313A</t>
        </is>
      </c>
      <c r="B433" s="23" t="n"/>
      <c r="C433" s="23" t="n"/>
      <c r="D433" s="23" t="n"/>
      <c r="E433" s="24" t="n"/>
      <c r="F433" s="25">
        <f>_xlfn.MINIFS(Cases!$D$2:$D$499,Cases!$B$2:$B$499,A433)</f>
        <v/>
      </c>
      <c r="G433" s="10">
        <f>COUNTIF(Cases!$B$2:$B$499,A433)</f>
        <v/>
      </c>
    </row>
    <row r="434">
      <c r="A434" s="10" t="inlineStr">
        <is>
          <t>NVMYDA1LY000003664</t>
        </is>
      </c>
      <c r="B434" s="23" t="n"/>
      <c r="C434" s="23" t="n"/>
      <c r="D434" s="23" t="n"/>
      <c r="E434" s="24" t="n"/>
      <c r="F434" s="25">
        <f>_xlfn.MINIFS(Cases!$D$2:$D$499,Cases!$B$2:$B$499,A434)</f>
        <v/>
      </c>
      <c r="G434" s="10">
        <f>COUNTIF(Cases!$B$2:$B$499,A434)</f>
        <v/>
      </c>
    </row>
    <row r="435">
      <c r="A435" s="10" t="inlineStr">
        <is>
          <t>NVMYADI00000420606</t>
        </is>
      </c>
      <c r="B435" s="23" t="n"/>
      <c r="C435" s="23" t="n"/>
      <c r="D435" s="23" t="n"/>
      <c r="E435" s="24" t="n"/>
      <c r="F435" s="25">
        <f>_xlfn.MINIFS(Cases!$D$2:$D$499,Cases!$B$2:$B$499,A435)</f>
        <v/>
      </c>
      <c r="G435" s="10">
        <f>COUNTIF(Cases!$B$2:$B$499,A435)</f>
        <v/>
      </c>
    </row>
    <row r="436">
      <c r="A436" s="10" t="inlineStr">
        <is>
          <t>NVMYPKGRO000003887</t>
        </is>
      </c>
      <c r="B436" s="23" t="n"/>
      <c r="C436" s="23" t="n"/>
      <c r="D436" s="23" t="n"/>
      <c r="E436" s="24" t="n"/>
      <c r="F436" s="25">
        <f>_xlfn.MINIFS(Cases!$D$2:$D$499,Cases!$B$2:$B$499,A436)</f>
        <v/>
      </c>
      <c r="G436" s="10">
        <f>COUNTIF(Cases!$B$2:$B$499,A436)</f>
        <v/>
      </c>
    </row>
    <row r="437">
      <c r="A437" s="10" t="inlineStr">
        <is>
          <t>ANTEX1551895848224653312</t>
        </is>
      </c>
      <c r="B437" s="23" t="n"/>
      <c r="C437" s="23" t="n"/>
      <c r="D437" s="23" t="n"/>
      <c r="E437" s="24" t="n"/>
      <c r="F437" s="25">
        <f>_xlfn.MINIFS(Cases!$D$2:$D$499,Cases!$B$2:$B$499,A437)</f>
        <v/>
      </c>
      <c r="G437" s="10">
        <f>COUNTIF(Cases!$B$2:$B$499,A437)</f>
        <v/>
      </c>
    </row>
    <row r="438">
      <c r="A438" s="10" t="inlineStr">
        <is>
          <t>NVMYNCREA000000612</t>
        </is>
      </c>
      <c r="B438" s="23" t="n"/>
      <c r="C438" s="23" t="n"/>
      <c r="D438" s="23" t="n"/>
      <c r="E438" s="24" t="n"/>
      <c r="F438" s="25">
        <f>_xlfn.MINIFS(Cases!$D$2:$D$499,Cases!$B$2:$B$499,A438)</f>
        <v/>
      </c>
      <c r="G438" s="10">
        <f>COUNTIF(Cases!$B$2:$B$499,A438)</f>
        <v/>
      </c>
    </row>
    <row r="439">
      <c r="A439" s="10" t="inlineStr">
        <is>
          <t>TNGDV2609206888477350</t>
        </is>
      </c>
      <c r="B439" s="23" t="n"/>
      <c r="C439" s="23" t="n"/>
      <c r="D439" s="23" t="n"/>
      <c r="E439" s="24" t="n"/>
      <c r="F439" s="25">
        <f>_xlfn.MINIFS(Cases!$D$2:$D$499,Cases!$B$2:$B$499,A439)</f>
        <v/>
      </c>
      <c r="G439" s="10">
        <f>COUNTIF(Cases!$B$2:$B$499,A439)</f>
        <v/>
      </c>
    </row>
    <row r="440">
      <c r="A440" s="10" t="inlineStr">
        <is>
          <t>NLMYA72425530</t>
        </is>
      </c>
      <c r="B440" s="23" t="n"/>
      <c r="C440" s="23" t="n"/>
      <c r="D440" s="23" t="n"/>
      <c r="E440" s="24" t="n"/>
      <c r="F440" s="25">
        <f>_xlfn.MINIFS(Cases!$D$2:$D$499,Cases!$B$2:$B$499,A440)</f>
        <v/>
      </c>
      <c r="G440" s="10">
        <f>COUNTIF(Cases!$B$2:$B$499,A440)</f>
        <v/>
      </c>
    </row>
    <row r="441">
      <c r="A441" s="10" t="inlineStr">
        <is>
          <t>JY200159772</t>
        </is>
      </c>
      <c r="B441" s="23" t="n"/>
      <c r="C441" s="23" t="n"/>
      <c r="D441" s="23" t="n"/>
      <c r="E441" s="24" t="n"/>
      <c r="F441" s="25">
        <f>_xlfn.MINIFS(Cases!$D$2:$D$499,Cases!$B$2:$B$499,A441)</f>
        <v/>
      </c>
      <c r="G441" s="10">
        <f>COUNTIF(Cases!$B$2:$B$499,A441)</f>
        <v/>
      </c>
    </row>
    <row r="442">
      <c r="A442" s="10" t="inlineStr">
        <is>
          <t>AEMYA000634058</t>
        </is>
      </c>
      <c r="B442" s="23" t="n"/>
      <c r="C442" s="23" t="n"/>
      <c r="D442" s="23" t="n"/>
      <c r="E442" s="24" t="n"/>
      <c r="F442" s="25">
        <f>_xlfn.MINIFS(Cases!$D$2:$D$499,Cases!$B$2:$B$499,A442)</f>
        <v/>
      </c>
      <c r="G442" s="10">
        <f>COUNTIF(Cases!$B$2:$B$499,A442)</f>
        <v/>
      </c>
    </row>
    <row r="443">
      <c r="A443" s="10" t="inlineStr">
        <is>
          <t>NVMYRDSPP000000053</t>
        </is>
      </c>
      <c r="B443" s="23" t="n"/>
      <c r="C443" s="23" t="n"/>
      <c r="D443" s="23" t="n"/>
      <c r="E443" s="24" t="n"/>
      <c r="F443" s="25">
        <f>_xlfn.MINIFS(Cases!$D$2:$D$499,Cases!$B$2:$B$499,A443)</f>
        <v/>
      </c>
      <c r="G443" s="10">
        <f>COUNTIF(Cases!$B$2:$B$499,A443)</f>
        <v/>
      </c>
    </row>
    <row r="444">
      <c r="A444" s="10" t="inlineStr">
        <is>
          <t>DDLMM1550802115664117760</t>
        </is>
      </c>
      <c r="B444" s="23" t="n"/>
      <c r="C444" s="23" t="n"/>
      <c r="D444" s="23" t="n"/>
      <c r="E444" s="24" t="n"/>
      <c r="F444" s="25">
        <f>_xlfn.MINIFS(Cases!$D$2:$D$499,Cases!$B$2:$B$499,A444)</f>
        <v/>
      </c>
      <c r="G444" s="10">
        <f>COUNTIF(Cases!$B$2:$B$499,A444)</f>
        <v/>
      </c>
    </row>
    <row r="445">
      <c r="A445" s="10" t="inlineStr">
        <is>
          <t>TNGE326080018402666750</t>
        </is>
      </c>
      <c r="B445" s="23" t="n"/>
      <c r="C445" s="23" t="n"/>
      <c r="D445" s="23" t="n"/>
      <c r="E445" s="24" t="n"/>
      <c r="F445" s="25">
        <f>_xlfn.MINIFS(Cases!$D$2:$D$499,Cases!$B$2:$B$499,A445)</f>
        <v/>
      </c>
      <c r="G445" s="10">
        <f>COUNTIF(Cases!$B$2:$B$499,A445)</f>
        <v/>
      </c>
    </row>
    <row r="446">
      <c r="A446" s="10" t="inlineStr">
        <is>
          <t>STDMYLJJ7468743512</t>
        </is>
      </c>
      <c r="B446" s="23" t="n"/>
      <c r="C446" s="23" t="n"/>
      <c r="D446" s="23" t="n"/>
      <c r="E446" s="24" t="n"/>
      <c r="F446" s="25">
        <f>_xlfn.MINIFS(Cases!$D$2:$D$499,Cases!$B$2:$B$499,A446)</f>
        <v/>
      </c>
      <c r="G446" s="10">
        <f>COUNTIF(Cases!$B$2:$B$499,A446)</f>
        <v/>
      </c>
    </row>
    <row r="447">
      <c r="A447" s="10" t="inlineStr">
        <is>
          <t>MATAC1551813969266601984</t>
        </is>
      </c>
      <c r="B447" s="23" t="n"/>
      <c r="C447" s="23" t="n"/>
      <c r="D447" s="23" t="n"/>
      <c r="E447" s="24" t="n"/>
      <c r="F447" s="25">
        <f>_xlfn.MINIFS(Cases!$D$2:$D$499,Cases!$B$2:$B$499,A447)</f>
        <v/>
      </c>
      <c r="G447" s="10">
        <f>COUNTIF(Cases!$B$2:$B$499,A447)</f>
        <v/>
      </c>
    </row>
    <row r="448">
      <c r="A448" s="10" t="inlineStr">
        <is>
          <t>AEMYA000632007</t>
        </is>
      </c>
      <c r="B448" s="23" t="n"/>
      <c r="C448" s="23" t="n"/>
      <c r="D448" s="23" t="n"/>
      <c r="E448" s="24" t="n"/>
      <c r="F448" s="25">
        <f>_xlfn.MINIFS(Cases!$D$2:$D$499,Cases!$B$2:$B$499,A448)</f>
        <v/>
      </c>
      <c r="G448" s="10">
        <f>COUNTIF(Cases!$B$2:$B$499,A448)</f>
        <v/>
      </c>
    </row>
    <row r="449">
      <c r="A449" s="10" t="inlineStr">
        <is>
          <t>TNGDV2609126845835910</t>
        </is>
      </c>
      <c r="B449" s="23" t="n"/>
      <c r="C449" s="23" t="n"/>
      <c r="D449" s="23" t="n"/>
      <c r="E449" s="24" t="n"/>
      <c r="F449" s="25">
        <f>_xlfn.MINIFS(Cases!$D$2:$D$499,Cases!$B$2:$B$499,A449)</f>
        <v/>
      </c>
      <c r="G449" s="10">
        <f>COUNTIF(Cases!$B$2:$B$499,A449)</f>
        <v/>
      </c>
    </row>
    <row r="450">
      <c r="A450" s="10" t="inlineStr">
        <is>
          <t>NVMYMYRAM000074165</t>
        </is>
      </c>
      <c r="B450" s="23" t="n"/>
      <c r="C450" s="23" t="n"/>
      <c r="D450" s="23" t="n"/>
      <c r="E450" s="24" t="n"/>
      <c r="F450" s="25">
        <f>_xlfn.MINIFS(Cases!$D$2:$D$499,Cases!$B$2:$B$499,A450)</f>
        <v/>
      </c>
      <c r="G450" s="10">
        <f>COUNTIF(Cases!$B$2:$B$499,A450)</f>
        <v/>
      </c>
    </row>
    <row r="451">
      <c r="A451" s="10" t="inlineStr">
        <is>
          <t>TNGDV2609186908204390</t>
        </is>
      </c>
      <c r="B451" s="23" t="n"/>
      <c r="C451" s="23" t="n"/>
      <c r="D451" s="23" t="n"/>
      <c r="E451" s="24" t="n"/>
      <c r="F451" s="25">
        <f>_xlfn.MINIFS(Cases!$D$2:$D$499,Cases!$B$2:$B$499,A451)</f>
        <v/>
      </c>
      <c r="G451" s="10">
        <f>COUNTIF(Cases!$B$2:$B$499,A451)</f>
        <v/>
      </c>
    </row>
    <row r="452">
      <c r="A452" s="10" t="inlineStr">
        <is>
          <t>AEMYA000632784</t>
        </is>
      </c>
      <c r="B452" s="23" t="n"/>
      <c r="C452" s="23" t="n"/>
      <c r="D452" s="23" t="n"/>
      <c r="E452" s="24" t="n"/>
      <c r="F452" s="25">
        <f>_xlfn.MINIFS(Cases!$D$2:$D$499,Cases!$B$2:$B$499,A452)</f>
        <v/>
      </c>
      <c r="G452" s="10">
        <f>COUNTIF(Cases!$B$2:$B$499,A452)</f>
        <v/>
      </c>
    </row>
    <row r="453">
      <c r="A453" s="10" t="inlineStr">
        <is>
          <t>MAILB1552598312402010112</t>
        </is>
      </c>
      <c r="B453" s="23" t="n"/>
      <c r="C453" s="23" t="n"/>
      <c r="D453" s="23" t="n"/>
      <c r="E453" s="24" t="n"/>
      <c r="F453" s="25">
        <f>_xlfn.MINIFS(Cases!$D$2:$D$499,Cases!$B$2:$B$499,A453)</f>
        <v/>
      </c>
      <c r="G453" s="10">
        <f>COUNTIF(Cases!$B$2:$B$499,A453)</f>
        <v/>
      </c>
    </row>
    <row r="454">
      <c r="A454" s="10" t="inlineStr">
        <is>
          <t>AEMYA000639251</t>
        </is>
      </c>
      <c r="B454" s="23" t="n"/>
      <c r="C454" s="23" t="n"/>
      <c r="D454" s="23" t="n"/>
      <c r="E454" s="24" t="n"/>
      <c r="F454" s="25">
        <f>_xlfn.MINIFS(Cases!$D$2:$D$499,Cases!$B$2:$B$499,A454)</f>
        <v/>
      </c>
      <c r="G454" s="10">
        <f>COUNTIF(Cases!$B$2:$B$499,A454)</f>
        <v/>
      </c>
    </row>
    <row r="455">
      <c r="A455" s="10" t="inlineStr">
        <is>
          <t>NVMYREMDR000001209</t>
        </is>
      </c>
      <c r="B455" s="23" t="n"/>
      <c r="C455" s="23" t="n"/>
      <c r="D455" s="23" t="n"/>
      <c r="E455" s="24" t="n"/>
      <c r="F455" s="25">
        <f>_xlfn.MINIFS(Cases!$D$2:$D$499,Cases!$B$2:$B$499,A455)</f>
        <v/>
      </c>
      <c r="G455" s="10">
        <f>COUNTIF(Cases!$B$2:$B$499,A455)</f>
        <v/>
      </c>
    </row>
    <row r="456">
      <c r="A456" s="10" t="inlineStr">
        <is>
          <t>NVMYPZXMS000048335</t>
        </is>
      </c>
      <c r="B456" s="23" t="n"/>
      <c r="C456" s="23" t="n"/>
      <c r="D456" s="23" t="n"/>
      <c r="E456" s="24" t="n"/>
      <c r="F456" s="25">
        <f>_xlfn.MINIFS(Cases!$D$2:$D$499,Cases!$B$2:$B$499,A456)</f>
        <v/>
      </c>
      <c r="G456" s="10">
        <f>COUNTIF(Cases!$B$2:$B$499,A456)</f>
        <v/>
      </c>
    </row>
    <row r="457">
      <c r="A457" s="10" t="inlineStr">
        <is>
          <t>MYNJV70098335768</t>
        </is>
      </c>
      <c r="B457" s="23" t="n"/>
      <c r="C457" s="23" t="n"/>
      <c r="D457" s="23" t="n"/>
      <c r="E457" s="24" t="n"/>
      <c r="F457" s="25">
        <f>_xlfn.MINIFS(Cases!$D$2:$D$499,Cases!$B$2:$B$499,A457)</f>
        <v/>
      </c>
      <c r="G457" s="10">
        <f>COUNTIF(Cases!$B$2:$B$499,A457)</f>
        <v/>
      </c>
    </row>
    <row r="458">
      <c r="A458" s="10" t="inlineStr">
        <is>
          <t>TNGDV2609186906917950</t>
        </is>
      </c>
      <c r="B458" s="23" t="n"/>
      <c r="C458" s="23" t="n"/>
      <c r="D458" s="23" t="n"/>
      <c r="E458" s="24" t="n"/>
      <c r="F458" s="25">
        <f>_xlfn.MINIFS(Cases!$D$2:$D$499,Cases!$B$2:$B$499,A458)</f>
        <v/>
      </c>
      <c r="G458" s="10">
        <f>COUNTIF(Cases!$B$2:$B$499,A458)</f>
        <v/>
      </c>
    </row>
    <row r="459">
      <c r="A459" s="10" t="inlineStr">
        <is>
          <t>EMY260282044KREMY260282024KREMY260282043KR</t>
        </is>
      </c>
      <c r="B459" s="23" t="n"/>
      <c r="C459" s="23" t="n"/>
      <c r="D459" s="23" t="n"/>
      <c r="E459" s="24" t="n"/>
      <c r="F459" s="25">
        <f>_xlfn.MINIFS(Cases!$D$2:$D$499,Cases!$B$2:$B$499,A459)</f>
        <v/>
      </c>
      <c r="G459" s="10">
        <f>COUNTIF(Cases!$B$2:$B$499,A459)</f>
        <v/>
      </c>
    </row>
    <row r="460">
      <c r="A460" s="10" t="inlineStr">
        <is>
          <t>NVMYDOCMY000089670</t>
        </is>
      </c>
      <c r="B460" s="23" t="n"/>
      <c r="C460" s="23" t="n"/>
      <c r="D460" s="23" t="n"/>
      <c r="E460" s="24" t="n"/>
      <c r="F460" s="25">
        <f>_xlfn.MINIFS(Cases!$D$2:$D$499,Cases!$B$2:$B$499,A460)</f>
        <v/>
      </c>
      <c r="G460" s="10">
        <f>COUNTIF(Cases!$B$2:$B$499,A460)</f>
        <v/>
      </c>
    </row>
    <row r="461">
      <c r="A461" s="10" t="inlineStr">
        <is>
          <t>AEMYA000633164</t>
        </is>
      </c>
      <c r="B461" s="23" t="n"/>
      <c r="C461" s="23" t="n"/>
      <c r="D461" s="23" t="n"/>
      <c r="E461" s="24" t="n"/>
      <c r="F461" s="25">
        <f>_xlfn.MINIFS(Cases!$D$2:$D$499,Cases!$B$2:$B$499,A461)</f>
        <v/>
      </c>
      <c r="G461" s="10">
        <f>COUNTIF(Cases!$B$2:$B$499,A461)</f>
        <v/>
      </c>
    </row>
    <row r="462">
      <c r="A462" s="10" t="inlineStr">
        <is>
          <t>TNGE126077410792712000</t>
        </is>
      </c>
      <c r="B462" s="23" t="n"/>
      <c r="C462" s="23" t="n"/>
      <c r="D462" s="23" t="n"/>
      <c r="E462" s="24" t="n"/>
      <c r="F462" s="25">
        <f>_xlfn.MINIFS(Cases!$D$2:$D$499,Cases!$B$2:$B$499,A462)</f>
        <v/>
      </c>
      <c r="G462" s="10">
        <f>COUNTIF(Cases!$B$2:$B$499,A462)</f>
        <v/>
      </c>
    </row>
    <row r="463">
      <c r="A463" s="10" t="inlineStr">
        <is>
          <t>MYNJV70088805988</t>
        </is>
      </c>
      <c r="B463" s="23" t="n"/>
      <c r="C463" s="23" t="n"/>
      <c r="D463" s="23" t="n"/>
      <c r="E463" s="24" t="n"/>
      <c r="F463" s="25">
        <f>_xlfn.MINIFS(Cases!$D$2:$D$499,Cases!$B$2:$B$499,A463)</f>
        <v/>
      </c>
      <c r="G463" s="10">
        <f>COUNTIF(Cases!$B$2:$B$499,A463)</f>
        <v/>
      </c>
    </row>
    <row r="464">
      <c r="A464" s="10" t="inlineStr">
        <is>
          <t>NVMYAIRSP102334442</t>
        </is>
      </c>
      <c r="B464" s="23" t="n"/>
      <c r="C464" s="23" t="n"/>
      <c r="D464" s="23" t="n"/>
      <c r="E464" s="24" t="n"/>
      <c r="F464" s="25">
        <f>_xlfn.MINIFS(Cases!$D$2:$D$499,Cases!$B$2:$B$499,A464)</f>
        <v/>
      </c>
      <c r="G464" s="10">
        <f>COUNTIF(Cases!$B$2:$B$499,A464)</f>
        <v/>
      </c>
    </row>
    <row r="465">
      <c r="A465" s="10" t="inlineStr">
        <is>
          <t>NVMYPKONG000005347</t>
        </is>
      </c>
      <c r="B465" s="23" t="n"/>
      <c r="C465" s="23" t="n"/>
      <c r="D465" s="23" t="n"/>
      <c r="E465" s="24" t="n"/>
      <c r="F465" s="25">
        <f>_xlfn.MINIFS(Cases!$D$2:$D$499,Cases!$B$2:$B$499,A465)</f>
        <v/>
      </c>
      <c r="G465" s="10">
        <f>COUNTIF(Cases!$B$2:$B$499,A465)</f>
        <v/>
      </c>
    </row>
    <row r="466">
      <c r="A466" s="10" t="inlineStr">
        <is>
          <t>TNGDV2609216958934590</t>
        </is>
      </c>
      <c r="B466" s="23" t="n"/>
      <c r="C466" s="23" t="n"/>
      <c r="D466" s="23" t="n"/>
      <c r="E466" s="24" t="n"/>
      <c r="F466" s="25">
        <f>_xlfn.MINIFS(Cases!$D$2:$D$499,Cases!$B$2:$B$499,A466)</f>
        <v/>
      </c>
      <c r="G466" s="10">
        <f>COUNTIF(Cases!$B$2:$B$499,A466)</f>
        <v/>
      </c>
    </row>
    <row r="467">
      <c r="A467" s="10" t="inlineStr">
        <is>
          <t>TNGDV2609186880120580</t>
        </is>
      </c>
      <c r="B467" s="23" t="n"/>
      <c r="C467" s="23" t="n"/>
      <c r="D467" s="23" t="n"/>
      <c r="E467" s="24" t="n"/>
      <c r="F467" s="25">
        <f>_xlfn.MINIFS(Cases!$D$2:$D$499,Cases!$B$2:$B$499,A467)</f>
        <v/>
      </c>
      <c r="G467" s="10">
        <f>COUNTIF(Cases!$B$2:$B$499,A467)</f>
        <v/>
      </c>
    </row>
    <row r="468">
      <c r="A468" s="10" t="inlineStr">
        <is>
          <t>LSGMY5913756</t>
        </is>
      </c>
      <c r="B468" s="23" t="n"/>
      <c r="C468" s="23" t="n"/>
      <c r="D468" s="23" t="n"/>
      <c r="E468" s="24" t="n"/>
      <c r="F468" s="25">
        <f>_xlfn.MINIFS(Cases!$D$2:$D$499,Cases!$B$2:$B$499,A468)</f>
        <v/>
      </c>
      <c r="G468" s="10">
        <f>COUNTIF(Cases!$B$2:$B$499,A468)</f>
        <v/>
      </c>
    </row>
    <row r="469">
      <c r="A469" s="10" t="inlineStr">
        <is>
          <t>NVMYANSRI001028392</t>
        </is>
      </c>
      <c r="B469" s="23" t="n"/>
      <c r="C469" s="23" t="n"/>
      <c r="D469" s="23" t="n"/>
      <c r="E469" s="24" t="n"/>
      <c r="F469" s="25">
        <f>_xlfn.MINIFS(Cases!$D$2:$D$499,Cases!$B$2:$B$499,A469)</f>
        <v/>
      </c>
      <c r="G469" s="10">
        <f>COUNTIF(Cases!$B$2:$B$499,A469)</f>
        <v/>
      </c>
    </row>
    <row r="470">
      <c r="A470" s="10" t="inlineStr">
        <is>
          <t>AEMYA000634721AEMYA000634535</t>
        </is>
      </c>
      <c r="B470" s="23" t="n"/>
      <c r="C470" s="23" t="n"/>
      <c r="D470" s="23" t="n"/>
      <c r="E470" s="24" t="n"/>
      <c r="F470" s="25">
        <f>_xlfn.MINIFS(Cases!$D$2:$D$499,Cases!$B$2:$B$499,A470)</f>
        <v/>
      </c>
      <c r="G470" s="10">
        <f>COUNTIF(Cases!$B$2:$B$499,A470)</f>
        <v/>
      </c>
    </row>
    <row r="471">
      <c r="A471" s="10" t="inlineStr">
        <is>
          <t>AEMYA000638031</t>
        </is>
      </c>
      <c r="B471" s="23" t="n"/>
      <c r="C471" s="23" t="n"/>
      <c r="D471" s="23" t="n"/>
      <c r="E471" s="24" t="n"/>
      <c r="F471" s="25">
        <f>_xlfn.MINIFS(Cases!$D$2:$D$499,Cases!$B$2:$B$499,A471)</f>
        <v/>
      </c>
      <c r="G471" s="10">
        <f>COUNTIF(Cases!$B$2:$B$499,A471)</f>
        <v/>
      </c>
    </row>
    <row r="472">
      <c r="A472" s="10" t="inlineStr">
        <is>
          <t>NVMYNINJA002529523</t>
        </is>
      </c>
      <c r="B472" s="23" t="n"/>
      <c r="C472" s="23" t="n"/>
      <c r="D472" s="23" t="n"/>
      <c r="E472" s="24" t="n"/>
      <c r="F472" s="25">
        <f>_xlfn.MINIFS(Cases!$D$2:$D$499,Cases!$B$2:$B$499,A472)</f>
        <v/>
      </c>
      <c r="G472" s="10">
        <f>COUNTIF(Cases!$B$2:$B$499,A472)</f>
        <v/>
      </c>
    </row>
    <row r="473">
      <c r="A473" s="10" t="inlineStr">
        <is>
          <t>TNGDV2609226930143260</t>
        </is>
      </c>
      <c r="B473" s="23" t="n"/>
      <c r="C473" s="23" t="n"/>
      <c r="D473" s="23" t="n"/>
      <c r="E473" s="24" t="n"/>
      <c r="F473" s="25">
        <f>_xlfn.MINIFS(Cases!$D$2:$D$499,Cases!$B$2:$B$499,A473)</f>
        <v/>
      </c>
      <c r="G473" s="10">
        <f>COUNTIF(Cases!$B$2:$B$499,A473)</f>
        <v/>
      </c>
    </row>
    <row r="474">
      <c r="A474" s="10" t="inlineStr">
        <is>
          <t>TNGDV2609216958016760</t>
        </is>
      </c>
      <c r="B474" s="23" t="n"/>
      <c r="C474" s="23" t="n"/>
      <c r="D474" s="23" t="n"/>
      <c r="E474" s="24" t="n"/>
      <c r="F474" s="25">
        <f>_xlfn.MINIFS(Cases!$D$2:$D$499,Cases!$B$2:$B$499,A474)</f>
        <v/>
      </c>
      <c r="G474" s="10">
        <f>COUNTIF(Cases!$B$2:$B$499,A474)</f>
        <v/>
      </c>
    </row>
    <row r="475">
      <c r="A475" s="10" t="inlineStr">
        <is>
          <t>NVMYMLISS000018021</t>
        </is>
      </c>
      <c r="B475" s="23" t="n"/>
      <c r="C475" s="23" t="n"/>
      <c r="D475" s="23" t="n"/>
      <c r="E475" s="24" t="n"/>
      <c r="F475" s="25">
        <f>_xlfn.MINIFS(Cases!$D$2:$D$499,Cases!$B$2:$B$499,A475)</f>
        <v/>
      </c>
      <c r="G475" s="10">
        <f>COUNTIF(Cases!$B$2:$B$499,A475)</f>
        <v/>
      </c>
    </row>
    <row r="476">
      <c r="A476" s="10" t="inlineStr">
        <is>
          <t>ECMY827980022</t>
        </is>
      </c>
      <c r="B476" s="23" t="n"/>
      <c r="C476" s="23" t="n"/>
      <c r="D476" s="23" t="n"/>
      <c r="E476" s="24" t="n"/>
      <c r="F476" s="25">
        <f>_xlfn.MINIFS(Cases!$D$2:$D$499,Cases!$B$2:$B$499,A476)</f>
        <v/>
      </c>
      <c r="G476" s="10">
        <f>COUNTIF(Cases!$B$2:$B$499,A476)</f>
        <v/>
      </c>
    </row>
    <row r="477">
      <c r="A477" s="10" t="inlineStr">
        <is>
          <t>DOINK24607A</t>
        </is>
      </c>
      <c r="B477" s="23" t="n"/>
      <c r="C477" s="23" t="n"/>
      <c r="D477" s="23" t="n"/>
      <c r="E477" s="24" t="n"/>
      <c r="F477" s="25">
        <f>_xlfn.MINIFS(Cases!$D$2:$D$499,Cases!$B$2:$B$499,A477)</f>
        <v/>
      </c>
      <c r="G477" s="10">
        <f>COUNTIF(Cases!$B$2:$B$499,A477)</f>
        <v/>
      </c>
    </row>
    <row r="478">
      <c r="A478" s="10" t="inlineStr">
        <is>
          <t>NVMYNINJA002495587</t>
        </is>
      </c>
      <c r="B478" s="23" t="n"/>
      <c r="C478" s="23" t="n"/>
      <c r="D478" s="23" t="n"/>
      <c r="E478" s="24" t="n"/>
      <c r="F478" s="25">
        <f>_xlfn.MINIFS(Cases!$D$2:$D$499,Cases!$B$2:$B$499,A478)</f>
        <v/>
      </c>
      <c r="G478" s="10">
        <f>COUNTIF(Cases!$B$2:$B$499,A478)</f>
        <v/>
      </c>
    </row>
    <row r="479">
      <c r="A479" s="10" t="inlineStr">
        <is>
          <t>THLTH1552157980114247680</t>
        </is>
      </c>
      <c r="B479" s="23" t="n"/>
      <c r="C479" s="23" t="n"/>
      <c r="D479" s="23" t="n"/>
      <c r="E479" s="24" t="n"/>
      <c r="F479" s="25">
        <f>_xlfn.MINIFS(Cases!$D$2:$D$499,Cases!$B$2:$B$499,A479)</f>
        <v/>
      </c>
      <c r="G479" s="10">
        <f>COUNTIF(Cases!$B$2:$B$499,A479)</f>
        <v/>
      </c>
    </row>
    <row r="480">
      <c r="A480" s="10" t="inlineStr">
        <is>
          <t>NVMYNINJA002519165</t>
        </is>
      </c>
      <c r="B480" s="23" t="n"/>
      <c r="C480" s="23" t="n"/>
      <c r="D480" s="23" t="n"/>
      <c r="E480" s="24" t="n"/>
      <c r="F480" s="25">
        <f>_xlfn.MINIFS(Cases!$D$2:$D$499,Cases!$B$2:$B$499,A480)</f>
        <v/>
      </c>
      <c r="G480" s="10">
        <f>COUNTIF(Cases!$B$2:$B$499,A480)</f>
        <v/>
      </c>
    </row>
  </sheetData>
  <autoFilter ref="A1:G480"/>
  <pageMargins left="0.75" right="0.75" top="1" bottom="1" header="0.5" footer="0.5"/>
</worksheet>
</file>

<file path=xl/worksheets/sheet7.xml><?xml version="1.0" encoding="utf-8"?>
<worksheet xmlns="http://schemas.openxmlformats.org/spreadsheetml/2006/main">
  <sheetPr>
    <tabColor rgb="0098A2B3"/>
    <outlinePr summaryBelow="1" summaryRight="1"/>
    <pageSetUpPr/>
  </sheetPr>
  <dimension ref="A1:D15"/>
  <sheetViews>
    <sheetView workbookViewId="0">
      <selection activeCell="A1" sqref="A1"/>
    </sheetView>
  </sheetViews>
  <sheetFormatPr baseColWidth="8" defaultRowHeight="15"/>
  <cols>
    <col width="50" customWidth="1" min="1" max="1"/>
    <col width="10" customWidth="1" min="2" max="2"/>
    <col width="46" customWidth="1" min="3" max="3"/>
    <col width="50" customWidth="1" min="4" max="4"/>
  </cols>
  <sheetData>
    <row r="1">
      <c r="A1" s="1" t="inlineStr">
        <is>
          <t>Data Quality Log</t>
        </is>
      </c>
    </row>
    <row r="2">
      <c r="A2" s="18" t="inlineStr">
        <is>
          <t>Issues found in the original W39 sheet and how they were handled in this workbook.</t>
        </is>
      </c>
    </row>
    <row r="4">
      <c r="A4" s="9" t="inlineStr">
        <is>
          <t>Issue</t>
        </is>
      </c>
      <c r="B4" s="9" t="inlineStr">
        <is>
          <t>Rows Affected</t>
        </is>
      </c>
      <c r="C4" s="9" t="inlineStr">
        <is>
          <t>How Handled</t>
        </is>
      </c>
      <c r="D4" s="9" t="inlineStr">
        <is>
          <t>Recommendation for the Google Form / Sheet</t>
        </is>
      </c>
    </row>
    <row r="5">
      <c r="A5" s="20" t="inlineStr">
        <is>
          <t>Driver field is a generic hub OPS account (e.g. "OPS - PJY", "GLG - OPS - ENGKU") — actual driver unknown</t>
        </is>
      </c>
      <c r="B5" s="20">
        <f>COUNTIF(Cases!$J$2:$J$499,"OPS (generic hub account)")</f>
        <v/>
      </c>
      <c r="C5" s="20" t="inlineStr">
        <is>
          <t>Classified as "OPS (generic hub account)"; excluded from Driver Watchlist.</t>
        </is>
      </c>
      <c r="D5" s="20" t="inlineStr">
        <is>
          <t>Make driver name mandatory: look up the driver on the route (Route ID) before submitting. Half of all cases cannot be actioned against a person.</t>
        </is>
      </c>
    </row>
    <row r="6">
      <c r="A6" s="20" t="inlineStr">
        <is>
          <t>More than one driver in a single row (separated by &amp;, / or line breaks)</t>
        </is>
      </c>
      <c r="B6" s="20">
        <f>COUNTIF(Cases!$J$2:$J$499,"Multiple drivers")</f>
        <v/>
      </c>
      <c r="C6" s="20" t="inlineStr">
        <is>
          <t>Split, de-duplicated and joined with " | ".</t>
        </is>
      </c>
      <c r="D6" s="20" t="inlineStr">
        <is>
          <t>One row per driver, or a separate "Secondary driver" field.</t>
        </is>
      </c>
    </row>
    <row r="7">
      <c r="A7" s="20" t="inlineStr">
        <is>
          <t>More than one Route ID in a single row</t>
        </is>
      </c>
      <c r="B7" s="20">
        <f>COUNTIF(Cases!$L$2:$L$499,"&gt;1")</f>
        <v/>
      </c>
      <c r="C7" s="20" t="inlineStr">
        <is>
          <t>Extracted all route numbers, removed duplicates, joined with ", ".</t>
        </is>
      </c>
      <c r="D7" s="20" t="inlineStr">
        <is>
          <t>Separate route field per attempt; numeric validation.</t>
        </is>
      </c>
    </row>
    <row r="8">
      <c r="A8" s="20" t="inlineStr">
        <is>
          <t>Tracking ID had trailing spaces / line breaks</t>
        </is>
      </c>
      <c r="B8" s="20" t="n">
        <v>46</v>
      </c>
      <c r="C8" s="20" t="inlineStr">
        <is>
          <t>Whitespace stripped so TIDs match Metabase exactly.</t>
        </is>
      </c>
      <c r="D8" s="20" t="inlineStr">
        <is>
          <t>Add data validation (no spaces) on the TID field.</t>
        </is>
      </c>
    </row>
    <row r="9">
      <c r="A9" s="20" t="inlineStr">
        <is>
          <t>Same TID logged more than once</t>
        </is>
      </c>
      <c r="B9" s="20">
        <f>COUNTA('Repeat TIDs'!A5:A21)</f>
        <v/>
      </c>
      <c r="C9" s="20" t="inlineStr">
        <is>
          <t>Kept all rows; listed on "Repeat TIDs" with an assessment.</t>
        </is>
      </c>
      <c r="D9" s="20" t="inlineStr">
        <is>
          <t>Check for an existing case before logging; use CRM case ID as the unique key.</t>
        </is>
      </c>
    </row>
    <row r="10">
      <c r="A10" s="20" t="inlineStr">
        <is>
          <t>Keyed-in-By names spelled inconsistently (zati/Zati, AIMENN  AIYAD, izzni, NInja Hadif, Ysna)</t>
        </is>
      </c>
      <c r="B10" s="20" t="n">
        <v>89</v>
      </c>
      <c r="C10" s="20" t="inlineStr">
        <is>
          <t>Normalised to a single spelling. "Ysna" assumed to be "Yana". "Shafiq" kept separate from "Syafiq" (could be a different person — please confirm).</t>
        </is>
      </c>
      <c r="D10" s="20" t="inlineStr">
        <is>
          <t>Replace free text with a dropdown of agent names.</t>
        </is>
      </c>
    </row>
    <row r="11">
      <c r="A11" s="20" t="inlineStr">
        <is>
          <t>Region "Eastern" used once (hub TRI) — not one of the standard regions</t>
        </is>
      </c>
      <c r="B11" s="20">
        <f>COUNTIF(Cases!$G$2:$G$499,"Eastern")</f>
        <v/>
      </c>
      <c r="C11" s="20" t="inlineStr">
        <is>
          <t>Left as-is and flagged.</t>
        </is>
      </c>
      <c r="D11" s="20" t="inlineStr">
        <is>
          <t>Dropdown for Region, or derive it from Hub automatically.</t>
        </is>
      </c>
    </row>
    <row r="12">
      <c r="A12" s="20" t="inlineStr">
        <is>
          <t>Hub codes had leading/trailing spaces (e.g. "BKM ", " LKN")</t>
        </is>
      </c>
      <c r="B12" s="20" t="n">
        <v>172</v>
      </c>
      <c r="C12" s="20" t="inlineStr">
        <is>
          <t>Trimmed and upper-cased.</t>
        </is>
      </c>
      <c r="D12" s="20" t="inlineStr">
        <is>
          <t>Dropdown for Hub.</t>
        </is>
      </c>
    </row>
    <row r="13">
      <c r="A13" s="20" t="inlineStr">
        <is>
          <t>Complaint type does not match the details (a "Fake Fail" describing wrong address; another describing a POR)</t>
        </is>
      </c>
      <c r="B13" s="20">
        <f>COUNTIF(Cases!$O$2:$O$499,"Type mismatch*")</f>
        <v/>
      </c>
      <c r="C13" s="20" t="inlineStr">
        <is>
          <t>Kept original type; flagged in root cause column.</t>
        </is>
      </c>
      <c r="D13" s="20" t="inlineStr">
        <is>
          <t>Reviewer spot-check of type vs details.</t>
        </is>
      </c>
    </row>
    <row r="14">
      <c r="A14" s="20" t="inlineStr">
        <is>
          <t>Timestamp stored as text (dd/mm/yyyy hh:mm:ss) — could not be sorted or grouped by date</t>
        </is>
      </c>
      <c r="B14" s="20" t="n">
        <v>498</v>
      </c>
      <c r="C14" s="20" t="inlineStr">
        <is>
          <t>Converted to real date/time; added Date and Day columns.</t>
        </is>
      </c>
      <c r="D14" s="20" t="inlineStr">
        <is>
          <t>Keep Google Form timestamp format as date.</t>
        </is>
      </c>
    </row>
    <row r="15">
      <c r="A15" s="20" t="inlineStr">
        <is>
          <t>Sheet7 (Fake Fail only) and Sheet6 (pivot) duplicated Sheet5</t>
        </is>
      </c>
      <c r="B15" s="20" t="inlineStr">
        <is>
          <t>—</t>
        </is>
      </c>
      <c r="C15" s="20" t="inlineStr">
        <is>
          <t>Replaced by filters on "Cases" and the live Summary tables. Original Sheet5 kept as "Raw (original)".</t>
        </is>
      </c>
      <c r="D15" s="20" t="inlineStr">
        <is>
          <t>—</t>
        </is>
      </c>
    </row>
  </sheetData>
  <pageMargins left="0.75" right="0.75" top="1" bottom="1" header="0.5" footer="0.5"/>
</worksheet>
</file>

<file path=xl/worksheets/sheet8.xml><?xml version="1.0" encoding="utf-8"?>
<worksheet xmlns="http://schemas.openxmlformats.org/spreadsheetml/2006/main">
  <sheetPr>
    <tabColor rgb="0098A2B3"/>
    <outlinePr summaryBelow="1" summaryRight="1"/>
    <pageSetUpPr/>
  </sheetPr>
  <dimension ref="A1:B14"/>
  <sheetViews>
    <sheetView workbookViewId="0">
      <selection activeCell="A1" sqref="A1"/>
    </sheetView>
  </sheetViews>
  <sheetFormatPr baseColWidth="8" defaultRowHeight="15"/>
  <cols>
    <col width="16" customWidth="1" min="1" max="1"/>
    <col width="110" customWidth="1" min="2" max="2"/>
  </cols>
  <sheetData>
    <row r="1">
      <c r="A1" s="1" t="inlineStr">
        <is>
          <t>How to sync with Metabase (Global ID + prior tagging)</t>
        </is>
      </c>
    </row>
    <row r="2">
      <c r="A2" s="18" t="inlineStr">
        <is>
          <t>The Metabase account used for this analysis had no data access, so these columns are ready to be filled.</t>
        </is>
      </c>
    </row>
    <row r="4">
      <c r="A4" s="27" t="inlineStr">
        <is>
          <t>Step 1</t>
        </is>
      </c>
      <c r="B4" s="6" t="inlineStr">
        <is>
          <t>Open Metabase → New → SQL query, choose the MY core/orders database.</t>
        </is>
      </c>
    </row>
    <row r="5">
      <c r="A5" s="27" t="inlineStr">
        <is>
          <t>Step 2</t>
        </is>
      </c>
      <c r="B5" s="6" t="inlineStr">
        <is>
          <t>Paste the SQL below. The TID list in cell B12 is already quoted and comma-separated — paste it inside IN ( ... ).</t>
        </is>
      </c>
    </row>
    <row r="6">
      <c r="A6" s="27" t="inlineStr">
        <is>
          <t>Step 3</t>
        </is>
      </c>
      <c r="B6" s="6" t="inlineStr">
        <is>
          <t>Adjust table / column names if your schema differs (orders, order_tags, tags are the usual Ninja Van core tables). This SQL is a template and has not been run.</t>
        </is>
      </c>
    </row>
    <row r="7">
      <c r="A7" s="27" t="inlineStr">
        <is>
          <t>Step 4</t>
        </is>
      </c>
      <c r="B7" s="6" t="inlineStr">
        <is>
          <t>Download the result and paste columns into "Metabase Lookup" B:E (match on Tracking ID). The Cases sheet and Summary update automatically.</t>
        </is>
      </c>
    </row>
    <row r="8">
      <c r="A8" s="27" t="inlineStr">
        <is>
          <t>Definition</t>
        </is>
      </c>
      <c r="B8" s="6" t="inlineStr">
        <is>
          <t>"Prior tagging" = any tag applied to the order before its first W39 complaint (22:00 on 20 Sep 2026 is used as the cut-off in the template; tighten per TID using Metabase Lookup column F if needed).</t>
        </is>
      </c>
    </row>
    <row r="10" ht="170" customHeight="1">
      <c r="A10" s="27" t="inlineStr">
        <is>
          <t>SQL template</t>
        </is>
      </c>
      <c r="B10" s="28" t="inlineStr">
        <is>
          <t>SELECT o.tracking_id,
       o.id                                   AS global_id,
       COUNT(DISTINCT ot.tag_id)              AS prior_tag_count,
       GROUP_CONCAT(DISTINCT t.name ORDER BY ot.created_at SEPARATOR ', ') AS prior_tags,
       MAX(ot.created_at)                     AS latest_prior_tag_date
FROM orders o
LEFT JOIN order_tags ot ON ot.order_id = o.id
                        AND ot.created_at &lt; '2026-09-21 00:00:00'
                        AND ot.deleted_at IS NULL
LEFT JOIN tags t        ON t.id = ot.tag_id
WHERE o.tracking_id IN ( &lt;paste cell B12 here&gt; )
GROUP BY o.tracking_id, o.id;</t>
        </is>
      </c>
    </row>
    <row r="12" ht="200" customHeight="1">
      <c r="A12" s="27" t="inlineStr">
        <is>
          <t>TID list (479 unique)</t>
        </is>
      </c>
      <c r="B12" s="29" t="inlineStr">
        <is>
          <t>'TNGE126027128651727000', 'ZMP299487945-2851', 'TNGE126027145702566000', 'NVIDSPMLL000000202', 'TNGDV2609146889176270', 'FAEYE1546375134655770624', 'NVMYSOUPE000000897', 'TESMX1550062495809400832', 'TNGSB125896319766994000', 'NVMYTRADE014219299', 'NVMYNINJA002502078', 'MANIR1548139880832774144', 'ECFPLXX021424715', 'MYNJV70088695348', 'CHVIN000010477', 'ZNV252917945-9837', 'NVMYTRADE014220750NVMYTRADE014220720', 'TNGE126027123707211000', 'TESMX1549981438514819072', 'ZRP859473225359', 'NVMYPSITI000008262', 'NVMYMZ0N3000028117', 'ZNV253317945-1886', 'ZRP859373225311', 'ZNV946823440-8240-BKS', 'ZMYITJ6MMPDS-2777789', 'ZNV946832382-8599', 'TNGDV2609136945139660', 'NVMYHILAL00HL23336', 'NLMYWA04659534', 'NVMYKILATWK0076807', 'AMNV005963959', 'ADI111550482187476107264', 'MAILB1549313460283060224', 'TAIN1546068998241939456', 'NVMYTNAMR000000532', 'MOOK1550361206561648640', 'MYNJV70045865378/MYNJV70035605218', 'NVMYNINJA002510859', 'NVMYSOUPE000000919', 'AEMYA000630786', 'NVMYHNMHN00316406S', 'NVMYKQURN000013676', 'ESHP003312074', 'LSGMY5905428', 'AEMYA000627832', 'AEMYA000627254', 'NVMYPZXMS000047975', 'TNGE126047263325076000', 'AJDHU1550037634185019392', 'COTONW00041396747', 'MASTR1548469847196155904', 'TNGDV2609036836185310', 'NVMYPZXMS000047968', 'NVMYNINJA002509240', 'RYTDBZVLUL38BLH', 'TNGEO202608261001243193', 'NVMYZAFES000476028', 'NVMYDOCMY000088025', 'TNGDV2609046829976170', 'NVMY47403000011228', 'PETSMPTC243536', 'TNGDV2608316789446580', 'AEMYA000629320', 'NVMY45537000029805', 'NVMYCRGMABP3853537', 'WNJMY00535212908', 'NVMYNXG3S000023005', 'ZRS4115713219939', 'TNGDV2609096865669450', 'TNGDV2609156948986000', 'TNGDV2609096878921600', 'TNGDV2609156928618340', 'AJDHU1547854775576936448', 'NVMYLTCMU000000160', 'NIVMY1549984394616983552', 'AEMYA000615925', 'ZMP241385945-5821', 'NVMY48214000023869', 'ZMP271541945-3625', 'NVMY8NFNT0HW10327A', 'NVMYYSLWE330031831', 'VICTN1549303472678359040', 'VICTN1549990377922347008', 'NVMYONEGA000042476', 'WNJMY00190082908', 'APGUK012000005049513', 'RNCNV000498992', 'NVMYCOMOO000015506', 'NVMYCHMOT000000348', 'NVMY21533000009024', 'NVMYSIS120SIS48138', 'ZNV946827970-1591', 'ADI111550678986921603072', 'TNGE126047281027686000', 'NVMYNINJA002511067', 'MYMPA261084847', 'NVMYGMPKT00SH8766A', 'NVMYROBAN000005753', 'NVMYYUSMM000002979', 'ESHP003312054', 'MYNJV70067115778', 'NVMYNINJA002497597', 'ZMP258439945-6440', 'NVMYHYGRR00121440A', 'ZRP856483223067', 'TNGDV2609056822351280', 'NVMYSECOM000093574', 'NVMYBPXPD000001853', 'UMIDI1548934597354450944&amp;UMIDI1548934598646771712', 'ZMP291418945-2148', 'MY-NV093284166', 'MYNJV70062415718', 'NVMYHNIKJ00316257E', 'BAZAE1550537982831177728', 'STLMY1544276476882800640', 'NVMYVSI0N000005699', 'MYNJV70005095678', 'KULIM1550108430772015104', 'CASIA1548166026215026688', 'NVMYMYBAL000039241', 'NVMYDAIGO0SD11689A', 'BBPE1548563273542471680', 'TNGDV2609156900807310', 'AJDHU1550340179671482368', 'NVMYNINJA002508449', 'NVMYFCSSB000000568', 'NVMYMYAZL000000044', 'NVMYHENEL000011349', 'ZNV211571945-3369', 'MAILB1550695095780970496', 'FBEAR1549328730363207680', 'TNGE326040018499785030', 'CCORB1550039098201280512', 'NVMYTEPIS000003837', 'NLMYWA04659139', 'ESHP003312621', 'NVMY9MTNY000005885', 'THIDR17920266', 'NVMYNINJA002513766', 'NVMYMYWRI000002165', 'MUJIM0000089331003', 'APGUK012000005043821', 'NVMY00SNS102333600', 'NVMYTCALE000000964', 'ZMP274355945-2588', 'BBPE1550736921844985856', 'TNGDV2608306813565210', 'TNGE126007020392797000', 'NVMYHJSBG000023117', 'AEMYA000629951', 'NVMYTEPIS000003833', 'NVMYTEPIS000003807', 'NVMYNINJA002518185', 'TNGDV2609086877050030', 'TNGDV2609096888689700', 'TNGE125896323458678000', 'NVMYANIMO000001482', 'ZMP212817945-9249', 'AEMYA000620728', 'JYHMYNJVM2026090738X', 'WNJMY00915882908', 'NVMYMSNCK000003762', 'NVMYZZTAP000002334', 'TNGDV2609116876150630', 'NVMY20168000067284', 'KIMKB1528948758730264576', 'AEMYA000625234', 'XHY00400470', 'NVMYSFPRO000001022-001', 'MAILB1550392111345020928', 'NVMY68168001493757', 'MYNJV70049255468', 'NVMYFRSTG000015870', 'NVMYLIONF00LF10310-001NVMYLIONF00LF10310-002', 'JSXPR1547540931444981760', 'WNJMY00154402909', 'TNGDV2609166908059150', 'ESHP003313075', 'NVMYALM2Y050520741', 'ZMP264265945-5730', 'NVMY41A68000004589', 'NVMYKNKAD000005234', 'DESAR1550025465117274112', 'NLMYWA04659528', 'GMJI9701623533001', 'NVMYNUYUS000003404', 'NVMYDOCMY000089692', 'MYNJV70088605618', 'ZRP856253222893ZRP857883224124', 'RNCNV000500472', 'NVMYKBARA000008766', 'MAILB1550405881677856768', 'MYNJV70074605248,NVMYVTJSS000041886', 'NVMYTA1SI000343229', 'NVMY47011000005541', 'TNGDV2609136901043020', 'DEONL1549361821138235392', 'RYTDBTQ7WO52SA8', 'NVMYTSHSN000010726', 'TNGEO202609111001254427', 'NVMYCOMIT000002083', 'WNJMY00006942908', 'TNGDV2609126894940030', 'ZNV283877945-1611', 'NVMYKILATWK0077036', 'ESHP003312506', 'NVMYAPTST000006617', 'NVMYYSLWE11037071A', 'NVMYIMPJM000001454', 'MLCOW1549977659915173888', 'ZCOS00707946827971/ZCOS00708946728334', 'NVMYKAMAT000013283', 'NVMYNINJA002521024', 'MYNJV70064585638', 'NVMYQUTN0000015757', 'NVMYMOLBC000001942', 'TNGDV2609076844573390', 'NVMYNINJA002513733', 'RYTDBYP63YO4WN0', 'NVMYTDGPP102333622', 'RYTDBD29JAYW9LL', 'NVMYLUGIF000000218', 'NVMYNINJA002517028', 'NVMYNINJA002514124', 'MYNJV70027665658', 'AEMYA000627407', 'TNGSB125966755831752000', 'NVMYMKLYW000NICOLE', 'PARAS0017266312', 'TNGE125996954640361000', 'NVMYDYURA050594351', 'NVMYKILATWK0077175', 'NVMYSMRTP026091313-001', 'JY200160145', 'CHVIN000010433', 'FARCM24693436-1', 'TNGDV2609126917953110', 'NVMYDDTSE00013757A', 'NVMYMYNTW000HOVIS1-001', 'LLABO01150A', 'NVMYGCHEN000000483', 'MYNJV70042015878', 'TNGE126006994822516000', 'NVMYADI00000422148', 'NVMYNINJA002501647', 'SPDRT1550468303319040000', 'NVMYWLDAN000015808', 'NVMYSFPRO000001025-001NVMYSFPRO000001025-002', 'AEMYA000627864', 'STLMY1550782677370200064', 'LIVHU1550696753238847488', 'NVMYNINJA002509548', 'NVMYYAMOW000003004', 'TWMY00SM26035579-002', 'NVMYRAHOL050469063', 'NVMYMZ0N3000028442', 'AEMYA000634021', 'TYARA18799A', 'NVMYWP00000GRACE10', 'STLMY1550348916931018752', 'RYTDB8P4QYWC16W', 'ZNV217543945-1255', 'NVMYONEGA000042873', 'ZNV946826890-4877', 'NVMYNINJA002524047', 'TNGDV2609096877053600', 'NVMYNINJA002510812', 'NVMYTRADE014223243', 'NVMYPZXMS000048159', 'LSGMY5908395', 'TNGEO202609131001256129', 'NVMYSMR88SM6855765', 'TNGSB126037180372543000', 'TNGEO202609161001258530', 'ZNV217481945-2866', 'NVMYLAYFO000002120q', 'NVMYNEUTR0UP143771', 'HBMY1551483304300576768', 'NVMYNINJA002522007', 'MAILB1547537792528531456', 'NVMYPZXMS000047676', 'JSXPR1550351336619966464', 'NVMYNRLIL050614937', 'TNGE326040017388104080', 'HAWAS1547446975398883328', 'TNGE126067384604826000', 'SIASG1544997664729550848', 'NVMY45537000029927', 'TNGDV2609156907420100', 'RYTDB1ZPYOXLUYJ', 'PGMLL0004629322-1-1-51', 'RIDZL1551442465070960640', 'NVMYPOPLKIF1220375', 'NFRSH1012526', 'TNGEO202609171001259197', 'SYI1551481379977601024', 'NVMYNINJA002523519', 'MJCPE1549037237451567104', 'NVMYASTCH000011456', 'AEMYA000630852', 'SHINE1551872275179208704', 'MUMPL1551622217028452352', 'TNGE126017056518403000', 'MYNJV70059945668', 'TNGDV2609136913811870', 'AEMYA000635657', 'MAILB1550738280369963008', 'NVMYTHROA000000598', 'LNID2609BN6UAD4K', 'NVMYAIMIM000004143', 'NVMYBEVLA921354189', 'NVMYHOOHI000012204', 'NVMYSECOM000093833', 'MYNJV70096675528', 'MYNJV70073295398', 'LYCHN1550143940582481920', 'NVMYADI00000422746', 'NVMYAXVEL000112120', 'MYNJV70008945938', 'NLMYWA04658968', 'PGMLL0004629950-1-1-27', 'TNGE126007000501702000', 'ESHP003314995', 'MYNJV70093465568', 'ZNV256384945-4282', 'HFGMY12609161310007', 'NVMYNINJA002502259', 'BEINT1546361398446215168', 'MGBOO1549219794276077568', 'SUMORNJ3698-001', 'TNGE126057319316659000', 'NVMYPZXMS000048199', 'NVMYNINJA002523907', 'SFDUN1551440210219233280', 'NVMY48214000023987', 'NVMYTEPIS000003841', 'NVMYMVBLY050581976', 'NVMYCRGMABP3888094', 'TRESA372646401', 'NVMYSILKN000018213', 'MYNJV70043925628', 'SYI1551535855957438464', 'TNGEO202609041001249005', 'NVMYAJUNA093311976', 'NVMYHNIKJ0316706CC', 'NVMYAR11V000137129', 'AEMYA000633717', 'ZMP212761945-9199', 'MYNJV70005976008', 'NVMYDLRA000DL80075', 'MOONB1548961047584903168', 'TNGDV2609196953561960', 'NVMYTMTSB0TH67622I', 'MYNJV70039345518', 'HAWAS1551423395595153408', 'NVMYNINJAMYRPLPV1Y', 'TNGE126067354686503000', 'NVMYNINJA002519071', 'ESHP003314663', 'RSAPA2601402-001,RSAPA2601402-002&amp;RSAPA2601402-003', 'AMNV005965607', 'KLNNBR004925', 'NVMYDOCMY000089342', 'NVMYDRSMG000046536', 'NVMYN4TUP000000653-001', 'MYNJV70058725648', 'NVMYPKGRO000003879', 'NVMYDOCMY000089617', 'TNGDV2609106895983080', 'NVMYNINJA002526014', 'NVMYHVMJB0316698CC', 'NVMYNINJA002503781', 'NVMYKEIMA000009699', 'NVMYNINJA002525652', 'ZMP228561945-5221', 'XHY00400946', 'MYNJV70054005568', 'NVMYJOCEL000115093', 'NVMYQISZR00440341A', 'TNGDV2609176911637730', 'NVMYAXVEL000112073', 'AJDHU1549235139594887168', 'NVMYMASYE000000003', 'WESRS1551197386171473920', 'TNGDV2609196956179110', 'TNGDV2609126912414340', 'AEMYA000637229', 'NVMYMAOPT000056705', 'TNGE326020018325386770', 'HAFDA1551311816403288064', 'NVMYVNTRL00095212A', 'NVMYFRSTG000015878', 'NVMYFUMSB002601441-004', 'NVMY21533000009049', 'UMIDI1551484761843580928', 'NVMYNINJA002524173', 'NVMYMAURE000005570', 'NVMYTSHSN000010671', 'SIASG1549237398332002304', 'NVMYJNNEE000FE2FE2', 'OASIS1551935707836563456', 'MAILBP63218', 'MYNJV70088895918', 'NVMYGRITM000000975', 'AMNV005962832', 'STLMY1550748596491894784', 'MYNJV70061605738', 'NVMYYIJIA000002856', 'TNGDV2609176979102830', 'NVMYNINJA002525573', 'NVMYNINJA002524588', 'TNGDV2609136921142710', 'AJDHU1551787456464850944', 'NVMYBNBMS000019184', 'NVMYHETUP000007729', 'NVMYMYAZL000000045', 'PYHCS1551483367557894144', 'NVMYADI00000422193', 'TNGSB126107603036673000', 'ZNV218133945-9245', 'NVMYNRWAE000000555', 'NVMYPCTDA000003033', 'DEONL1552139449979105280', 'MYNJV70011815668', 'MYNJV70024105848', 'NVMYAFAAG093340266', 'NVMYVTERA0FB714726', 'MUJIM0000092080419', 'AMNV005968012', 'KPSLT1552534938003660800', 'NVMYINISF03196313A', 'NVMYDA1LY000003664', 'NVMYADI00000420606', 'NVMYPKGRO000003887', 'ANTEX1551895848224653312', 'NVMYNCREA000000612', 'TNGDV2609206888477350', 'NLMYA72425530', 'JY200159772', 'AEMYA000634058', 'NVMYRDSPP000000053', 'DDLMM1550802115664117760', 'TNGE326080018402666750', 'STDMYLJJ7468743512', 'MATAC1551813969266601984', 'AEMYA000632007', 'TNGDV2609126845835910', 'NVMYMYRAM000074165', 'TNGDV2609186908204390', 'AEMYA000632784', 'MAILB1552598312402010112', 'AEMYA000639251', 'NVMYREMDR000001209', 'NVMYPZXMS000048335', 'MYNJV70098335768', 'TNGDV2609186906917950', 'EMY260282044KREMY260282024KREMY260282043KR', 'NVMYDOCMY000089670', 'AEMYA000633164', 'TNGE126077410792712000', 'MYNJV70088805988', 'NVMYAIRSP102334442', 'NVMYPKONG000005347', 'TNGDV2609216958934590', 'TNGDV2609186880120580', 'LSGMY5913756', 'NVMYANSRI001028392', 'AEMYA000634721AEMYA000634535', 'AEMYA000638031', 'NVMYNINJA002529523', 'TNGDV2609226930143260', 'TNGDV2609216958016760', 'NVMYMLISS000018021', 'ECMY827980022', 'DOINK24607A', 'NVMYNINJA002495587', 'THLTH1552157980114247680', 'NVMYNINJA002519165'</t>
        </is>
      </c>
    </row>
    <row r="14">
      <c r="A14" s="22" t="inlineStr">
        <is>
          <t>Open question</t>
        </is>
      </c>
      <c r="B14" s="6" t="inlineStr">
        <is>
          <t>"Global ID" is assumed to be the order's global/order ID (orders.id). If you meant the driver's global ID, swap o.id for the driver ID from the route/transaction table.</t>
        </is>
      </c>
    </row>
  </sheetData>
  <pageMargins left="0.75" right="0.75" top="1" bottom="1" header="0.5" footer="0.5"/>
</worksheet>
</file>

<file path=xl/worksheets/sheet9.xml><?xml version="1.0" encoding="utf-8"?>
<worksheet xmlns="http://schemas.openxmlformats.org/spreadsheetml/2006/main">
  <sheetPr>
    <tabColor rgb="0098A2B3"/>
    <outlinePr summaryBelow="1" summaryRight="1"/>
    <pageSetUpPr/>
  </sheetPr>
  <dimension ref="A1:K499"/>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4" customWidth="1" min="3" max="3"/>
    <col width="14" customWidth="1" min="4" max="4"/>
    <col width="10" customWidth="1" min="5" max="5"/>
    <col width="7" customWidth="1" min="6" max="6"/>
    <col width="30" customWidth="1" min="7" max="7"/>
    <col width="8" customWidth="1" min="8" max="8"/>
    <col width="20" customWidth="1" min="9" max="9"/>
    <col width="50" customWidth="1" min="10" max="10"/>
    <col width="12" customWidth="1" min="11" max="11"/>
  </cols>
  <sheetData>
    <row r="1">
      <c r="A1" s="9" t="inlineStr">
        <is>
          <t>Timestamp</t>
        </is>
      </c>
      <c r="B1" s="9" t="inlineStr">
        <is>
          <t>Tracking ID</t>
        </is>
      </c>
      <c r="C1" s="9" t="inlineStr">
        <is>
          <t>CRM case ID</t>
        </is>
      </c>
      <c r="D1" s="9" t="inlineStr">
        <is>
          <t>Route ID</t>
        </is>
      </c>
      <c r="E1" s="9" t="inlineStr">
        <is>
          <t>Region</t>
        </is>
      </c>
      <c r="F1" s="9" t="inlineStr">
        <is>
          <t>Hub</t>
        </is>
      </c>
      <c r="G1" s="9" t="inlineStr">
        <is>
          <t>Driver's Name</t>
        </is>
      </c>
      <c r="H1" s="9" t="inlineStr">
        <is>
          <t>Type of driver</t>
        </is>
      </c>
      <c r="I1" s="9" t="inlineStr">
        <is>
          <t>Complaint Type</t>
        </is>
      </c>
      <c r="J1" s="9" t="inlineStr">
        <is>
          <t>Complaint Details</t>
        </is>
      </c>
      <c r="K1" s="9" t="inlineStr">
        <is>
          <t>Keyed in By</t>
        </is>
      </c>
    </row>
    <row r="2">
      <c r="A2" s="30" t="inlineStr">
        <is>
          <t>21/09/2026 09:26:39</t>
        </is>
      </c>
      <c r="B2" s="30" t="inlineStr">
        <is>
          <t>TNGE126027128651727000</t>
        </is>
      </c>
      <c r="C2" s="30" t="inlineStr">
        <is>
          <t>262162627794</t>
        </is>
      </c>
      <c r="D2" s="30" t="inlineStr">
        <is>
          <t>91838155</t>
        </is>
      </c>
      <c r="E2" s="30" t="inlineStr">
        <is>
          <t>KV</t>
        </is>
      </c>
      <c r="F2" s="30" t="inlineStr">
        <is>
          <t xml:space="preserve">WMJ </t>
        </is>
      </c>
      <c r="G2" s="30" t="inlineStr">
        <is>
          <t>WMJ - ID - MUHAMMAD EFENDY</t>
        </is>
      </c>
      <c r="H2" s="30" t="inlineStr">
        <is>
          <t>LM</t>
        </is>
      </c>
      <c r="I2" s="30" t="inlineStr">
        <is>
          <t>Fake Success</t>
        </is>
      </c>
      <c r="J2" s="30" t="inlineStr">
        <is>
          <t>The driver delivered the parcel after the customer made complaint</t>
        </is>
      </c>
      <c r="K2" s="30" t="inlineStr">
        <is>
          <t xml:space="preserve">Naveen </t>
        </is>
      </c>
    </row>
    <row r="3">
      <c r="A3" s="30" t="inlineStr">
        <is>
          <t>21/09/2026 09:40:23</t>
        </is>
      </c>
      <c r="B3" s="30" t="inlineStr">
        <is>
          <t xml:space="preserve">ZMP299487945-2851
</t>
        </is>
      </c>
      <c r="C3" s="30" t="inlineStr">
        <is>
          <t>260912621851</t>
        </is>
      </c>
      <c r="D3" s="30" t="inlineStr">
        <is>
          <t>91832320</t>
        </is>
      </c>
      <c r="E3" s="30" t="inlineStr">
        <is>
          <t>Southern</t>
        </is>
      </c>
      <c r="F3" s="30" t="inlineStr">
        <is>
          <t xml:space="preserve">KLI </t>
        </is>
      </c>
      <c r="G3" s="30" t="inlineStr">
        <is>
          <t>KLI - ID - NURIZZAH</t>
        </is>
      </c>
      <c r="H3" s="30" t="inlineStr">
        <is>
          <t>LM</t>
        </is>
      </c>
      <c r="I3" s="30" t="inlineStr">
        <is>
          <t>Fake Success</t>
        </is>
      </c>
      <c r="J3" s="30" t="inlineStr">
        <is>
          <t>The driver delivered the parcel after the customer made complaint</t>
        </is>
      </c>
      <c r="K3" s="30" t="inlineStr">
        <is>
          <t>Naveen</t>
        </is>
      </c>
    </row>
    <row r="4">
      <c r="A4" s="30" t="inlineStr">
        <is>
          <t>21/09/2026 09:41:43</t>
        </is>
      </c>
      <c r="B4" s="30" t="inlineStr">
        <is>
          <t>TNGE126027145702566000</t>
        </is>
      </c>
      <c r="C4" s="30" t="inlineStr">
        <is>
          <t>268162624947</t>
        </is>
      </c>
      <c r="D4" s="30" t="inlineStr">
        <is>
          <t>91840248</t>
        </is>
      </c>
      <c r="E4" s="30" t="inlineStr">
        <is>
          <t>Southern</t>
        </is>
      </c>
      <c r="F4" s="30" t="inlineStr">
        <is>
          <t xml:space="preserve">KLI </t>
        </is>
      </c>
      <c r="G4" s="30" t="inlineStr">
        <is>
          <t>KLI - ID - NURULAZIERAH</t>
        </is>
      </c>
      <c r="H4" s="30" t="inlineStr">
        <is>
          <t>LM</t>
        </is>
      </c>
      <c r="I4" s="30" t="inlineStr">
        <is>
          <t>Deliver to Wrong Address</t>
        </is>
      </c>
      <c r="J4" s="30" t="inlineStr">
        <is>
          <t>the driver delivered the parcel to wrong address instead of customers address</t>
        </is>
      </c>
      <c r="K4" s="30" t="inlineStr">
        <is>
          <t xml:space="preserve">Naveen </t>
        </is>
      </c>
    </row>
    <row r="5">
      <c r="A5" s="30" t="inlineStr">
        <is>
          <t>21/09/2026 09:43:11</t>
        </is>
      </c>
      <c r="B5" s="30" t="inlineStr">
        <is>
          <t>NVIDSPMLL000000202</t>
        </is>
      </c>
      <c r="C5" s="30" t="inlineStr">
        <is>
          <t>267822638198</t>
        </is>
      </c>
      <c r="D5" s="30" t="inlineStr">
        <is>
          <t>91851116</t>
        </is>
      </c>
      <c r="E5" s="30" t="inlineStr">
        <is>
          <t>Northern</t>
        </is>
      </c>
      <c r="F5" s="30" t="inlineStr">
        <is>
          <t xml:space="preserve">BKM </t>
        </is>
      </c>
      <c r="G5" s="30" t="inlineStr">
        <is>
          <t>BKM - ID - FIKRI</t>
        </is>
      </c>
      <c r="H5" s="30" t="inlineStr">
        <is>
          <t>LM</t>
        </is>
      </c>
      <c r="I5" s="30" t="inlineStr">
        <is>
          <t>Fake Fail</t>
        </is>
      </c>
      <c r="J5" s="30" t="inlineStr">
        <is>
          <t xml:space="preserve">invalid POD. No contact number show in the whatapps attachment </t>
        </is>
      </c>
      <c r="K5" s="30" t="inlineStr">
        <is>
          <t>Hartini</t>
        </is>
      </c>
    </row>
    <row r="6">
      <c r="A6" s="30" t="inlineStr">
        <is>
          <t>21/09/2026 10:02:48</t>
        </is>
      </c>
      <c r="B6" s="30" t="inlineStr">
        <is>
          <t>TESMX1550062495809400832</t>
        </is>
      </c>
      <c r="C6" s="30" t="inlineStr">
        <is>
          <t>266782640335</t>
        </is>
      </c>
      <c r="D6" s="30" t="inlineStr">
        <is>
          <t>91841554 &amp; 91848717</t>
        </is>
      </c>
      <c r="E6" s="30" t="inlineStr">
        <is>
          <t>Southern</t>
        </is>
      </c>
      <c r="F6" s="30" t="inlineStr">
        <is>
          <t>GMR</t>
        </is>
      </c>
      <c r="G6" s="30" t="inlineStr">
        <is>
          <t xml:space="preserve">GMR - ID - HAMID &amp; GMR - ID - NAJIHAH
</t>
        </is>
      </c>
      <c r="H6" s="30" t="inlineStr">
        <is>
          <t>LM</t>
        </is>
      </c>
      <c r="I6" s="30" t="inlineStr">
        <is>
          <t>Fake Fail</t>
        </is>
      </c>
      <c r="J6" s="30" t="inlineStr">
        <is>
          <t>Driver manipulated POD, using same POD</t>
        </is>
      </c>
      <c r="K6" s="30" t="inlineStr">
        <is>
          <t>Syak</t>
        </is>
      </c>
    </row>
    <row r="7">
      <c r="A7" s="30" t="inlineStr">
        <is>
          <t>21/09/2026 09:53:46</t>
        </is>
      </c>
      <c r="B7" s="30" t="inlineStr">
        <is>
          <t>TNGDV2609146889176270</t>
        </is>
      </c>
      <c r="C7" s="30" t="inlineStr">
        <is>
          <t>260932628324</t>
        </is>
      </c>
      <c r="D7" s="30" t="inlineStr">
        <is>
          <t>91829537</t>
        </is>
      </c>
      <c r="E7" s="30" t="inlineStr">
        <is>
          <t>KV</t>
        </is>
      </c>
      <c r="F7" s="30" t="inlineStr">
        <is>
          <t xml:space="preserve">PCK </t>
        </is>
      </c>
      <c r="G7" s="30" t="inlineStr">
        <is>
          <t>PCK - ID - AFIQAH MADZLIN</t>
        </is>
      </c>
      <c r="H7" s="30" t="inlineStr">
        <is>
          <t>LM</t>
        </is>
      </c>
      <c r="I7" s="30" t="inlineStr">
        <is>
          <t>Deliver to Wrong Address</t>
        </is>
      </c>
      <c r="J7" s="30" t="inlineStr">
        <is>
          <t>the driver delivered the parcel to wrong address instead of customers address</t>
        </is>
      </c>
      <c r="K7" s="30" t="inlineStr">
        <is>
          <t xml:space="preserve">Naveen </t>
        </is>
      </c>
    </row>
    <row r="8">
      <c r="A8" s="30" t="inlineStr">
        <is>
          <t>21/09/2026 09:59:05</t>
        </is>
      </c>
      <c r="B8" s="30" t="inlineStr">
        <is>
          <t>FAEYE1546375134655770624</t>
        </is>
      </c>
      <c r="C8" s="30" t="inlineStr">
        <is>
          <t>264842649115</t>
        </is>
      </c>
      <c r="D8" s="30" t="inlineStr">
        <is>
          <t>91845173</t>
        </is>
      </c>
      <c r="E8" s="30" t="inlineStr">
        <is>
          <t>Northern</t>
        </is>
      </c>
      <c r="F8" s="30" t="inlineStr">
        <is>
          <t xml:space="preserve">BTS </t>
        </is>
      </c>
      <c r="G8" s="30" t="inlineStr">
        <is>
          <t>BTS - OPS - PINANG TUNGGAL</t>
        </is>
      </c>
      <c r="H8" s="30" t="inlineStr">
        <is>
          <t>LM</t>
        </is>
      </c>
      <c r="I8" s="30" t="inlineStr">
        <is>
          <t>Fake Fail</t>
        </is>
      </c>
      <c r="J8" s="30" t="inlineStr">
        <is>
          <t xml:space="preserve">Wrong customer phone number in the POD </t>
        </is>
      </c>
      <c r="K8" s="30" t="inlineStr">
        <is>
          <t>Daus</t>
        </is>
      </c>
    </row>
    <row r="9">
      <c r="A9" s="30" t="inlineStr">
        <is>
          <t>21/09/2026 09:59:52</t>
        </is>
      </c>
      <c r="B9" s="30" t="inlineStr">
        <is>
          <t>NVMYSOUPE000000897</t>
        </is>
      </c>
      <c r="C9" s="30" t="inlineStr">
        <is>
          <t>260062621768</t>
        </is>
      </c>
      <c r="D9" s="30" t="inlineStr">
        <is>
          <t>91833029</t>
        </is>
      </c>
      <c r="E9" s="30" t="inlineStr">
        <is>
          <t>Northern</t>
        </is>
      </c>
      <c r="F9" s="30" t="inlineStr">
        <is>
          <t xml:space="preserve">SPT </t>
        </is>
      </c>
      <c r="G9" s="30" t="inlineStr">
        <is>
          <t>SPT - ID - NORHAZANI</t>
        </is>
      </c>
      <c r="H9" s="30" t="inlineStr">
        <is>
          <t>LM</t>
        </is>
      </c>
      <c r="I9" s="30" t="inlineStr">
        <is>
          <t>Deliver to Wrong Address</t>
        </is>
      </c>
      <c r="J9" s="30" t="inlineStr">
        <is>
          <t>the driver delivered the parcel to wrong address instead of customers address</t>
        </is>
      </c>
      <c r="K9" s="30" t="inlineStr">
        <is>
          <t>Naveen</t>
        </is>
      </c>
    </row>
    <row r="10">
      <c r="A10" s="30" t="inlineStr">
        <is>
          <t>21/09/2026 10:21:55</t>
        </is>
      </c>
      <c r="B10" s="30" t="inlineStr">
        <is>
          <t>TNGSB125896319766994000</t>
        </is>
      </c>
      <c r="C10" s="30" t="inlineStr">
        <is>
          <t>268122622312</t>
        </is>
      </c>
      <c r="D10" s="30" t="inlineStr">
        <is>
          <t>91835040</t>
        </is>
      </c>
      <c r="E10" s="30" t="inlineStr">
        <is>
          <t>Southern</t>
        </is>
      </c>
      <c r="F10" s="30" t="inlineStr">
        <is>
          <t xml:space="preserve"> LKN</t>
        </is>
      </c>
      <c r="G10" s="30" t="inlineStr">
        <is>
          <t>LKN - ID - OPS</t>
        </is>
      </c>
      <c r="H10" s="30" t="inlineStr">
        <is>
          <t>LM</t>
        </is>
      </c>
      <c r="I10" s="30" t="inlineStr">
        <is>
          <t>Fake Fail</t>
        </is>
      </c>
      <c r="J10" s="30" t="inlineStr">
        <is>
          <t>driver attach invalid pod and no call log attach</t>
        </is>
      </c>
      <c r="K10" s="30" t="inlineStr">
        <is>
          <t>zati</t>
        </is>
      </c>
    </row>
    <row r="11">
      <c r="A11" s="30" t="inlineStr">
        <is>
          <t>21/09/2026 10:26:41</t>
        </is>
      </c>
      <c r="B11" s="30" t="inlineStr">
        <is>
          <t>NVMYTRADE014219299</t>
        </is>
      </c>
      <c r="C11" s="30" t="inlineStr">
        <is>
          <t>260932629751</t>
        </is>
      </c>
      <c r="D11" s="30" t="inlineStr">
        <is>
          <t>91827333</t>
        </is>
      </c>
      <c r="E11" s="30" t="inlineStr">
        <is>
          <t>North West</t>
        </is>
      </c>
      <c r="F11" s="30" t="inlineStr">
        <is>
          <t xml:space="preserve">SAR </t>
        </is>
      </c>
      <c r="G11" s="30" t="inlineStr">
        <is>
          <t>SAR - OPS - ROUTE OPS</t>
        </is>
      </c>
      <c r="H11" s="30" t="inlineStr">
        <is>
          <t>LM</t>
        </is>
      </c>
      <c r="I11" s="30" t="inlineStr">
        <is>
          <t>Fake Fail</t>
        </is>
      </c>
      <c r="J11" s="30" t="inlineStr">
        <is>
          <t>driver attach wrong location</t>
        </is>
      </c>
      <c r="K11" s="30" t="inlineStr">
        <is>
          <t>zati</t>
        </is>
      </c>
    </row>
    <row r="12">
      <c r="A12" s="30" t="inlineStr">
        <is>
          <t>21/09/2026 10:33:58</t>
        </is>
      </c>
      <c r="B12" s="30" t="inlineStr">
        <is>
          <t>NVMYNINJA002502078</t>
        </is>
      </c>
      <c r="C12" s="30" t="inlineStr">
        <is>
          <t>266882646042</t>
        </is>
      </c>
      <c r="D12" s="30" t="inlineStr">
        <is>
          <t>91827065 / 91844826</t>
        </is>
      </c>
      <c r="E12" s="30" t="inlineStr">
        <is>
          <t>Southern</t>
        </is>
      </c>
      <c r="F12" s="30" t="inlineStr">
        <is>
          <t>LKN</t>
        </is>
      </c>
      <c r="G12" s="30" t="inlineStr">
        <is>
          <t>LKN - ID - SAIFUL / 
MUA - HR - SYUKRIAHEZAN</t>
        </is>
      </c>
      <c r="H12" s="30" t="inlineStr">
        <is>
          <t>LM</t>
        </is>
      </c>
      <c r="I12" s="30" t="inlineStr">
        <is>
          <t>Fake Fail</t>
        </is>
      </c>
      <c r="J12" s="30" t="inlineStr">
        <is>
          <t>POD not cust location</t>
        </is>
      </c>
      <c r="K12" s="30" t="inlineStr">
        <is>
          <t>Zakwan</t>
        </is>
      </c>
    </row>
    <row r="13">
      <c r="A13" s="30" t="inlineStr">
        <is>
          <t>21/09/2026 10:35:10</t>
        </is>
      </c>
      <c r="B13" s="30" t="inlineStr">
        <is>
          <t xml:space="preserve">MANIR1548139880832774144 </t>
        </is>
      </c>
      <c r="C13" s="30" t="inlineStr">
        <is>
          <t>264712639790</t>
        </is>
      </c>
      <c r="D13" s="30" t="inlineStr">
        <is>
          <t>91814193</t>
        </is>
      </c>
      <c r="E13" s="30" t="inlineStr">
        <is>
          <t>Southern</t>
        </is>
      </c>
      <c r="F13" s="30" t="inlineStr">
        <is>
          <t>GLG</t>
        </is>
      </c>
      <c r="G13" s="30" t="inlineStr">
        <is>
          <t xml:space="preserve">GLG - OPS - ENGKU
</t>
        </is>
      </c>
      <c r="H13" s="30" t="inlineStr">
        <is>
          <t>LM</t>
        </is>
      </c>
      <c r="I13" s="30" t="inlineStr">
        <is>
          <t>Fake Fail</t>
        </is>
      </c>
      <c r="J13" s="30" t="inlineStr">
        <is>
          <t xml:space="preserve">No call log / location picture </t>
        </is>
      </c>
      <c r="K13" s="30" t="inlineStr">
        <is>
          <t xml:space="preserve">Syafiq </t>
        </is>
      </c>
    </row>
    <row r="14">
      <c r="A14" s="30" t="inlineStr">
        <is>
          <t>21/09/2026 10:36:35</t>
        </is>
      </c>
      <c r="B14" s="30" t="inlineStr">
        <is>
          <t>ECFPLXX021424715</t>
        </is>
      </c>
      <c r="C14" s="30" t="inlineStr">
        <is>
          <t>269792626328</t>
        </is>
      </c>
      <c r="D14" s="30" t="inlineStr">
        <is>
          <t>91836304</t>
        </is>
      </c>
      <c r="E14" s="30" t="inlineStr">
        <is>
          <t>KV</t>
        </is>
      </c>
      <c r="F14" s="30" t="inlineStr">
        <is>
          <t>RBY</t>
        </is>
      </c>
      <c r="G14" s="30" t="inlineStr">
        <is>
          <t>OPS - MAZLI SHAH</t>
        </is>
      </c>
      <c r="H14" s="30" t="inlineStr">
        <is>
          <t>LM</t>
        </is>
      </c>
      <c r="I14" s="30" t="inlineStr">
        <is>
          <t>Fake Fail</t>
        </is>
      </c>
      <c r="J14" s="30" t="inlineStr">
        <is>
          <t xml:space="preserve">call log attach is not belong to customer </t>
        </is>
      </c>
      <c r="K14" s="30" t="inlineStr">
        <is>
          <t>zati</t>
        </is>
      </c>
    </row>
    <row r="15">
      <c r="A15" s="30" t="inlineStr">
        <is>
          <t>21/09/2026 10:38:22</t>
        </is>
      </c>
      <c r="B15" s="30" t="inlineStr">
        <is>
          <t>MYNJV70088695348</t>
        </is>
      </c>
      <c r="C15" s="30" t="inlineStr">
        <is>
          <t>262822628349</t>
        </is>
      </c>
      <c r="D15" s="30" t="inlineStr">
        <is>
          <t>91808543</t>
        </is>
      </c>
      <c r="E15" s="30" t="inlineStr">
        <is>
          <t>KV</t>
        </is>
      </c>
      <c r="F15" s="30" t="inlineStr">
        <is>
          <t>SLG</t>
        </is>
      </c>
      <c r="G15" s="30" t="inlineStr">
        <is>
          <t>OPS - SELAYANG</t>
        </is>
      </c>
      <c r="H15" s="30" t="inlineStr">
        <is>
          <t>LM</t>
        </is>
      </c>
      <c r="I15" s="30" t="inlineStr">
        <is>
          <t>Fake Fail</t>
        </is>
      </c>
      <c r="J15" s="30" t="inlineStr">
        <is>
          <t>Driver not attach valid call log and location is under customer address</t>
        </is>
      </c>
      <c r="K15" s="30" t="inlineStr">
        <is>
          <t>zati</t>
        </is>
      </c>
    </row>
    <row r="16">
      <c r="A16" s="30" t="inlineStr">
        <is>
          <t>21/09/2026 10:40:12</t>
        </is>
      </c>
      <c r="B16" s="30" t="inlineStr">
        <is>
          <t>CHVIN000010477</t>
        </is>
      </c>
      <c r="C16" s="30" t="inlineStr">
        <is>
          <t>265432641982</t>
        </is>
      </c>
      <c r="D16" s="30" t="inlineStr">
        <is>
          <t>91844261</t>
        </is>
      </c>
      <c r="E16" s="30" t="inlineStr">
        <is>
          <t>KV</t>
        </is>
      </c>
      <c r="F16" s="30" t="inlineStr">
        <is>
          <t>KLG</t>
        </is>
      </c>
      <c r="G16" s="30" t="inlineStr">
        <is>
          <t>KLG -OPS -MUZAFFAR</t>
        </is>
      </c>
      <c r="H16" s="30" t="inlineStr">
        <is>
          <t>LM</t>
        </is>
      </c>
      <c r="I16" s="30" t="inlineStr">
        <is>
          <t>Fake Fail</t>
        </is>
      </c>
      <c r="J16" s="30" t="inlineStr">
        <is>
          <t xml:space="preserve">No call log provide and Whatsapp no response </t>
        </is>
      </c>
      <c r="K16" s="30" t="inlineStr">
        <is>
          <t xml:space="preserve">Izzni </t>
        </is>
      </c>
    </row>
    <row r="17">
      <c r="A17" s="30" t="inlineStr">
        <is>
          <t>21/09/2026 10:41:25</t>
        </is>
      </c>
      <c r="B17" s="30" t="inlineStr">
        <is>
          <t>ZNV252917945-9837</t>
        </is>
      </c>
      <c r="C17" s="30" t="inlineStr">
        <is>
          <t>262892631421</t>
        </is>
      </c>
      <c r="D17" s="30" t="inlineStr">
        <is>
          <t>91823639</t>
        </is>
      </c>
      <c r="E17" s="30" t="inlineStr">
        <is>
          <t>Southern</t>
        </is>
      </c>
      <c r="F17" s="30" t="inlineStr">
        <is>
          <t>KLI</t>
        </is>
      </c>
      <c r="G17" s="30" t="inlineStr">
        <is>
          <t>OPS - KULAI</t>
        </is>
      </c>
      <c r="H17" s="30" t="inlineStr">
        <is>
          <t>LM</t>
        </is>
      </c>
      <c r="I17" s="30" t="inlineStr">
        <is>
          <t>Fake Fail</t>
        </is>
      </c>
      <c r="J17" s="30" t="inlineStr">
        <is>
          <t xml:space="preserve">invalid POD, failed under ops </t>
        </is>
      </c>
      <c r="K17" s="30" t="inlineStr">
        <is>
          <t xml:space="preserve">Yana </t>
        </is>
      </c>
    </row>
    <row r="18">
      <c r="A18" s="30" t="inlineStr">
        <is>
          <t>21/09/2026 10:43:05</t>
        </is>
      </c>
      <c r="B18" s="30" t="inlineStr">
        <is>
          <t>NVMYTRADE014220750
NVMYTRADE014220720</t>
        </is>
      </c>
      <c r="C18" s="30" t="inlineStr">
        <is>
          <t>266602625524</t>
        </is>
      </c>
      <c r="D18" s="30" t="inlineStr">
        <is>
          <t>91836443
91836443</t>
        </is>
      </c>
      <c r="E18" s="30" t="inlineStr">
        <is>
          <t>KV</t>
        </is>
      </c>
      <c r="F18" s="30" t="inlineStr">
        <is>
          <t>OUG</t>
        </is>
      </c>
      <c r="G18" s="30" t="inlineStr">
        <is>
          <t>OPS - OUG</t>
        </is>
      </c>
      <c r="H18" s="30" t="inlineStr">
        <is>
          <t>LM</t>
        </is>
      </c>
      <c r="I18" s="30" t="inlineStr">
        <is>
          <t>Fake Fail</t>
        </is>
      </c>
      <c r="J18" s="30" t="inlineStr">
        <is>
          <t xml:space="preserve">call log attach not show customer contact number </t>
        </is>
      </c>
      <c r="K18" s="30" t="inlineStr">
        <is>
          <t xml:space="preserve">zati </t>
        </is>
      </c>
    </row>
    <row r="19">
      <c r="A19" s="30" t="inlineStr">
        <is>
          <t>21/09/2026 10:44:25</t>
        </is>
      </c>
      <c r="B19" s="30" t="inlineStr">
        <is>
          <t>TNGE126027123707211000</t>
        </is>
      </c>
      <c r="C19" s="30" t="inlineStr">
        <is>
          <t>265742627200</t>
        </is>
      </c>
      <c r="D19" s="30" t="inlineStr">
        <is>
          <t>91845006</t>
        </is>
      </c>
      <c r="E19" s="30" t="inlineStr">
        <is>
          <t>Southern</t>
        </is>
      </c>
      <c r="F19" s="30" t="inlineStr">
        <is>
          <t xml:space="preserve">GLG </t>
        </is>
      </c>
      <c r="G19" s="30" t="inlineStr">
        <is>
          <t>GLG - OPS - ENGKU</t>
        </is>
      </c>
      <c r="H19" s="30" t="inlineStr">
        <is>
          <t>LM</t>
        </is>
      </c>
      <c r="I19" s="30" t="inlineStr">
        <is>
          <t>Fake Fail</t>
        </is>
      </c>
      <c r="J19" s="30" t="inlineStr">
        <is>
          <t>no call log attach and no site photo for customer address</t>
        </is>
      </c>
      <c r="K19" s="30" t="inlineStr">
        <is>
          <t>zati</t>
        </is>
      </c>
    </row>
    <row r="20">
      <c r="A20" s="30" t="inlineStr">
        <is>
          <t>21/09/2026 10:45:18</t>
        </is>
      </c>
      <c r="B20" s="30" t="inlineStr">
        <is>
          <t>TESMX1549981438514819072</t>
        </is>
      </c>
      <c r="C20" s="30" t="inlineStr">
        <is>
          <t>266782640335</t>
        </is>
      </c>
      <c r="D20" s="30" t="inlineStr">
        <is>
          <t>91834761, 91842435 &amp; 91849708</t>
        </is>
      </c>
      <c r="E20" s="30" t="inlineStr">
        <is>
          <t>North West</t>
        </is>
      </c>
      <c r="F20" s="30" t="inlineStr">
        <is>
          <t>TPG</t>
        </is>
      </c>
      <c r="G20" s="30" t="inlineStr">
        <is>
          <t xml:space="preserve">TPG - HR - ROZAINI MUSA
</t>
        </is>
      </c>
      <c r="H20" s="30" t="inlineStr">
        <is>
          <t>LM</t>
        </is>
      </c>
      <c r="I20" s="30" t="inlineStr">
        <is>
          <t>Fake Fail</t>
        </is>
      </c>
      <c r="J20" s="30" t="inlineStr">
        <is>
          <t xml:space="preserve">Driver using copied POD, no number showed up. </t>
        </is>
      </c>
      <c r="K20" s="30" t="inlineStr">
        <is>
          <t>Syak</t>
        </is>
      </c>
    </row>
    <row r="21">
      <c r="A21" s="30" t="inlineStr">
        <is>
          <t>21/09/2026 10:47:36</t>
        </is>
      </c>
      <c r="B21" s="30" t="inlineStr">
        <is>
          <t>ZRP859473225359</t>
        </is>
      </c>
      <c r="C21" s="30" t="inlineStr">
        <is>
          <t>262282626023</t>
        </is>
      </c>
      <c r="D21" s="30" t="inlineStr">
        <is>
          <t>91835496</t>
        </is>
      </c>
      <c r="E21" s="30" t="inlineStr">
        <is>
          <t>KV</t>
        </is>
      </c>
      <c r="F21" s="30" t="inlineStr">
        <is>
          <t xml:space="preserve">OUG </t>
        </is>
      </c>
      <c r="G21" s="30" t="inlineStr">
        <is>
          <t>OUG - ID - NASRUL FIKRI</t>
        </is>
      </c>
      <c r="H21" s="30" t="inlineStr">
        <is>
          <t>LM</t>
        </is>
      </c>
      <c r="I21" s="30" t="inlineStr">
        <is>
          <t>Failed pick-up</t>
        </is>
      </c>
      <c r="J21" s="30" t="inlineStr">
        <is>
          <t xml:space="preserve">RPU parcel and pickup failed on 18/9. driver not call the customer. </t>
        </is>
      </c>
      <c r="K21" s="30" t="inlineStr">
        <is>
          <t>zati</t>
        </is>
      </c>
    </row>
    <row r="22">
      <c r="A22" s="30" t="inlineStr">
        <is>
          <t>21/09/2026 10:50:04</t>
        </is>
      </c>
      <c r="B22" s="30" t="inlineStr">
        <is>
          <t>NVMYPSITI000008262</t>
        </is>
      </c>
      <c r="C22" s="30" t="inlineStr">
        <is>
          <t>263192628067</t>
        </is>
      </c>
      <c r="D22" s="30" t="inlineStr">
        <is>
          <t>91833111</t>
        </is>
      </c>
      <c r="E22" s="30" t="inlineStr">
        <is>
          <t>North East</t>
        </is>
      </c>
      <c r="F22" s="30" t="inlineStr">
        <is>
          <t>CHU</t>
        </is>
      </c>
      <c r="G22" s="30" t="inlineStr">
        <is>
          <t xml:space="preserve">
Mohammad Abdullah</t>
        </is>
      </c>
      <c r="H22" s="30" t="inlineStr">
        <is>
          <t>LM</t>
        </is>
      </c>
      <c r="I22" s="30" t="inlineStr">
        <is>
          <t>Pull Out Route (POR)</t>
        </is>
      </c>
      <c r="J22" s="30" t="inlineStr">
        <is>
          <t>PULL OUT OF ROUTE by Mohammad Abdullah on 2026-09-19 08:30:11</t>
        </is>
      </c>
      <c r="K22" s="30" t="inlineStr">
        <is>
          <t>Zati</t>
        </is>
      </c>
    </row>
    <row r="23">
      <c r="A23" s="30" t="inlineStr">
        <is>
          <t>21/09/2026 10:55:51</t>
        </is>
      </c>
      <c r="B23" s="30" t="inlineStr">
        <is>
          <t>NVMYMZ0N3000028117</t>
        </is>
      </c>
      <c r="C23" s="30" t="inlineStr">
        <is>
          <t>269032647217</t>
        </is>
      </c>
      <c r="D23" s="30" t="inlineStr">
        <is>
          <t>91851654</t>
        </is>
      </c>
      <c r="E23" s="30" t="inlineStr">
        <is>
          <t>KV</t>
        </is>
      </c>
      <c r="F23" s="30" t="inlineStr">
        <is>
          <t>OUG</t>
        </is>
      </c>
      <c r="G23" s="30" t="inlineStr">
        <is>
          <t xml:space="preserve">OUG - ID - MUHAMAR
</t>
        </is>
      </c>
      <c r="H23" s="30" t="inlineStr">
        <is>
          <t>LM</t>
        </is>
      </c>
      <c r="I23" s="30" t="inlineStr">
        <is>
          <t>Parcel Dumping</t>
        </is>
      </c>
      <c r="J23" s="30" t="inlineStr">
        <is>
          <t>Driver not notifying cust after delivered the parcel</t>
        </is>
      </c>
      <c r="K23" s="30" t="inlineStr">
        <is>
          <t>Syak</t>
        </is>
      </c>
    </row>
    <row r="24">
      <c r="A24" s="30" t="inlineStr">
        <is>
          <t>21/09/2026 10:57:11</t>
        </is>
      </c>
      <c r="B24" s="30" t="inlineStr">
        <is>
          <t>ZNV253317945-1886</t>
        </is>
      </c>
      <c r="C24" s="30" t="inlineStr">
        <is>
          <t>263702637111</t>
        </is>
      </c>
      <c r="D24" s="30" t="inlineStr">
        <is>
          <t>91824410</t>
        </is>
      </c>
      <c r="E24" s="30" t="inlineStr">
        <is>
          <t>Northern</t>
        </is>
      </c>
      <c r="F24" s="30" t="inlineStr">
        <is>
          <t xml:space="preserve">PSN </t>
        </is>
      </c>
      <c r="G24" s="30" t="inlineStr">
        <is>
          <t>PSN - ID - NOOR AZZAMIRA</t>
        </is>
      </c>
      <c r="H24" s="30" t="inlineStr">
        <is>
          <t>LM</t>
        </is>
      </c>
      <c r="I24" s="30" t="inlineStr">
        <is>
          <t>Fake Fail</t>
        </is>
      </c>
      <c r="J24" s="30" t="inlineStr">
        <is>
          <t xml:space="preserve">invalid site photo , cannot classified this is the correct house  </t>
        </is>
      </c>
      <c r="K24" s="30" t="inlineStr">
        <is>
          <t xml:space="preserve">Yana </t>
        </is>
      </c>
    </row>
    <row r="25">
      <c r="A25" s="30" t="inlineStr">
        <is>
          <t>21/09/2026 11:02:26</t>
        </is>
      </c>
      <c r="B25" s="30" t="inlineStr">
        <is>
          <t>ZRP859373225311</t>
        </is>
      </c>
      <c r="C25" s="30" t="inlineStr">
        <is>
          <t>269352622436</t>
        </is>
      </c>
      <c r="D25" s="30" t="inlineStr">
        <is>
          <t>91833914
91842995</t>
        </is>
      </c>
      <c r="E25" s="30" t="inlineStr">
        <is>
          <t>Northern</t>
        </is>
      </c>
      <c r="F25" s="30" t="inlineStr">
        <is>
          <t xml:space="preserve"> GEO  </t>
        </is>
      </c>
      <c r="G25" s="30" t="inlineStr">
        <is>
          <t xml:space="preserve">
GEO - MES - ANWAR</t>
        </is>
      </c>
      <c r="H25" s="30" t="inlineStr">
        <is>
          <t>LM</t>
        </is>
      </c>
      <c r="I25" s="30" t="inlineStr">
        <is>
          <t>Failed pick-up</t>
        </is>
      </c>
      <c r="J25" s="30" t="inlineStr">
        <is>
          <t xml:space="preserve">no location address attach by driver </t>
        </is>
      </c>
      <c r="K25" s="30" t="inlineStr">
        <is>
          <t>zati</t>
        </is>
      </c>
    </row>
    <row r="26">
      <c r="A26" s="30" t="inlineStr">
        <is>
          <t>21/09/2026 17:38:45</t>
        </is>
      </c>
      <c r="B26" s="30" t="inlineStr">
        <is>
          <t>NVMYBPXPD000001853</t>
        </is>
      </c>
      <c r="C26" s="30" t="inlineStr">
        <is>
          <t>268322646459</t>
        </is>
      </c>
      <c r="D26" s="30" t="inlineStr">
        <is>
          <t>91824387</t>
        </is>
      </c>
      <c r="E26" s="30" t="inlineStr">
        <is>
          <t>Southern</t>
        </is>
      </c>
      <c r="F26" s="30" t="inlineStr">
        <is>
          <t xml:space="preserve">TRM </t>
        </is>
      </c>
      <c r="G26" s="30" t="inlineStr">
        <is>
          <t>TRM - OPS - ULU TIRAM</t>
        </is>
      </c>
      <c r="H26" s="30" t="inlineStr">
        <is>
          <t>LM</t>
        </is>
      </c>
      <c r="I26" s="30" t="inlineStr">
        <is>
          <t>Fake Fail</t>
        </is>
      </c>
      <c r="J26" s="30" t="inlineStr">
        <is>
          <t xml:space="preserve">Wrong contact number in the POD </t>
        </is>
      </c>
      <c r="K26" s="30" t="inlineStr">
        <is>
          <t>Daus</t>
        </is>
      </c>
    </row>
    <row r="27">
      <c r="A27" s="30" t="inlineStr">
        <is>
          <t>21/09/2026 11:04:39</t>
        </is>
      </c>
      <c r="B27" s="30" t="inlineStr">
        <is>
          <t>ZNV946823440-8240-BKS</t>
        </is>
      </c>
      <c r="C27" s="30" t="inlineStr">
        <is>
          <t>260352624803</t>
        </is>
      </c>
      <c r="D27" s="30" t="inlineStr">
        <is>
          <t>91844859</t>
        </is>
      </c>
      <c r="E27" s="30" t="inlineStr">
        <is>
          <t>Southern</t>
        </is>
      </c>
      <c r="F27" s="30" t="inlineStr">
        <is>
          <t>NSJ</t>
        </is>
      </c>
      <c r="G27" s="30" t="inlineStr">
        <is>
          <t>OPS - NSJ</t>
        </is>
      </c>
      <c r="H27" s="30" t="inlineStr">
        <is>
          <t>LM</t>
        </is>
      </c>
      <c r="I27" s="30" t="inlineStr">
        <is>
          <t>Fake Fail</t>
        </is>
      </c>
      <c r="J27" s="30" t="inlineStr">
        <is>
          <t>no call log attach and pod is invalid</t>
        </is>
      </c>
      <c r="K27" s="30" t="inlineStr">
        <is>
          <t>zati</t>
        </is>
      </c>
    </row>
    <row r="28">
      <c r="A28" s="30" t="inlineStr">
        <is>
          <t>21/09/2026 11:07:31</t>
        </is>
      </c>
      <c r="B28" s="30" t="inlineStr">
        <is>
          <t>ZMYITJ6MMPDS-2777789</t>
        </is>
      </c>
      <c r="C28" s="30" t="inlineStr">
        <is>
          <t>265032622937</t>
        </is>
      </c>
      <c r="D28" s="30" t="inlineStr">
        <is>
          <t>91836449</t>
        </is>
      </c>
      <c r="E28" s="30" t="inlineStr">
        <is>
          <t>KV</t>
        </is>
      </c>
      <c r="F28" s="30" t="inlineStr">
        <is>
          <t>OUG</t>
        </is>
      </c>
      <c r="G28" s="30" t="inlineStr">
        <is>
          <t>OPS - OUG</t>
        </is>
      </c>
      <c r="H28" s="30" t="inlineStr">
        <is>
          <t>LM</t>
        </is>
      </c>
      <c r="I28" s="30" t="inlineStr">
        <is>
          <t>Fake Fail</t>
        </is>
      </c>
      <c r="J28" s="30" t="inlineStr">
        <is>
          <t xml:space="preserve">Call log attach not show customer contact number </t>
        </is>
      </c>
      <c r="K28" s="30" t="inlineStr">
        <is>
          <t>zati</t>
        </is>
      </c>
    </row>
    <row r="29">
      <c r="A29" s="30" t="inlineStr">
        <is>
          <t>21/09/2026 11:09:24</t>
        </is>
      </c>
      <c r="B29" s="30" t="inlineStr">
        <is>
          <t>ZNV946832382-8599</t>
        </is>
      </c>
      <c r="C29" s="30" t="inlineStr">
        <is>
          <t>268002630146</t>
        </is>
      </c>
      <c r="D29" s="30" t="inlineStr">
        <is>
          <t>91844986</t>
        </is>
      </c>
      <c r="E29" s="30" t="inlineStr">
        <is>
          <t>KV</t>
        </is>
      </c>
      <c r="F29" s="30" t="inlineStr">
        <is>
          <t>DSA</t>
        </is>
      </c>
      <c r="G29" s="30" t="inlineStr">
        <is>
          <t>OPS - DSA</t>
        </is>
      </c>
      <c r="H29" s="30" t="inlineStr">
        <is>
          <t>LM</t>
        </is>
      </c>
      <c r="I29" s="30" t="inlineStr">
        <is>
          <t>Fake Fail</t>
        </is>
      </c>
      <c r="J29" s="30" t="inlineStr">
        <is>
          <t xml:space="preserve">invalid POD, failed under ops </t>
        </is>
      </c>
      <c r="K29" s="30" t="inlineStr">
        <is>
          <t xml:space="preserve">Yana </t>
        </is>
      </c>
    </row>
    <row r="30">
      <c r="A30" s="30" t="inlineStr">
        <is>
          <t>21/09/2026 11:10:04</t>
        </is>
      </c>
      <c r="B30" s="30" t="inlineStr">
        <is>
          <t>TNGDV2609136945139660</t>
        </is>
      </c>
      <c r="C30" s="30" t="inlineStr">
        <is>
          <t>264052642446</t>
        </is>
      </c>
      <c r="D30" s="30" t="inlineStr">
        <is>
          <t>91836515</t>
        </is>
      </c>
      <c r="E30" s="30" t="inlineStr">
        <is>
          <t>KV</t>
        </is>
      </c>
      <c r="F30" s="30" t="inlineStr">
        <is>
          <t>SHM</t>
        </is>
      </c>
      <c r="G30" s="30" t="inlineStr">
        <is>
          <t>OPS - SHM</t>
        </is>
      </c>
      <c r="H30" s="30" t="inlineStr">
        <is>
          <t>LM</t>
        </is>
      </c>
      <c r="I30" s="30" t="inlineStr">
        <is>
          <t>Fake Fail</t>
        </is>
      </c>
      <c r="J30" s="30" t="inlineStr">
        <is>
          <t xml:space="preserve">no call log attach and pod is invalid </t>
        </is>
      </c>
      <c r="K30" s="30" t="inlineStr">
        <is>
          <t>zati</t>
        </is>
      </c>
    </row>
    <row r="31">
      <c r="A31" s="30" t="inlineStr">
        <is>
          <t>21/09/2026 11:12:15</t>
        </is>
      </c>
      <c r="B31" s="30" t="inlineStr">
        <is>
          <t>NVMYHILAL00HL23336</t>
        </is>
      </c>
      <c r="C31" s="30" t="inlineStr">
        <is>
          <t>267652647673</t>
        </is>
      </c>
      <c r="D31" s="30" t="inlineStr">
        <is>
          <t>91848706</t>
        </is>
      </c>
      <c r="E31" s="30" t="inlineStr">
        <is>
          <t>KV</t>
        </is>
      </c>
      <c r="F31" s="30" t="inlineStr">
        <is>
          <t xml:space="preserve">SHA </t>
        </is>
      </c>
      <c r="G31" s="30" t="inlineStr">
        <is>
          <t>SHA - OPS - SHA</t>
        </is>
      </c>
      <c r="H31" s="30" t="inlineStr">
        <is>
          <t>LM</t>
        </is>
      </c>
      <c r="I31" s="30" t="inlineStr">
        <is>
          <t>Fake Fail</t>
        </is>
      </c>
      <c r="J31" s="30" t="inlineStr">
        <is>
          <t xml:space="preserve">call log attach is not belong to customer </t>
        </is>
      </c>
      <c r="K31" s="30" t="inlineStr">
        <is>
          <t>zati</t>
        </is>
      </c>
    </row>
    <row r="32">
      <c r="A32" s="30" t="inlineStr">
        <is>
          <t>21/09/2026 11:15:34</t>
        </is>
      </c>
      <c r="B32" s="30" t="inlineStr">
        <is>
          <t>NLMYWA04659534</t>
        </is>
      </c>
      <c r="C32" s="30" t="inlineStr">
        <is>
          <t>263882645868</t>
        </is>
      </c>
      <c r="D32" s="30" t="inlineStr">
        <is>
          <t>91847382</t>
        </is>
      </c>
      <c r="E32" s="30" t="inlineStr">
        <is>
          <t>KV</t>
        </is>
      </c>
      <c r="F32" s="30" t="inlineStr">
        <is>
          <t>BTR</t>
        </is>
      </c>
      <c r="G32" s="30" t="inlineStr">
        <is>
          <t>Norman Razak</t>
        </is>
      </c>
      <c r="H32" s="30" t="inlineStr">
        <is>
          <t>LM</t>
        </is>
      </c>
      <c r="I32" s="30" t="inlineStr">
        <is>
          <t>Pull Out Route (POR)</t>
        </is>
      </c>
      <c r="J32" s="30" t="inlineStr">
        <is>
          <t>PULL OUT OF ROUTE by Norman Razak on 2026-09-20 23:40:50</t>
        </is>
      </c>
      <c r="K32" s="30" t="inlineStr">
        <is>
          <t>zati</t>
        </is>
      </c>
    </row>
    <row r="33">
      <c r="A33" s="30" t="inlineStr">
        <is>
          <t>21/09/2026 11:23:19</t>
        </is>
      </c>
      <c r="B33" s="30" t="inlineStr">
        <is>
          <t>NVMYKILATWK0076807</t>
        </is>
      </c>
      <c r="C33" s="30" t="inlineStr">
        <is>
          <t>260612649160</t>
        </is>
      </c>
      <c r="D33" s="30" t="inlineStr">
        <is>
          <t>91845093</t>
        </is>
      </c>
      <c r="E33" s="30" t="inlineStr">
        <is>
          <t>Southern</t>
        </is>
      </c>
      <c r="F33" s="30" t="inlineStr">
        <is>
          <t>LKN</t>
        </is>
      </c>
      <c r="G33" s="30" t="inlineStr">
        <is>
          <t>Hanzholah Hasani</t>
        </is>
      </c>
      <c r="H33" s="30" t="inlineStr">
        <is>
          <t>LM</t>
        </is>
      </c>
      <c r="I33" s="30" t="inlineStr">
        <is>
          <t>Pull Out Route (POR)</t>
        </is>
      </c>
      <c r="J33" s="30" t="inlineStr">
        <is>
          <t>PULL OUT OF ROUTE by Hanzholah Hasani on 2026-09-20 10:15:01</t>
        </is>
      </c>
      <c r="K33" s="30" t="inlineStr">
        <is>
          <t>Zati</t>
        </is>
      </c>
    </row>
    <row r="34">
      <c r="A34" s="30" t="inlineStr">
        <is>
          <t>21/09/2026 11:26:42</t>
        </is>
      </c>
      <c r="B34" s="30" t="inlineStr">
        <is>
          <t>AMNV005963959</t>
        </is>
      </c>
      <c r="C34" s="30" t="inlineStr">
        <is>
          <t>269502643639</t>
        </is>
      </c>
      <c r="D34" s="30" t="inlineStr">
        <is>
          <t>91844628</t>
        </is>
      </c>
      <c r="E34" s="30" t="inlineStr">
        <is>
          <t>Northern</t>
        </is>
      </c>
      <c r="F34" s="30" t="inlineStr">
        <is>
          <t xml:space="preserve">AOR </t>
        </is>
      </c>
      <c r="G34" s="30" t="inlineStr">
        <is>
          <t>AOR - FM - Ihsan Rashid</t>
        </is>
      </c>
      <c r="H34" s="30" t="inlineStr">
        <is>
          <t>LM</t>
        </is>
      </c>
      <c r="I34" s="30" t="inlineStr">
        <is>
          <t>Fake Fail</t>
        </is>
      </c>
      <c r="J34" s="30" t="inlineStr">
        <is>
          <t>Invalid POD</t>
        </is>
      </c>
      <c r="K34" s="30" t="inlineStr">
        <is>
          <t xml:space="preserve">Naveen </t>
        </is>
      </c>
    </row>
    <row r="35">
      <c r="A35" s="30" t="inlineStr">
        <is>
          <t>21/09/2026 11:31:09</t>
        </is>
      </c>
      <c r="B35" s="30" t="inlineStr">
        <is>
          <t>ADI111550482187476107264</t>
        </is>
      </c>
      <c r="C35" s="30" t="inlineStr">
        <is>
          <t>260452642580</t>
        </is>
      </c>
      <c r="D35" s="30" t="inlineStr">
        <is>
          <t>91848706</t>
        </is>
      </c>
      <c r="E35" s="30" t="inlineStr">
        <is>
          <t>KV</t>
        </is>
      </c>
      <c r="F35" s="30" t="inlineStr">
        <is>
          <t xml:space="preserve">SHA  </t>
        </is>
      </c>
      <c r="G35" s="30" t="inlineStr">
        <is>
          <t>SHA - OPS - SHA</t>
        </is>
      </c>
      <c r="H35" s="30" t="inlineStr">
        <is>
          <t>LM</t>
        </is>
      </c>
      <c r="I35" s="30" t="inlineStr">
        <is>
          <t>Fake Fail</t>
        </is>
      </c>
      <c r="J35" s="30" t="inlineStr">
        <is>
          <t xml:space="preserve">driver attach wrong call log not belong customer </t>
        </is>
      </c>
      <c r="K35" s="30" t="inlineStr">
        <is>
          <t>zati</t>
        </is>
      </c>
    </row>
    <row r="36">
      <c r="A36" s="30" t="inlineStr">
        <is>
          <t>21/09/2026 11:32:09</t>
        </is>
      </c>
      <c r="B36" s="30" t="inlineStr">
        <is>
          <t xml:space="preserve">MAILB1549313460283060224
</t>
        </is>
      </c>
      <c r="C36" s="30" t="inlineStr">
        <is>
          <t>265662644805</t>
        </is>
      </c>
      <c r="D36" s="30" t="inlineStr">
        <is>
          <t>91836491</t>
        </is>
      </c>
      <c r="E36" s="30" t="inlineStr">
        <is>
          <t>KV</t>
        </is>
      </c>
      <c r="F36" s="30" t="inlineStr">
        <is>
          <t>STL</t>
        </is>
      </c>
      <c r="G36" s="30" t="inlineStr">
        <is>
          <t>Najib Halif</t>
        </is>
      </c>
      <c r="H36" s="30" t="inlineStr">
        <is>
          <t>LM</t>
        </is>
      </c>
      <c r="I36" s="30" t="inlineStr">
        <is>
          <t>Pull Out Route (POR)</t>
        </is>
      </c>
      <c r="J36" s="30" t="inlineStr">
        <is>
          <t>DRIVER INBOUND SCAN &gt; 2026-09-18 17:36:40
PULL OUT OF ROUTE &gt; 2026-09-21 08:53:44</t>
        </is>
      </c>
      <c r="K36" s="30" t="inlineStr">
        <is>
          <t>Naveen</t>
        </is>
      </c>
    </row>
    <row r="37">
      <c r="A37" s="30" t="inlineStr">
        <is>
          <t>21/09/2026 11:33:34</t>
        </is>
      </c>
      <c r="B37" s="30" t="inlineStr">
        <is>
          <t>TAIN1546068998241939456</t>
        </is>
      </c>
      <c r="C37" s="30" t="inlineStr">
        <is>
          <t>265572649548</t>
        </is>
      </c>
      <c r="D37" s="30" t="inlineStr">
        <is>
          <t>91836653</t>
        </is>
      </c>
      <c r="E37" s="30" t="inlineStr">
        <is>
          <t>Northern</t>
        </is>
      </c>
      <c r="F37" s="30" t="inlineStr">
        <is>
          <t xml:space="preserve">BTS </t>
        </is>
      </c>
      <c r="G37" s="30" t="inlineStr">
        <is>
          <t xml:space="preserve">
BTS - OPS - PENAGA</t>
        </is>
      </c>
      <c r="H37" s="30" t="inlineStr">
        <is>
          <t>LM</t>
        </is>
      </c>
      <c r="I37" s="30" t="inlineStr">
        <is>
          <t>Fake Fail</t>
        </is>
      </c>
      <c r="J37" s="30" t="inlineStr">
        <is>
          <t>driver contact different number</t>
        </is>
      </c>
      <c r="K37" s="30" t="inlineStr">
        <is>
          <t>Hartini</t>
        </is>
      </c>
    </row>
    <row r="38">
      <c r="A38" s="30" t="inlineStr">
        <is>
          <t>21/09/2026 11:35:12</t>
        </is>
      </c>
      <c r="B38" s="30" t="inlineStr">
        <is>
          <t>NVMYTNAMR000000532</t>
        </is>
      </c>
      <c r="C38" s="30" t="inlineStr">
        <is>
          <t>260362647323</t>
        </is>
      </c>
      <c r="D38" s="30" t="inlineStr">
        <is>
          <t>91843077</t>
        </is>
      </c>
      <c r="E38" s="30" t="inlineStr">
        <is>
          <t>Southern</t>
        </is>
      </c>
      <c r="F38" s="30" t="inlineStr">
        <is>
          <t xml:space="preserve">HTM </t>
        </is>
      </c>
      <c r="G38" s="30" t="inlineStr">
        <is>
          <t xml:space="preserve">HTM - ID - OPS
</t>
        </is>
      </c>
      <c r="H38" s="30" t="inlineStr">
        <is>
          <t>LM</t>
        </is>
      </c>
      <c r="I38" s="30" t="inlineStr">
        <is>
          <t>Fake Fail</t>
        </is>
      </c>
      <c r="J38" s="30" t="inlineStr">
        <is>
          <t xml:space="preserve">Cust claim pod is not cust place
</t>
        </is>
      </c>
      <c r="K38" s="30" t="inlineStr">
        <is>
          <t>Naveen</t>
        </is>
      </c>
    </row>
    <row r="39">
      <c r="A39" s="30" t="inlineStr">
        <is>
          <t>21/09/2026 11:41:39</t>
        </is>
      </c>
      <c r="B39" s="30" t="inlineStr">
        <is>
          <t>MOOK1550361206561648640</t>
        </is>
      </c>
      <c r="C39" s="30" t="inlineStr">
        <is>
          <t>263382649683</t>
        </is>
      </c>
      <c r="D39" s="30" t="inlineStr">
        <is>
          <t>91841281
91849300</t>
        </is>
      </c>
      <c r="E39" s="30" t="inlineStr">
        <is>
          <t>Northern</t>
        </is>
      </c>
      <c r="F39" s="30" t="inlineStr">
        <is>
          <t xml:space="preserve">KLM  </t>
        </is>
      </c>
      <c r="G39" s="30" t="inlineStr">
        <is>
          <t>KLM - ID - HAFIZI HABIBON
KLM - ID - ONG WEI</t>
        </is>
      </c>
      <c r="H39" s="30" t="inlineStr">
        <is>
          <t>LM</t>
        </is>
      </c>
      <c r="I39" s="30" t="inlineStr">
        <is>
          <t>Fake Fail</t>
        </is>
      </c>
      <c r="J39" s="30" t="inlineStr">
        <is>
          <t xml:space="preserve">driver attach wrong location and not customer house </t>
        </is>
      </c>
      <c r="K39" s="30" t="inlineStr">
        <is>
          <t>zati</t>
        </is>
      </c>
    </row>
    <row r="40">
      <c r="A40" s="30" t="inlineStr">
        <is>
          <t>21/09/2026 11:44:33</t>
        </is>
      </c>
      <c r="B40" s="30" t="inlineStr">
        <is>
          <t>MYNJV70045865378 / MYNJV70035605218</t>
        </is>
      </c>
      <c r="C40" s="30" t="inlineStr">
        <is>
          <t>265422646611</t>
        </is>
      </c>
      <c r="D40" s="30" t="inlineStr">
        <is>
          <t>91826821</t>
        </is>
      </c>
      <c r="E40" s="30" t="inlineStr">
        <is>
          <t>KV</t>
        </is>
      </c>
      <c r="F40" s="30" t="inlineStr">
        <is>
          <t xml:space="preserve">SHA </t>
        </is>
      </c>
      <c r="G40" s="30" t="inlineStr">
        <is>
          <t>SHA - OPS - SHA</t>
        </is>
      </c>
      <c r="H40" s="30" t="inlineStr">
        <is>
          <t>LM</t>
        </is>
      </c>
      <c r="I40" s="30" t="inlineStr">
        <is>
          <t>Fake Fail</t>
        </is>
      </c>
      <c r="J40" s="30" t="inlineStr">
        <is>
          <t>POD invalid</t>
        </is>
      </c>
      <c r="K40" s="30" t="inlineStr">
        <is>
          <t>Naveen</t>
        </is>
      </c>
    </row>
    <row r="41">
      <c r="A41" s="30" t="inlineStr">
        <is>
          <t>21/09/2026 11:52:37</t>
        </is>
      </c>
      <c r="B41" s="30" t="inlineStr">
        <is>
          <t>NVMYNINJA002510859</t>
        </is>
      </c>
      <c r="C41" s="30" t="inlineStr">
        <is>
          <t>260812644722</t>
        </is>
      </c>
      <c r="D41" s="30" t="inlineStr">
        <is>
          <t>91851544</t>
        </is>
      </c>
      <c r="E41" s="30" t="inlineStr">
        <is>
          <t>North West</t>
        </is>
      </c>
      <c r="F41" s="30" t="inlineStr">
        <is>
          <t>BAG</t>
        </is>
      </c>
      <c r="G41" s="30" t="inlineStr">
        <is>
          <t>Adam Haris</t>
        </is>
      </c>
      <c r="H41" s="30" t="inlineStr">
        <is>
          <t>LM</t>
        </is>
      </c>
      <c r="I41" s="30" t="inlineStr">
        <is>
          <t>Pull Out Route (POR)</t>
        </is>
      </c>
      <c r="J41" s="30" t="inlineStr">
        <is>
          <t>PULL OUT OF ROUTE by Adam Haris on 2026-09-21 09:21:55</t>
        </is>
      </c>
      <c r="K41" s="30" t="inlineStr">
        <is>
          <t>zati</t>
        </is>
      </c>
    </row>
    <row r="42">
      <c r="A42" s="30" t="inlineStr">
        <is>
          <t>21/09/2026 11:53:22</t>
        </is>
      </c>
      <c r="B42" s="30" t="inlineStr">
        <is>
          <t>NVMYSOUPE000000919</t>
        </is>
      </c>
      <c r="C42" s="30" t="inlineStr">
        <is>
          <t>268792648241</t>
        </is>
      </c>
      <c r="D42" s="30" t="inlineStr">
        <is>
          <t>91844986</t>
        </is>
      </c>
      <c r="E42" s="30" t="inlineStr">
        <is>
          <t>KV</t>
        </is>
      </c>
      <c r="F42" s="30" t="inlineStr">
        <is>
          <t>DSA</t>
        </is>
      </c>
      <c r="G42" s="30" t="inlineStr">
        <is>
          <t>OPS - DSA</t>
        </is>
      </c>
      <c r="H42" s="30" t="inlineStr">
        <is>
          <t>LM</t>
        </is>
      </c>
      <c r="I42" s="30" t="inlineStr">
        <is>
          <t>Fake Fail</t>
        </is>
      </c>
      <c r="J42" s="30" t="inlineStr">
        <is>
          <t>no call log, invalid location pod</t>
        </is>
      </c>
      <c r="K42" s="30" t="inlineStr">
        <is>
          <t xml:space="preserve">Ninja Hadif </t>
        </is>
      </c>
    </row>
    <row r="43">
      <c r="A43" s="30" t="inlineStr">
        <is>
          <t>21/09/2026 11:54:51</t>
        </is>
      </c>
      <c r="B43" s="30" t="inlineStr">
        <is>
          <t>AEMYA000630786</t>
        </is>
      </c>
      <c r="C43" s="30" t="inlineStr">
        <is>
          <t>266462642254</t>
        </is>
      </c>
      <c r="D43" s="30" t="inlineStr">
        <is>
          <t>91845014</t>
        </is>
      </c>
      <c r="E43" s="30" t="inlineStr">
        <is>
          <t>KV</t>
        </is>
      </c>
      <c r="F43" s="30" t="inlineStr">
        <is>
          <t>OUG</t>
        </is>
      </c>
      <c r="G43" s="30" t="inlineStr">
        <is>
          <t>OPS - OUG</t>
        </is>
      </c>
      <c r="H43" s="30" t="inlineStr">
        <is>
          <t>LM</t>
        </is>
      </c>
      <c r="I43" s="30" t="inlineStr">
        <is>
          <t>Fake Fail</t>
        </is>
      </c>
      <c r="J43" s="30" t="inlineStr">
        <is>
          <t>invalid POD</t>
        </is>
      </c>
      <c r="K43" s="30" t="inlineStr">
        <is>
          <t>Naveen</t>
        </is>
      </c>
    </row>
    <row r="44">
      <c r="A44" s="30" t="inlineStr">
        <is>
          <t>21/09/2026 11:55:59</t>
        </is>
      </c>
      <c r="B44" s="30" t="inlineStr">
        <is>
          <t>NVMYHNMHN00316406S</t>
        </is>
      </c>
      <c r="C44" s="30" t="inlineStr">
        <is>
          <t>265082648089</t>
        </is>
      </c>
      <c r="D44" s="30" t="inlineStr">
        <is>
          <t>91851750</t>
        </is>
      </c>
      <c r="E44" s="30" t="inlineStr">
        <is>
          <t>KV</t>
        </is>
      </c>
      <c r="F44" s="30" t="inlineStr">
        <is>
          <t>RBY</t>
        </is>
      </c>
      <c r="G44" s="30" t="inlineStr">
        <is>
          <t>OPS - NAIM FIKRI</t>
        </is>
      </c>
      <c r="H44" s="30" t="inlineStr">
        <is>
          <t>LM</t>
        </is>
      </c>
      <c r="I44" s="30" t="inlineStr">
        <is>
          <t>Fake Fail</t>
        </is>
      </c>
      <c r="J44" s="30" t="inlineStr">
        <is>
          <t xml:space="preserve">driver attach wrong call log not belong to customer </t>
        </is>
      </c>
      <c r="K44" s="30" t="inlineStr">
        <is>
          <t>zati</t>
        </is>
      </c>
    </row>
    <row r="45">
      <c r="A45" s="30" t="inlineStr">
        <is>
          <t>21/09/2026 11:58:11</t>
        </is>
      </c>
      <c r="B45" s="30" t="inlineStr">
        <is>
          <t>NVMYKQURN000013676</t>
        </is>
      </c>
      <c r="C45" s="30" t="inlineStr">
        <is>
          <t>265702648865</t>
        </is>
      </c>
      <c r="D45" s="30" t="inlineStr">
        <is>
          <t>91845196</t>
        </is>
      </c>
      <c r="E45" s="30" t="inlineStr">
        <is>
          <t>Northern</t>
        </is>
      </c>
      <c r="F45" s="30" t="inlineStr">
        <is>
          <t xml:space="preserve">JIT </t>
        </is>
      </c>
      <c r="G45" s="30" t="inlineStr">
        <is>
          <t>JIT - OPS - HUBJITRA</t>
        </is>
      </c>
      <c r="H45" s="30" t="inlineStr">
        <is>
          <t>LM</t>
        </is>
      </c>
      <c r="I45" s="30" t="inlineStr">
        <is>
          <t>Fake Fail</t>
        </is>
      </c>
      <c r="J45" s="30" t="inlineStr">
        <is>
          <t>invalid call provided for failed delivery reason</t>
        </is>
      </c>
      <c r="K45" s="30" t="inlineStr">
        <is>
          <t>AIMENN  AIYAD</t>
        </is>
      </c>
    </row>
    <row r="46">
      <c r="A46" s="30" t="inlineStr">
        <is>
          <t>21/09/2026 12:00:19</t>
        </is>
      </c>
      <c r="B46" s="30" t="inlineStr">
        <is>
          <t>ESHP003312074</t>
        </is>
      </c>
      <c r="C46" s="30" t="inlineStr">
        <is>
          <t>260872647805</t>
        </is>
      </c>
      <c r="D46" s="30" t="inlineStr">
        <is>
          <t>91844986</t>
        </is>
      </c>
      <c r="E46" s="30" t="inlineStr">
        <is>
          <t>KV</t>
        </is>
      </c>
      <c r="F46" s="30" t="inlineStr">
        <is>
          <t>DSA</t>
        </is>
      </c>
      <c r="G46" s="30" t="inlineStr">
        <is>
          <t>OPS - DSA</t>
        </is>
      </c>
      <c r="H46" s="30" t="inlineStr">
        <is>
          <t>LM</t>
        </is>
      </c>
      <c r="I46" s="30" t="inlineStr">
        <is>
          <t>Fake Fail</t>
        </is>
      </c>
      <c r="J46" s="30" t="inlineStr">
        <is>
          <t>fail by OPS. invalid POD no call log provided</t>
        </is>
      </c>
      <c r="K46" s="30" t="inlineStr">
        <is>
          <t>AIMENN AIYAD</t>
        </is>
      </c>
    </row>
    <row r="47">
      <c r="A47" s="30" t="inlineStr">
        <is>
          <t>21/09/2026 12:01:41</t>
        </is>
      </c>
      <c r="B47" s="30" t="inlineStr">
        <is>
          <t>LSGMY5905428</t>
        </is>
      </c>
      <c r="C47" s="30" t="inlineStr">
        <is>
          <t>261342649595</t>
        </is>
      </c>
      <c r="D47" s="30" t="inlineStr">
        <is>
          <t>91844261</t>
        </is>
      </c>
      <c r="E47" s="30" t="inlineStr">
        <is>
          <t>KV</t>
        </is>
      </c>
      <c r="F47" s="30" t="inlineStr">
        <is>
          <t xml:space="preserve">KLG </t>
        </is>
      </c>
      <c r="G47" s="30" t="inlineStr">
        <is>
          <t>KLG -OPS -MUZAFFAR</t>
        </is>
      </c>
      <c r="H47" s="30" t="inlineStr">
        <is>
          <t>LM</t>
        </is>
      </c>
      <c r="I47" s="30" t="inlineStr">
        <is>
          <t>Fake Fail</t>
        </is>
      </c>
      <c r="J47" s="30" t="inlineStr">
        <is>
          <t>driver attach invalid pod no call log attach and fake whasatpp</t>
        </is>
      </c>
      <c r="K47" s="30" t="inlineStr">
        <is>
          <t>zati</t>
        </is>
      </c>
    </row>
    <row r="48">
      <c r="A48" s="30" t="inlineStr">
        <is>
          <t>21/09/2026 12:02:18</t>
        </is>
      </c>
      <c r="B48" s="30" t="inlineStr">
        <is>
          <t>AEMYA000627832</t>
        </is>
      </c>
      <c r="C48" s="30" t="inlineStr">
        <is>
          <t>267052647992</t>
        </is>
      </c>
      <c r="D48" s="30" t="inlineStr">
        <is>
          <t>91832170</t>
        </is>
      </c>
      <c r="E48" s="30" t="inlineStr">
        <is>
          <t>KV</t>
        </is>
      </c>
      <c r="F48" s="30" t="inlineStr">
        <is>
          <t>PJY</t>
        </is>
      </c>
      <c r="G48" s="30" t="inlineStr">
        <is>
          <t>OPS - PJY</t>
        </is>
      </c>
      <c r="H48" s="30" t="inlineStr">
        <is>
          <t>LM</t>
        </is>
      </c>
      <c r="I48" s="30" t="inlineStr">
        <is>
          <t>Fake Fail</t>
        </is>
      </c>
      <c r="J48" s="30" t="inlineStr">
        <is>
          <t>fail by OPS. Invalid call log provided. Wrong number</t>
        </is>
      </c>
      <c r="K48" s="30" t="inlineStr">
        <is>
          <t>AIMENN AIYAD</t>
        </is>
      </c>
    </row>
    <row r="49">
      <c r="A49" s="30" t="inlineStr">
        <is>
          <t>21/09/2026 12:04:59</t>
        </is>
      </c>
      <c r="B49" s="30" t="inlineStr">
        <is>
          <t>AEMYA000627254</t>
        </is>
      </c>
      <c r="C49" s="30" t="inlineStr">
        <is>
          <t>263072641602</t>
        </is>
      </c>
      <c r="D49" s="30" t="inlineStr">
        <is>
          <t>91836278</t>
        </is>
      </c>
      <c r="E49" s="30" t="inlineStr">
        <is>
          <t>Southern</t>
        </is>
      </c>
      <c r="F49" s="30" t="inlineStr">
        <is>
          <t xml:space="preserve">GLG </t>
        </is>
      </c>
      <c r="G49" s="30" t="inlineStr">
        <is>
          <t>GLG - OPS - ENGKU</t>
        </is>
      </c>
      <c r="H49" s="30" t="inlineStr">
        <is>
          <t>LM</t>
        </is>
      </c>
      <c r="I49" s="30" t="inlineStr">
        <is>
          <t>Fake Fail</t>
        </is>
      </c>
      <c r="J49" s="30" t="inlineStr">
        <is>
          <t>no call upon failing. No call log provided</t>
        </is>
      </c>
      <c r="K49" s="30" t="inlineStr">
        <is>
          <t>AIMENN AIYAD</t>
        </is>
      </c>
    </row>
    <row r="50">
      <c r="A50" s="30" t="inlineStr">
        <is>
          <t>21/09/2026 12:13:20</t>
        </is>
      </c>
      <c r="B50" s="30" t="inlineStr">
        <is>
          <t>NVMYPZXMS000047975</t>
        </is>
      </c>
      <c r="C50" s="30" t="inlineStr">
        <is>
          <t>261352644965</t>
        </is>
      </c>
      <c r="D50" s="30" t="inlineStr">
        <is>
          <t>91826068 / 91842527</t>
        </is>
      </c>
      <c r="E50" s="30" t="inlineStr">
        <is>
          <t>Southern</t>
        </is>
      </c>
      <c r="F50" s="30" t="inlineStr">
        <is>
          <t>MAS</t>
        </is>
      </c>
      <c r="G50" s="30" t="inlineStr">
        <is>
          <t>MAS - ID - EZLYANA / MAS - ID - SALMA</t>
        </is>
      </c>
      <c r="H50" s="30" t="inlineStr">
        <is>
          <t>LM</t>
        </is>
      </c>
      <c r="I50" s="30" t="inlineStr">
        <is>
          <t>Fake Fail</t>
        </is>
      </c>
      <c r="J50" s="30" t="inlineStr">
        <is>
          <t xml:space="preserve">91826068 - invalid call log &amp; no dite photo 
91842527 - recycle POD on 18/9 </t>
        </is>
      </c>
      <c r="K50" s="30" t="inlineStr">
        <is>
          <t xml:space="preserve">Yana </t>
        </is>
      </c>
    </row>
    <row r="51">
      <c r="A51" s="30" t="inlineStr">
        <is>
          <t>21/09/2026 12:15:37</t>
        </is>
      </c>
      <c r="B51" s="30" t="inlineStr">
        <is>
          <t>TNGE126047263325076000</t>
        </is>
      </c>
      <c r="C51" s="30" t="inlineStr">
        <is>
          <t>268982649215</t>
        </is>
      </c>
      <c r="D51" s="30" t="inlineStr">
        <is>
          <t>91851659</t>
        </is>
      </c>
      <c r="E51" s="30" t="inlineStr">
        <is>
          <t>KV</t>
        </is>
      </c>
      <c r="F51" s="30" t="inlineStr">
        <is>
          <t>OUG</t>
        </is>
      </c>
      <c r="G51" s="30" t="inlineStr">
        <is>
          <t>OPS - OUG</t>
        </is>
      </c>
      <c r="H51" s="30" t="inlineStr">
        <is>
          <t>LM</t>
        </is>
      </c>
      <c r="I51" s="30" t="inlineStr">
        <is>
          <t>Fake Fail</t>
        </is>
      </c>
      <c r="J51" s="30" t="inlineStr">
        <is>
          <t xml:space="preserve">Fail by Ops - invalid call log provided </t>
        </is>
      </c>
      <c r="K51" s="30" t="inlineStr">
        <is>
          <t>AIMENN AIYAD</t>
        </is>
      </c>
    </row>
    <row r="52">
      <c r="A52" s="30" t="inlineStr">
        <is>
          <t>21/09/2026 12:15:40</t>
        </is>
      </c>
      <c r="B52" s="30" t="inlineStr">
        <is>
          <t>AJDHU1550037634185019392</t>
        </is>
      </c>
      <c r="C52" s="30" t="inlineStr">
        <is>
          <t>266692646505</t>
        </is>
      </c>
      <c r="D52" s="30" t="inlineStr">
        <is>
          <t>91838643</t>
        </is>
      </c>
      <c r="E52" s="30" t="inlineStr">
        <is>
          <t>KV</t>
        </is>
      </c>
      <c r="F52" s="30" t="inlineStr">
        <is>
          <t>KEP</t>
        </is>
      </c>
      <c r="G52" s="30" t="inlineStr">
        <is>
          <t>Fairuz Yaacob</t>
        </is>
      </c>
      <c r="H52" s="30" t="inlineStr">
        <is>
          <t>LM</t>
        </is>
      </c>
      <c r="I52" s="30" t="inlineStr">
        <is>
          <t>Pull Out Route (POR)</t>
        </is>
      </c>
      <c r="J52" s="30" t="inlineStr">
        <is>
          <t>PULL OUT OF ROUTE on aziz khan at 2026-09-19 18:46:02</t>
        </is>
      </c>
      <c r="K52" s="30" t="inlineStr">
        <is>
          <t xml:space="preserve">Yana </t>
        </is>
      </c>
    </row>
    <row r="53">
      <c r="A53" s="30" t="inlineStr">
        <is>
          <t>21/09/2026 12:19:47</t>
        </is>
      </c>
      <c r="B53" s="30" t="inlineStr">
        <is>
          <t>COTONW00041396747</t>
        </is>
      </c>
      <c r="C53" s="30" t="inlineStr">
        <is>
          <t>266972648106</t>
        </is>
      </c>
      <c r="D53" s="30" t="inlineStr">
        <is>
          <t>91845008</t>
        </is>
      </c>
      <c r="E53" s="30" t="inlineStr">
        <is>
          <t>KV</t>
        </is>
      </c>
      <c r="F53" s="30" t="inlineStr">
        <is>
          <t>OUG</t>
        </is>
      </c>
      <c r="G53" s="30" t="inlineStr">
        <is>
          <t>OPS - OUG</t>
        </is>
      </c>
      <c r="H53" s="30" t="inlineStr">
        <is>
          <t>LM</t>
        </is>
      </c>
      <c r="I53" s="30" t="inlineStr">
        <is>
          <t>Fake Fail</t>
        </is>
      </c>
      <c r="J53" s="30" t="inlineStr">
        <is>
          <t>pod is not cust place</t>
        </is>
      </c>
      <c r="K53" s="30" t="inlineStr">
        <is>
          <t xml:space="preserve">Naveen </t>
        </is>
      </c>
    </row>
    <row r="54">
      <c r="A54" s="30" t="inlineStr">
        <is>
          <t>21/09/2026 12:25:01</t>
        </is>
      </c>
      <c r="B54" s="30" t="inlineStr">
        <is>
          <t>MASTR1548469847196155904</t>
        </is>
      </c>
      <c r="C54" s="30" t="inlineStr">
        <is>
          <t>267402647262</t>
        </is>
      </c>
      <c r="D54" s="30" t="inlineStr">
        <is>
          <t>91823196
91845019</t>
        </is>
      </c>
      <c r="E54" s="30" t="inlineStr">
        <is>
          <t>South West</t>
        </is>
      </c>
      <c r="F54" s="30" t="inlineStr">
        <is>
          <t>SBN</t>
        </is>
      </c>
      <c r="G54" s="30" t="inlineStr">
        <is>
          <t>ZAMRILL - OPS - SBN
DAARSHAN - OPS - SBN</t>
        </is>
      </c>
      <c r="H54" s="30" t="inlineStr">
        <is>
          <t>LM</t>
        </is>
      </c>
      <c r="I54" s="30" t="inlineStr">
        <is>
          <t>Fake Fail</t>
        </is>
      </c>
      <c r="J54" s="30" t="inlineStr">
        <is>
          <t>POD invalid and picture is not cx office for the 2nd attempt</t>
        </is>
      </c>
      <c r="K54" s="30" t="inlineStr">
        <is>
          <t>Naveen</t>
        </is>
      </c>
    </row>
    <row r="55">
      <c r="A55" s="30" t="inlineStr">
        <is>
          <t>21/09/2026 12:28:46</t>
        </is>
      </c>
      <c r="B55" s="30" t="inlineStr">
        <is>
          <t>TNGDV2609036836185310</t>
        </is>
      </c>
      <c r="C55" s="30" t="inlineStr">
        <is>
          <t>261252618267</t>
        </is>
      </c>
      <c r="D55" s="30" t="inlineStr">
        <is>
          <t>91757064</t>
        </is>
      </c>
      <c r="E55" s="30" t="inlineStr">
        <is>
          <t>KV</t>
        </is>
      </c>
      <c r="F55" s="30" t="inlineStr">
        <is>
          <t>RBY</t>
        </is>
      </c>
      <c r="G55" s="30" t="inlineStr">
        <is>
          <t>RBY - ID - HARIZ FITRI</t>
        </is>
      </c>
      <c r="H55" s="30" t="inlineStr">
        <is>
          <t>LM</t>
        </is>
      </c>
      <c r="I55" s="30" t="inlineStr">
        <is>
          <t>Fake Success</t>
        </is>
      </c>
      <c r="J55" s="30" t="inlineStr">
        <is>
          <t>invalid pod, no show unit</t>
        </is>
      </c>
      <c r="K55" s="30" t="inlineStr">
        <is>
          <t>Abdul</t>
        </is>
      </c>
    </row>
    <row r="56">
      <c r="A56" s="30" t="inlineStr">
        <is>
          <t>21/09/2026 12:33:06</t>
        </is>
      </c>
      <c r="B56" s="30" t="inlineStr">
        <is>
          <t>NVMYPZXMS000047968</t>
        </is>
      </c>
      <c r="C56" s="30" t="inlineStr">
        <is>
          <t>268642646742</t>
        </is>
      </c>
      <c r="D56" s="30" t="inlineStr">
        <is>
          <t>91827333</t>
        </is>
      </c>
      <c r="E56" s="30" t="inlineStr">
        <is>
          <t>North West</t>
        </is>
      </c>
      <c r="F56" s="30" t="inlineStr">
        <is>
          <t xml:space="preserve">SAR </t>
        </is>
      </c>
      <c r="G56" s="30" t="inlineStr">
        <is>
          <t>SAR - OPS - ROUTE OPS</t>
        </is>
      </c>
      <c r="H56" s="30" t="inlineStr">
        <is>
          <t>LM</t>
        </is>
      </c>
      <c r="I56" s="30" t="inlineStr">
        <is>
          <t>Fake Fail</t>
        </is>
      </c>
      <c r="J56" s="30" t="inlineStr">
        <is>
          <t xml:space="preserve">Invalid POD 
</t>
        </is>
      </c>
      <c r="K56" s="30" t="inlineStr">
        <is>
          <t>Naveen</t>
        </is>
      </c>
    </row>
    <row r="57">
      <c r="A57" s="30" t="inlineStr">
        <is>
          <t>21/09/2026 12:36:16</t>
        </is>
      </c>
      <c r="B57" s="30" t="inlineStr">
        <is>
          <t>NVMYNINJA002509240</t>
        </is>
      </c>
      <c r="C57" s="30" t="inlineStr">
        <is>
          <t>265562641307</t>
        </is>
      </c>
      <c r="D57" s="30" t="inlineStr">
        <is>
          <t>91836574</t>
        </is>
      </c>
      <c r="E57" s="30" t="inlineStr">
        <is>
          <t>Northern</t>
        </is>
      </c>
      <c r="F57" s="30" t="inlineStr">
        <is>
          <t xml:space="preserve">JIT </t>
        </is>
      </c>
      <c r="G57" s="30" t="inlineStr">
        <is>
          <t>JIT - OPS - HUBJITRA</t>
        </is>
      </c>
      <c r="H57" s="30" t="inlineStr">
        <is>
          <t>LM</t>
        </is>
      </c>
      <c r="I57" s="30" t="inlineStr">
        <is>
          <t>Fake Fail</t>
        </is>
      </c>
      <c r="J57" s="30" t="inlineStr">
        <is>
          <t>invalid call log provided</t>
        </is>
      </c>
      <c r="K57" s="30" t="inlineStr">
        <is>
          <t>Hartini</t>
        </is>
      </c>
    </row>
    <row r="58">
      <c r="A58" s="30" t="inlineStr">
        <is>
          <t>21/09/2026 12:37:48</t>
        </is>
      </c>
      <c r="B58" s="30" t="inlineStr">
        <is>
          <t>RYTDBZVLUL38BLH</t>
        </is>
      </c>
      <c r="C58" s="30" t="inlineStr">
        <is>
          <t>269312618813</t>
        </is>
      </c>
      <c r="D58" s="30" t="inlineStr">
        <is>
          <t>91794491</t>
        </is>
      </c>
      <c r="E58" s="30" t="inlineStr">
        <is>
          <t>East MY</t>
        </is>
      </c>
      <c r="F58" s="30" t="inlineStr">
        <is>
          <t xml:space="preserve">SMM </t>
        </is>
      </c>
      <c r="G58" s="30" t="inlineStr">
        <is>
          <t xml:space="preserve">
SMM - ID - NAZREI</t>
        </is>
      </c>
      <c r="H58" s="30" t="inlineStr">
        <is>
          <t>LM</t>
        </is>
      </c>
      <c r="I58" s="30" t="inlineStr">
        <is>
          <t>Fake Success</t>
        </is>
      </c>
      <c r="J58" s="30" t="inlineStr">
        <is>
          <t>cust didnt received</t>
        </is>
      </c>
      <c r="K58" s="30" t="inlineStr">
        <is>
          <t>Abdul</t>
        </is>
      </c>
    </row>
    <row r="59">
      <c r="A59" s="30" t="inlineStr">
        <is>
          <t>21/09/2026 12:42:45</t>
        </is>
      </c>
      <c r="B59" s="30" t="inlineStr">
        <is>
          <t>TNGEO202608261001243193</t>
        </is>
      </c>
      <c r="C59" s="30" t="inlineStr">
        <is>
          <t>263432601312</t>
        </is>
      </c>
      <c r="D59" s="30" t="inlineStr">
        <is>
          <t>91783744</t>
        </is>
      </c>
      <c r="E59" s="30" t="inlineStr">
        <is>
          <t>KV</t>
        </is>
      </c>
      <c r="F59" s="30" t="inlineStr">
        <is>
          <t xml:space="preserve">RWG </t>
        </is>
      </c>
      <c r="G59" s="30" t="inlineStr">
        <is>
          <t>RWG - HR - NUR ZULAIKHA</t>
        </is>
      </c>
      <c r="H59" s="30" t="inlineStr">
        <is>
          <t>LM</t>
        </is>
      </c>
      <c r="I59" s="30" t="inlineStr">
        <is>
          <t>Fake Success</t>
        </is>
      </c>
      <c r="J59" s="30" t="inlineStr">
        <is>
          <t xml:space="preserve">cus receives parcel on 20/9 after made a complaint </t>
        </is>
      </c>
      <c r="K59" s="30" t="inlineStr">
        <is>
          <t xml:space="preserve">Yana </t>
        </is>
      </c>
    </row>
    <row r="60">
      <c r="A60" s="30" t="inlineStr">
        <is>
          <t>21/09/2026 12:44:08</t>
        </is>
      </c>
      <c r="B60" s="30" t="inlineStr">
        <is>
          <t>NVMYZAFES000476028</t>
        </is>
      </c>
      <c r="C60" s="30" t="inlineStr">
        <is>
          <t>268732647378</t>
        </is>
      </c>
      <c r="D60" s="30" t="inlineStr">
        <is>
          <t>91765015</t>
        </is>
      </c>
      <c r="E60" s="30" t="inlineStr">
        <is>
          <t>Southern</t>
        </is>
      </c>
      <c r="F60" s="30" t="inlineStr">
        <is>
          <t>AUS</t>
        </is>
      </c>
      <c r="G60" s="30" t="inlineStr">
        <is>
          <t xml:space="preserve">IZRAFIL KADIR
</t>
        </is>
      </c>
      <c r="H60" s="30" t="inlineStr">
        <is>
          <t>LM</t>
        </is>
      </c>
      <c r="I60" s="30" t="inlineStr">
        <is>
          <t>CMI (Can't Make It)</t>
        </is>
      </c>
      <c r="J60" s="30" t="inlineStr">
        <is>
          <t xml:space="preserve">FORCED FAILURE
</t>
        </is>
      </c>
      <c r="K60" s="30" t="inlineStr">
        <is>
          <t xml:space="preserve">Naveen </t>
        </is>
      </c>
    </row>
    <row r="61">
      <c r="A61" s="30" t="inlineStr">
        <is>
          <t>21/09/2026 12:53:09</t>
        </is>
      </c>
      <c r="B61" s="30" t="inlineStr">
        <is>
          <t>TNGDV2609046829976170</t>
        </is>
      </c>
      <c r="C61" s="30" t="inlineStr">
        <is>
          <t>266532600357</t>
        </is>
      </c>
      <c r="D61" s="30" t="inlineStr">
        <is>
          <t>91781626</t>
        </is>
      </c>
      <c r="E61" s="30" t="inlineStr">
        <is>
          <t>East MY</t>
        </is>
      </c>
      <c r="F61" s="30" t="inlineStr">
        <is>
          <t>BKW</t>
        </is>
      </c>
      <c r="G61" s="30" t="inlineStr">
        <is>
          <t>KAMARUL BIN AWANG HARUN</t>
        </is>
      </c>
      <c r="H61" s="30" t="inlineStr">
        <is>
          <t>LM</t>
        </is>
      </c>
      <c r="I61" s="30" t="inlineStr">
        <is>
          <t>Deliver to Wrong Address</t>
        </is>
      </c>
      <c r="J61" s="30" t="inlineStr">
        <is>
          <t>driver del to wrong address, revert completed on 2026-09-21 10:00:07</t>
        </is>
      </c>
      <c r="K61" s="30" t="inlineStr">
        <is>
          <t>Yana</t>
        </is>
      </c>
    </row>
    <row r="62">
      <c r="A62" s="30" t="inlineStr">
        <is>
          <t>21/09/2026 12:51:09</t>
        </is>
      </c>
      <c r="B62" s="30" t="inlineStr">
        <is>
          <t>NVMYDOCMY000088025</t>
        </is>
      </c>
      <c r="C62" s="30" t="inlineStr">
        <is>
          <t>264822646933</t>
        </is>
      </c>
      <c r="D62" s="30" t="inlineStr">
        <is>
          <t>91835659</t>
        </is>
      </c>
      <c r="E62" s="30" t="inlineStr">
        <is>
          <t>South West</t>
        </is>
      </c>
      <c r="F62" s="30" t="inlineStr">
        <is>
          <t xml:space="preserve">BHU </t>
        </is>
      </c>
      <c r="G62" s="30" t="inlineStr">
        <is>
          <t>BHU - OPS - IMAN</t>
        </is>
      </c>
      <c r="H62" s="30" t="inlineStr">
        <is>
          <t>LM</t>
        </is>
      </c>
      <c r="I62" s="30" t="inlineStr">
        <is>
          <t>Fake Fail</t>
        </is>
      </c>
      <c r="J62" s="30" t="inlineStr">
        <is>
          <t>Invalid POD</t>
        </is>
      </c>
      <c r="K62" s="30" t="inlineStr">
        <is>
          <t xml:space="preserve">Naveen </t>
        </is>
      </c>
    </row>
    <row r="63">
      <c r="A63" s="30" t="inlineStr">
        <is>
          <t>21/09/2026 12:59:15</t>
        </is>
      </c>
      <c r="B63" s="30" t="inlineStr">
        <is>
          <t>NVMY47403000011228</t>
        </is>
      </c>
      <c r="C63" s="30" t="inlineStr">
        <is>
          <t>263752649404</t>
        </is>
      </c>
      <c r="D63" s="30" t="inlineStr">
        <is>
          <t>91781905
91845173</t>
        </is>
      </c>
      <c r="E63" s="30" t="inlineStr">
        <is>
          <t>Northern</t>
        </is>
      </c>
      <c r="F63" s="30" t="inlineStr">
        <is>
          <t xml:space="preserve">BTS </t>
        </is>
      </c>
      <c r="G63" s="30" t="inlineStr">
        <is>
          <t>SELF COLLECT BERTAM PUTRA
BTS - OPS - PINANG TUNGGAL</t>
        </is>
      </c>
      <c r="H63" s="30" t="inlineStr">
        <is>
          <t>LM</t>
        </is>
      </c>
      <c r="I63" s="30" t="inlineStr">
        <is>
          <t>Fake Fail</t>
        </is>
      </c>
      <c r="J63" s="30" t="inlineStr">
        <is>
          <t xml:space="preserve">cust claim did not receive any call/ws from driver  
</t>
        </is>
      </c>
      <c r="K63" s="30" t="inlineStr">
        <is>
          <t>Naveen</t>
        </is>
      </c>
    </row>
    <row r="64">
      <c r="A64" s="30" t="inlineStr">
        <is>
          <t>21/09/2026 13:03:27</t>
        </is>
      </c>
      <c r="B64" s="30" t="inlineStr">
        <is>
          <t>PETSMPTC243536</t>
        </is>
      </c>
      <c r="C64" s="30" t="inlineStr">
        <is>
          <t>264502648076</t>
        </is>
      </c>
      <c r="D64" s="30" t="inlineStr">
        <is>
          <t>91844859</t>
        </is>
      </c>
      <c r="E64" s="30" t="inlineStr">
        <is>
          <t>Southern</t>
        </is>
      </c>
      <c r="F64" s="30" t="inlineStr">
        <is>
          <t>NSJ</t>
        </is>
      </c>
      <c r="G64" s="30" t="inlineStr">
        <is>
          <t>OPS - NSJ</t>
        </is>
      </c>
      <c r="H64" s="30" t="inlineStr">
        <is>
          <t>LM</t>
        </is>
      </c>
      <c r="I64" s="30" t="inlineStr">
        <is>
          <t>Fake Fail</t>
        </is>
      </c>
      <c r="J64" s="30" t="inlineStr">
        <is>
          <t xml:space="preserve">Cust havent rec any call and POD invalid
</t>
        </is>
      </c>
      <c r="K64" s="30" t="inlineStr">
        <is>
          <t>Naveen</t>
        </is>
      </c>
    </row>
    <row r="65">
      <c r="A65" s="30" t="inlineStr">
        <is>
          <t>21/09/2026 13:04:41</t>
        </is>
      </c>
      <c r="B65" s="30" t="inlineStr">
        <is>
          <t>TNGDV2608316789446580</t>
        </is>
      </c>
      <c r="C65" s="30" t="inlineStr">
        <is>
          <t>263822641704</t>
        </is>
      </c>
      <c r="D65" s="30" t="inlineStr">
        <is>
          <t>91714565</t>
        </is>
      </c>
      <c r="E65" s="30" t="inlineStr">
        <is>
          <t>KV</t>
        </is>
      </c>
      <c r="F65" s="30" t="inlineStr">
        <is>
          <t>CJY</t>
        </is>
      </c>
      <c r="G65" s="30" t="inlineStr">
        <is>
          <t xml:space="preserve">CJY - ID - RICHARD DASS
</t>
        </is>
      </c>
      <c r="H65" s="30" t="inlineStr">
        <is>
          <t>LM</t>
        </is>
      </c>
      <c r="I65" s="30" t="inlineStr">
        <is>
          <t>Deliver to Wrong Address</t>
        </is>
      </c>
      <c r="J65" s="30" t="inlineStr">
        <is>
          <t>Driver del to wrong house, cust cannot recognize the address as in POD</t>
        </is>
      </c>
      <c r="K65" s="30" t="inlineStr">
        <is>
          <t>Syak</t>
        </is>
      </c>
    </row>
    <row r="66">
      <c r="A66" s="30" t="inlineStr">
        <is>
          <t>21/09/2026 13:06:19</t>
        </is>
      </c>
      <c r="B66" s="30" t="inlineStr">
        <is>
          <t>AEMYA000629320</t>
        </is>
      </c>
      <c r="C66" s="30" t="inlineStr">
        <is>
          <t>268972641628</t>
        </is>
      </c>
      <c r="D66" s="30" t="inlineStr">
        <is>
          <t>91845014</t>
        </is>
      </c>
      <c r="E66" s="30" t="inlineStr">
        <is>
          <t>KV</t>
        </is>
      </c>
      <c r="F66" s="30" t="inlineStr">
        <is>
          <t>OUG</t>
        </is>
      </c>
      <c r="G66" s="30" t="inlineStr">
        <is>
          <t>OPS - OUG</t>
        </is>
      </c>
      <c r="H66" s="30" t="inlineStr">
        <is>
          <t>LM</t>
        </is>
      </c>
      <c r="I66" s="30" t="inlineStr">
        <is>
          <t>Fake Fail</t>
        </is>
      </c>
      <c r="J66" s="30" t="inlineStr">
        <is>
          <t>not receive any call/ws from driver</t>
        </is>
      </c>
      <c r="K66" s="30" t="inlineStr">
        <is>
          <t>Naveen</t>
        </is>
      </c>
    </row>
    <row r="67">
      <c r="A67" s="30" t="inlineStr">
        <is>
          <t>21/09/2026 13:11:10</t>
        </is>
      </c>
      <c r="B67" s="30" t="inlineStr">
        <is>
          <t xml:space="preserve">NVMY45537000029805 </t>
        </is>
      </c>
      <c r="C67" s="30" t="inlineStr">
        <is>
          <t>261952642138</t>
        </is>
      </c>
      <c r="D67" s="30" t="inlineStr">
        <is>
          <t>91845024</t>
        </is>
      </c>
      <c r="E67" s="30" t="inlineStr">
        <is>
          <t>KV</t>
        </is>
      </c>
      <c r="F67" s="30" t="inlineStr">
        <is>
          <t>CJY</t>
        </is>
      </c>
      <c r="G67" s="30" t="inlineStr">
        <is>
          <t>OPS - CJY - MUHAMMAD ARIF</t>
        </is>
      </c>
      <c r="H67" s="30" t="inlineStr">
        <is>
          <t>LM</t>
        </is>
      </c>
      <c r="I67" s="30" t="inlineStr">
        <is>
          <t>Fake Fail</t>
        </is>
      </c>
      <c r="J67" s="30" t="inlineStr">
        <is>
          <t>invalid call log same minute invalid location</t>
        </is>
      </c>
      <c r="K67" s="30" t="inlineStr">
        <is>
          <t>Ninja Hadif</t>
        </is>
      </c>
    </row>
    <row r="68">
      <c r="A68" s="30" t="inlineStr">
        <is>
          <t>21/09/2026 13:16:28</t>
        </is>
      </c>
      <c r="B68" s="30" t="inlineStr">
        <is>
          <t>NVMYCRGMABP3853537</t>
        </is>
      </c>
      <c r="C68" s="30" t="inlineStr">
        <is>
          <t>261312640905</t>
        </is>
      </c>
      <c r="D68" s="30" t="inlineStr">
        <is>
          <t>91809688</t>
        </is>
      </c>
      <c r="E68" s="30" t="inlineStr">
        <is>
          <t>KV</t>
        </is>
      </c>
      <c r="F68" s="30" t="inlineStr">
        <is>
          <t>SHA</t>
        </is>
      </c>
      <c r="G68" s="30" t="inlineStr">
        <is>
          <t>NOOR IDAYU</t>
        </is>
      </c>
      <c r="H68" s="30" t="inlineStr">
        <is>
          <t>LM</t>
        </is>
      </c>
      <c r="I68" s="30" t="inlineStr">
        <is>
          <t>Deliver to Wrong Address</t>
        </is>
      </c>
      <c r="J68" s="30" t="inlineStr">
        <is>
          <t>parcel deliver to wrong mailbox - revert completed on 2026-09-21 12:11:27</t>
        </is>
      </c>
      <c r="K68" s="30" t="inlineStr">
        <is>
          <t xml:space="preserve">Yana </t>
        </is>
      </c>
    </row>
    <row r="69">
      <c r="A69" s="30" t="inlineStr">
        <is>
          <t>21/09/2026 13:20:52</t>
        </is>
      </c>
      <c r="B69" s="30" t="inlineStr">
        <is>
          <t>WNJMY00535212908</t>
        </is>
      </c>
      <c r="C69" s="30" t="inlineStr">
        <is>
          <t>263842640728</t>
        </is>
      </c>
      <c r="D69" s="30" t="inlineStr">
        <is>
          <t>91845012</t>
        </is>
      </c>
      <c r="E69" s="30" t="inlineStr">
        <is>
          <t>East MY</t>
        </is>
      </c>
      <c r="F69" s="30" t="inlineStr">
        <is>
          <t xml:space="preserve">BKW </t>
        </is>
      </c>
      <c r="G69" s="30" t="inlineStr">
        <is>
          <t>BKW - OPS - SELFCOLLECT</t>
        </is>
      </c>
      <c r="H69" s="30" t="inlineStr">
        <is>
          <t>LM</t>
        </is>
      </c>
      <c r="I69" s="30" t="inlineStr">
        <is>
          <t>Fake Fail</t>
        </is>
      </c>
      <c r="J69" s="30" t="inlineStr">
        <is>
          <t>invalid POD</t>
        </is>
      </c>
      <c r="K69" s="30" t="inlineStr">
        <is>
          <t>Naveen</t>
        </is>
      </c>
    </row>
    <row r="70">
      <c r="A70" s="30" t="inlineStr">
        <is>
          <t>21/09/2026 13:30:18</t>
        </is>
      </c>
      <c r="B70" s="30" t="inlineStr">
        <is>
          <t>NVMYNXG3S000023005</t>
        </is>
      </c>
      <c r="C70" s="30" t="inlineStr">
        <is>
          <t>265082580589</t>
        </is>
      </c>
      <c r="D70" s="30" t="inlineStr">
        <is>
          <t>91803158</t>
        </is>
      </c>
      <c r="E70" s="30" t="inlineStr">
        <is>
          <t>Northern</t>
        </is>
      </c>
      <c r="F70" s="30" t="inlineStr">
        <is>
          <t>GEO</t>
        </is>
      </c>
      <c r="G70" s="30" t="inlineStr">
        <is>
          <t>GEO - ID - SHAFIEQAAL</t>
        </is>
      </c>
      <c r="H70" s="30" t="inlineStr">
        <is>
          <t>LM</t>
        </is>
      </c>
      <c r="I70" s="30" t="inlineStr">
        <is>
          <t>Fake Success</t>
        </is>
      </c>
      <c r="J70" s="30" t="inlineStr">
        <is>
          <t xml:space="preserve">driver success the parcel before delivered customer </t>
        </is>
      </c>
      <c r="K70" s="30" t="inlineStr">
        <is>
          <t>AIMENN AIYAD</t>
        </is>
      </c>
    </row>
    <row r="71">
      <c r="A71" s="30" t="inlineStr">
        <is>
          <t>21/09/2026 13:53:41</t>
        </is>
      </c>
      <c r="B71" s="30" t="inlineStr">
        <is>
          <t>ZRS4115713219939</t>
        </is>
      </c>
      <c r="C71" s="30" t="inlineStr">
        <is>
          <t>266862597108</t>
        </is>
      </c>
      <c r="D71" s="30" t="inlineStr">
        <is>
          <t>91763992</t>
        </is>
      </c>
      <c r="E71" s="30" t="inlineStr">
        <is>
          <t>KV</t>
        </is>
      </c>
      <c r="F71" s="30" t="inlineStr">
        <is>
          <t xml:space="preserve">SHA </t>
        </is>
      </c>
      <c r="G71" s="30" t="inlineStr">
        <is>
          <t>Mohd Azizi</t>
        </is>
      </c>
      <c r="H71" s="30" t="inlineStr">
        <is>
          <t>LM</t>
        </is>
      </c>
      <c r="I71" s="30" t="inlineStr">
        <is>
          <t>Lost Item</t>
        </is>
      </c>
      <c r="J71" s="30" t="inlineStr">
        <is>
          <t xml:space="preserve">Recovery declare lost under driver </t>
        </is>
      </c>
      <c r="K71" s="30" t="inlineStr">
        <is>
          <t xml:space="preserve">Yana </t>
        </is>
      </c>
    </row>
    <row r="72">
      <c r="A72" s="30" t="inlineStr">
        <is>
          <t>21/09/2026 13:59:24</t>
        </is>
      </c>
      <c r="B72" s="30" t="inlineStr">
        <is>
          <t>TNGDV2609096865669450</t>
        </is>
      </c>
      <c r="C72" s="30" t="inlineStr">
        <is>
          <t>264232600843</t>
        </is>
      </c>
      <c r="D72" s="30" t="inlineStr">
        <is>
          <t>91788977</t>
        </is>
      </c>
      <c r="E72" s="30" t="inlineStr">
        <is>
          <t>Southern</t>
        </is>
      </c>
      <c r="F72" s="30" t="inlineStr">
        <is>
          <t xml:space="preserve">MAS </t>
        </is>
      </c>
      <c r="G72" s="30" t="inlineStr">
        <is>
          <t xml:space="preserve">
MAS - ID - ZULKARNIAN</t>
        </is>
      </c>
      <c r="H72" s="30" t="inlineStr">
        <is>
          <t>LM</t>
        </is>
      </c>
      <c r="I72" s="30" t="inlineStr">
        <is>
          <t>Lost Item</t>
        </is>
      </c>
      <c r="J72" s="30" t="inlineStr">
        <is>
          <t>driver fake success which leads to lost</t>
        </is>
      </c>
      <c r="K72" s="30" t="inlineStr">
        <is>
          <t>AIMENN AIYAD</t>
        </is>
      </c>
    </row>
    <row r="73">
      <c r="A73" s="30" t="inlineStr">
        <is>
          <t>21/09/2026 14:03:09</t>
        </is>
      </c>
      <c r="B73" s="30" t="inlineStr">
        <is>
          <t>TNGDV2609156948986000</t>
        </is>
      </c>
      <c r="C73" s="30" t="inlineStr">
        <is>
          <t>268692640801</t>
        </is>
      </c>
      <c r="D73" s="30" t="inlineStr">
        <is>
          <t>91845027</t>
        </is>
      </c>
      <c r="E73" s="30" t="inlineStr">
        <is>
          <t>KV</t>
        </is>
      </c>
      <c r="F73" s="30" t="inlineStr">
        <is>
          <t>BAN</t>
        </is>
      </c>
      <c r="G73" s="30" t="inlineStr">
        <is>
          <t>OPS - MUHAMMAD NOOR SYARWAN</t>
        </is>
      </c>
      <c r="H73" s="30" t="inlineStr">
        <is>
          <t>LM</t>
        </is>
      </c>
      <c r="I73" s="30" t="inlineStr">
        <is>
          <t>Fake Fail</t>
        </is>
      </c>
      <c r="J73" s="30" t="inlineStr">
        <is>
          <t>Invalid POD</t>
        </is>
      </c>
      <c r="K73" s="30" t="inlineStr">
        <is>
          <t xml:space="preserve">Naveen </t>
        </is>
      </c>
    </row>
    <row r="74">
      <c r="A74" s="30" t="inlineStr">
        <is>
          <t>21/09/2026 14:03:35</t>
        </is>
      </c>
      <c r="B74" s="30" t="inlineStr">
        <is>
          <t>TNGDV2609096878921600</t>
        </is>
      </c>
      <c r="C74" s="30" t="inlineStr">
        <is>
          <t>266972551037</t>
        </is>
      </c>
      <c r="D74" s="30" t="inlineStr">
        <is>
          <t>91783744</t>
        </is>
      </c>
      <c r="E74" s="30" t="inlineStr">
        <is>
          <t>KV</t>
        </is>
      </c>
      <c r="F74" s="30" t="inlineStr">
        <is>
          <t xml:space="preserve">RWG </t>
        </is>
      </c>
      <c r="G74" s="30" t="inlineStr">
        <is>
          <t xml:space="preserve">
RWG - HR - NUR ZULAIKHA</t>
        </is>
      </c>
      <c r="H74" s="30" t="inlineStr">
        <is>
          <t>LM</t>
        </is>
      </c>
      <c r="I74" s="30" t="inlineStr">
        <is>
          <t>Fake Success</t>
        </is>
      </c>
      <c r="J74" s="30" t="inlineStr">
        <is>
          <t>driver success the parcel before delivered to customer with customer consent</t>
        </is>
      </c>
      <c r="K74" s="30" t="inlineStr">
        <is>
          <t>Aimenn Aiyad</t>
        </is>
      </c>
    </row>
    <row r="75">
      <c r="A75" s="30" t="inlineStr">
        <is>
          <t>21/09/2026 14:06:17</t>
        </is>
      </c>
      <c r="B75" s="30" t="inlineStr">
        <is>
          <t>TNGDV2609156928618340</t>
        </is>
      </c>
      <c r="C75" s="30" t="inlineStr">
        <is>
          <t>263242644981</t>
        </is>
      </c>
      <c r="D75" s="30" t="inlineStr">
        <is>
          <t>91845008</t>
        </is>
      </c>
      <c r="E75" s="30" t="inlineStr">
        <is>
          <t>KV</t>
        </is>
      </c>
      <c r="F75" s="30" t="inlineStr">
        <is>
          <t>OUG</t>
        </is>
      </c>
      <c r="G75" s="30" t="inlineStr">
        <is>
          <t>OPS - OUG</t>
        </is>
      </c>
      <c r="H75" s="30" t="inlineStr">
        <is>
          <t>LM</t>
        </is>
      </c>
      <c r="I75" s="30" t="inlineStr">
        <is>
          <t>Fake Fail</t>
        </is>
      </c>
      <c r="J75" s="30" t="inlineStr">
        <is>
          <t>POD invalid</t>
        </is>
      </c>
      <c r="K75" s="30" t="inlineStr">
        <is>
          <t>Naveen</t>
        </is>
      </c>
    </row>
    <row r="76">
      <c r="A76" s="30" t="inlineStr">
        <is>
          <t>21/09/2026 14:12:57</t>
        </is>
      </c>
      <c r="B76" s="30" t="inlineStr">
        <is>
          <t>AJDHU1547854775576936448</t>
        </is>
      </c>
      <c r="C76" s="30" t="inlineStr">
        <is>
          <t>265832605751</t>
        </is>
      </c>
      <c r="D76" s="30" t="inlineStr">
        <is>
          <t>91788977</t>
        </is>
      </c>
      <c r="E76" s="30" t="inlineStr">
        <is>
          <t>Southern</t>
        </is>
      </c>
      <c r="F76" s="30" t="inlineStr">
        <is>
          <t xml:space="preserve">MAS </t>
        </is>
      </c>
      <c r="G76" s="30" t="inlineStr">
        <is>
          <t>MAS - ID - ZULKARNIAN</t>
        </is>
      </c>
      <c r="H76" s="30" t="inlineStr">
        <is>
          <t>LM</t>
        </is>
      </c>
      <c r="I76" s="30" t="inlineStr">
        <is>
          <t>Lost Item</t>
        </is>
      </c>
      <c r="J76" s="30" t="inlineStr">
        <is>
          <t>cust didnt received</t>
        </is>
      </c>
      <c r="K76" s="30" t="inlineStr">
        <is>
          <t>Abdul</t>
        </is>
      </c>
    </row>
    <row r="77">
      <c r="A77" s="30" t="inlineStr">
        <is>
          <t>21/09/2026 14:20:09</t>
        </is>
      </c>
      <c r="B77" s="30" t="inlineStr">
        <is>
          <t>NVMYLTCMU000000160</t>
        </is>
      </c>
      <c r="C77" s="30" t="inlineStr">
        <is>
          <t>267342641672</t>
        </is>
      </c>
      <c r="D77" s="30" t="inlineStr">
        <is>
          <t>91824655, 91833924 &amp; 91843013</t>
        </is>
      </c>
      <c r="E77" s="30" t="inlineStr">
        <is>
          <t>Northern</t>
        </is>
      </c>
      <c r="F77" s="30" t="inlineStr">
        <is>
          <t xml:space="preserve">GEO </t>
        </is>
      </c>
      <c r="G77" s="30" t="inlineStr">
        <is>
          <t xml:space="preserve">GEO - OPS - DATO KERAMAT
</t>
        </is>
      </c>
      <c r="H77" s="30" t="inlineStr">
        <is>
          <t>LM</t>
        </is>
      </c>
      <c r="I77" s="30" t="inlineStr">
        <is>
          <t>Fake Fail</t>
        </is>
      </c>
      <c r="J77" s="30" t="inlineStr">
        <is>
          <t>There is no valid call log, call log listed not involved this shipper's number</t>
        </is>
      </c>
      <c r="K77" s="30" t="inlineStr">
        <is>
          <t>Syak</t>
        </is>
      </c>
    </row>
    <row r="78">
      <c r="A78" s="30" t="inlineStr">
        <is>
          <t>21/09/2026 14:20:28</t>
        </is>
      </c>
      <c r="B78" s="30" t="inlineStr">
        <is>
          <t>NIVMY1549984394616983552</t>
        </is>
      </c>
      <c r="C78" s="30" t="inlineStr">
        <is>
          <t>262012649808</t>
        </is>
      </c>
      <c r="D78" s="30" t="inlineStr">
        <is>
          <t>91847380</t>
        </is>
      </c>
      <c r="E78" s="30" t="inlineStr">
        <is>
          <t>KV</t>
        </is>
      </c>
      <c r="F78" s="30" t="inlineStr">
        <is>
          <t>BTR</t>
        </is>
      </c>
      <c r="G78" s="30" t="inlineStr">
        <is>
          <t>OPS - BTR</t>
        </is>
      </c>
      <c r="H78" s="30" t="inlineStr">
        <is>
          <t>LM</t>
        </is>
      </c>
      <c r="I78" s="30" t="inlineStr">
        <is>
          <t>Fake Fail</t>
        </is>
      </c>
      <c r="J78" s="30" t="inlineStr">
        <is>
          <t>Invalid POD</t>
        </is>
      </c>
      <c r="K78" s="30" t="inlineStr">
        <is>
          <t xml:space="preserve">Naveen </t>
        </is>
      </c>
    </row>
    <row r="79">
      <c r="A79" s="30" t="inlineStr">
        <is>
          <t>21/09/2026 14:21:52</t>
        </is>
      </c>
      <c r="B79" s="30" t="inlineStr">
        <is>
          <t>AEMYA000615925</t>
        </is>
      </c>
      <c r="C79" s="30" t="inlineStr">
        <is>
          <t>267062605873</t>
        </is>
      </c>
      <c r="D79" s="30" t="inlineStr">
        <is>
          <t>91790001</t>
        </is>
      </c>
      <c r="E79" s="30" t="inlineStr">
        <is>
          <t>East MY</t>
        </is>
      </c>
      <c r="F79" s="30" t="inlineStr">
        <is>
          <t xml:space="preserve">PTJ </t>
        </is>
      </c>
      <c r="G79" s="30" t="inlineStr">
        <is>
          <t>PTJ - ID - MOHD LUQMAN</t>
        </is>
      </c>
      <c r="H79" s="30" t="inlineStr">
        <is>
          <t>LM</t>
        </is>
      </c>
      <c r="I79" s="30" t="inlineStr">
        <is>
          <t>Fake Success</t>
        </is>
      </c>
      <c r="J79" s="30" t="inlineStr">
        <is>
          <t>cust didnt received</t>
        </is>
      </c>
      <c r="K79" s="30" t="inlineStr">
        <is>
          <t>Abdul</t>
        </is>
      </c>
    </row>
    <row r="80">
      <c r="A80" s="30" t="inlineStr">
        <is>
          <t>21/09/2026 14:24:05</t>
        </is>
      </c>
      <c r="B80" s="30" t="inlineStr">
        <is>
          <t>ZMP241385945-5821</t>
        </is>
      </c>
      <c r="C80" s="30" t="inlineStr">
        <is>
          <t>268242642620</t>
        </is>
      </c>
      <c r="D80" s="30" t="inlineStr">
        <is>
          <t>91847810</t>
        </is>
      </c>
      <c r="E80" s="30" t="inlineStr">
        <is>
          <t>KV</t>
        </is>
      </c>
      <c r="F80" s="30" t="inlineStr">
        <is>
          <t xml:space="preserve">SLG </t>
        </is>
      </c>
      <c r="G80" s="30" t="inlineStr">
        <is>
          <t>SLG - ID - ZURAIQ</t>
        </is>
      </c>
      <c r="H80" s="30" t="inlineStr">
        <is>
          <t>LM</t>
        </is>
      </c>
      <c r="I80" s="30" t="inlineStr">
        <is>
          <t>Deliver to Wrong Address</t>
        </is>
      </c>
      <c r="J80" s="30" t="inlineStr">
        <is>
          <t xml:space="preserve">driver del to wrong address, cust rcvd parcel after made a complaint </t>
        </is>
      </c>
      <c r="K80" s="30" t="inlineStr">
        <is>
          <t xml:space="preserve">Yana </t>
        </is>
      </c>
    </row>
    <row r="81">
      <c r="A81" s="30" t="inlineStr">
        <is>
          <t>21/09/2026 14:30:02</t>
        </is>
      </c>
      <c r="B81" s="30" t="inlineStr">
        <is>
          <t>NVMY48214000023869</t>
        </is>
      </c>
      <c r="C81" s="30" t="inlineStr">
        <is>
          <t>264942603038</t>
        </is>
      </c>
      <c r="D81" s="30" t="inlineStr">
        <is>
          <t>91790001</t>
        </is>
      </c>
      <c r="E81" s="30" t="inlineStr">
        <is>
          <t>East MY</t>
        </is>
      </c>
      <c r="F81" s="30" t="inlineStr">
        <is>
          <t xml:space="preserve">PTJ </t>
        </is>
      </c>
      <c r="G81" s="30" t="inlineStr">
        <is>
          <t xml:space="preserve">
PTJ - ID - MOHD LUQMAN</t>
        </is>
      </c>
      <c r="H81" s="30" t="inlineStr">
        <is>
          <t>LM</t>
        </is>
      </c>
      <c r="I81" s="30" t="inlineStr">
        <is>
          <t>Fake Success</t>
        </is>
      </c>
      <c r="J81" s="30" t="inlineStr">
        <is>
          <t>cust didnt received</t>
        </is>
      </c>
      <c r="K81" s="30" t="inlineStr">
        <is>
          <t>Abdul</t>
        </is>
      </c>
    </row>
    <row r="82">
      <c r="A82" s="30" t="inlineStr">
        <is>
          <t>21/09/2026 14:30:31</t>
        </is>
      </c>
      <c r="B82" s="30" t="inlineStr">
        <is>
          <t>ZMP271541945-3625</t>
        </is>
      </c>
      <c r="C82" s="30" t="inlineStr">
        <is>
          <t>265942649269</t>
        </is>
      </c>
      <c r="D82" s="30" t="inlineStr">
        <is>
          <t>91848556
91856547</t>
        </is>
      </c>
      <c r="E82" s="30" t="inlineStr">
        <is>
          <t>KV</t>
        </is>
      </c>
      <c r="F82" s="30" t="inlineStr">
        <is>
          <t xml:space="preserve">BTK </t>
        </is>
      </c>
      <c r="G82" s="30" t="inlineStr">
        <is>
          <t>BTK - ID - KALA</t>
        </is>
      </c>
      <c r="H82" s="30" t="inlineStr">
        <is>
          <t>LM</t>
        </is>
      </c>
      <c r="I82" s="30" t="inlineStr">
        <is>
          <t>Fake Fail</t>
        </is>
      </c>
      <c r="J82" s="30" t="inlineStr">
        <is>
          <t>invalid POD</t>
        </is>
      </c>
      <c r="K82" s="30" t="inlineStr">
        <is>
          <t xml:space="preserve">Naveen </t>
        </is>
      </c>
    </row>
    <row r="83">
      <c r="A83" s="30" t="inlineStr">
        <is>
          <t>21/09/2026 14:48:29</t>
        </is>
      </c>
      <c r="B83" s="30" t="inlineStr">
        <is>
          <t>NVMY8NFNT0HW10327A</t>
        </is>
      </c>
      <c r="C83" s="30" t="inlineStr">
        <is>
          <t>260902644277</t>
        </is>
      </c>
      <c r="D83" s="30" t="inlineStr">
        <is>
          <t>91843013</t>
        </is>
      </c>
      <c r="E83" s="30" t="inlineStr">
        <is>
          <t>Northern</t>
        </is>
      </c>
      <c r="F83" s="30" t="inlineStr">
        <is>
          <t xml:space="preserve">GEO </t>
        </is>
      </c>
      <c r="G83" s="30" t="inlineStr">
        <is>
          <t>GEO - OPS - DATO KERAMAT</t>
        </is>
      </c>
      <c r="H83" s="30" t="inlineStr">
        <is>
          <t>LM</t>
        </is>
      </c>
      <c r="I83" s="30" t="inlineStr">
        <is>
          <t>Fake Fail</t>
        </is>
      </c>
      <c r="J83" s="30" t="inlineStr">
        <is>
          <t>driver attach invalid pod call log attach is not belong to cstomer</t>
        </is>
      </c>
      <c r="K83" s="30" t="inlineStr">
        <is>
          <t>zati</t>
        </is>
      </c>
    </row>
    <row r="84">
      <c r="A84" s="30" t="inlineStr">
        <is>
          <t>21/09/2026 14:49:29</t>
        </is>
      </c>
      <c r="B84" s="30" t="inlineStr">
        <is>
          <t>NVMYYSLWE330031831</t>
        </is>
      </c>
      <c r="C84" s="30" t="inlineStr">
        <is>
          <t>268482602672</t>
        </is>
      </c>
      <c r="D84" s="30" t="inlineStr">
        <is>
          <t>91804861</t>
        </is>
      </c>
      <c r="E84" s="30" t="inlineStr">
        <is>
          <t>KV</t>
        </is>
      </c>
      <c r="F84" s="30" t="inlineStr">
        <is>
          <t>OUG</t>
        </is>
      </c>
      <c r="G84" s="30" t="inlineStr">
        <is>
          <t xml:space="preserve">
OUG - ID - SITI SHAFIQAH</t>
        </is>
      </c>
      <c r="H84" s="30" t="inlineStr">
        <is>
          <t>LM</t>
        </is>
      </c>
      <c r="I84" s="30" t="inlineStr">
        <is>
          <t>Fake Success</t>
        </is>
      </c>
      <c r="J84" s="30" t="inlineStr">
        <is>
          <t>cust  didnt received</t>
        </is>
      </c>
      <c r="K84" s="30" t="inlineStr">
        <is>
          <t>Abdul</t>
        </is>
      </c>
    </row>
    <row r="85">
      <c r="A85" s="30" t="inlineStr">
        <is>
          <t>21/09/2026 15:05:46</t>
        </is>
      </c>
      <c r="B85" s="30" t="inlineStr">
        <is>
          <t>VICTN1549303472678359040</t>
        </is>
      </c>
      <c r="C85" s="30" t="inlineStr">
        <is>
          <t>268392643477</t>
        </is>
      </c>
      <c r="D85" s="30" t="inlineStr">
        <is>
          <t>91836295</t>
        </is>
      </c>
      <c r="E85" s="30" t="inlineStr">
        <is>
          <t>Northern</t>
        </is>
      </c>
      <c r="F85" s="30" t="inlineStr">
        <is>
          <t>SIM</t>
        </is>
      </c>
      <c r="G85" s="30" t="inlineStr">
        <is>
          <t>SIM - ID - FARIS HAFIZI</t>
        </is>
      </c>
      <c r="H85" s="30" t="inlineStr">
        <is>
          <t>LM</t>
        </is>
      </c>
      <c r="I85" s="30" t="inlineStr">
        <is>
          <t>Fake Fail</t>
        </is>
      </c>
      <c r="J85" s="30" t="inlineStr">
        <is>
          <t xml:space="preserve">Invalid POD call log same minute </t>
        </is>
      </c>
      <c r="K85" s="30" t="inlineStr">
        <is>
          <t>Ninja Hadif</t>
        </is>
      </c>
    </row>
    <row r="86">
      <c r="A86" s="30" t="inlineStr">
        <is>
          <t>21/09/2026 15:06:55</t>
        </is>
      </c>
      <c r="B86" s="30" t="inlineStr">
        <is>
          <t>VICTN1549990377922347008</t>
        </is>
      </c>
      <c r="C86" s="30" t="inlineStr">
        <is>
          <t>268392643477</t>
        </is>
      </c>
      <c r="D86" s="30" t="inlineStr">
        <is>
          <t>91836515</t>
        </is>
      </c>
      <c r="E86" s="30" t="inlineStr">
        <is>
          <t>KV</t>
        </is>
      </c>
      <c r="F86" s="30" t="inlineStr">
        <is>
          <t>SHM</t>
        </is>
      </c>
      <c r="G86" s="30" t="inlineStr">
        <is>
          <t>OPS - SHM</t>
        </is>
      </c>
      <c r="H86" s="30" t="inlineStr">
        <is>
          <t>LM</t>
        </is>
      </c>
      <c r="I86" s="30" t="inlineStr">
        <is>
          <t>Fake Fail</t>
        </is>
      </c>
      <c r="J86" s="30" t="inlineStr">
        <is>
          <t>Invalid POD no call log no location</t>
        </is>
      </c>
      <c r="K86" s="30" t="inlineStr">
        <is>
          <t>Ninja Hadif</t>
        </is>
      </c>
    </row>
    <row r="87">
      <c r="A87" s="30" t="inlineStr">
        <is>
          <t>21/09/2026 15:14:57</t>
        </is>
      </c>
      <c r="B87" s="30" t="inlineStr">
        <is>
          <t xml:space="preserve">NVMYONEGA000042476
 </t>
        </is>
      </c>
      <c r="C87" s="30" t="inlineStr">
        <is>
          <t>261932644543</t>
        </is>
      </c>
      <c r="D87" s="30" t="inlineStr">
        <is>
          <t>91845147</t>
        </is>
      </c>
      <c r="E87" s="30" t="inlineStr">
        <is>
          <t>Northern</t>
        </is>
      </c>
      <c r="F87" s="30" t="inlineStr">
        <is>
          <t xml:space="preserve">SIM </t>
        </is>
      </c>
      <c r="G87" s="30" t="inlineStr">
        <is>
          <t xml:space="preserve">SIM - ID - ISMAIL
</t>
        </is>
      </c>
      <c r="H87" s="30" t="inlineStr">
        <is>
          <t>LM</t>
        </is>
      </c>
      <c r="I87" s="30" t="inlineStr">
        <is>
          <t>Fake Fail</t>
        </is>
      </c>
      <c r="J87" s="30" t="inlineStr">
        <is>
          <t xml:space="preserve">Call wrong number  </t>
        </is>
      </c>
      <c r="K87" s="30" t="inlineStr">
        <is>
          <t xml:space="preserve">Syafiq </t>
        </is>
      </c>
    </row>
    <row r="88">
      <c r="A88" s="30" t="inlineStr">
        <is>
          <t>21/09/2026 15:33:53</t>
        </is>
      </c>
      <c r="B88" s="30" t="inlineStr">
        <is>
          <t>WNJMY00190082908</t>
        </is>
      </c>
      <c r="C88" s="30" t="inlineStr">
        <is>
          <t>264122642970</t>
        </is>
      </c>
      <c r="D88" s="30" t="inlineStr">
        <is>
          <t>91845012</t>
        </is>
      </c>
      <c r="E88" s="30" t="inlineStr">
        <is>
          <t>East MY</t>
        </is>
      </c>
      <c r="F88" s="30" t="inlineStr">
        <is>
          <t xml:space="preserve">BKW </t>
        </is>
      </c>
      <c r="G88" s="30" t="inlineStr">
        <is>
          <t>BKW - OPS - SELFCOLLECT</t>
        </is>
      </c>
      <c r="H88" s="30" t="inlineStr">
        <is>
          <t>LM</t>
        </is>
      </c>
      <c r="I88" s="30" t="inlineStr">
        <is>
          <t>Fake Fail</t>
        </is>
      </c>
      <c r="J88" s="30" t="inlineStr">
        <is>
          <t>driver attach invalid pod and call log is not under customer contact number</t>
        </is>
      </c>
      <c r="K88" s="30" t="inlineStr">
        <is>
          <t>zati</t>
        </is>
      </c>
    </row>
    <row r="89">
      <c r="A89" s="30" t="inlineStr">
        <is>
          <t>21/09/2026 16:01:56</t>
        </is>
      </c>
      <c r="B89" s="30" t="inlineStr">
        <is>
          <t>APGUK012000005049513</t>
        </is>
      </c>
      <c r="C89" s="30" t="inlineStr">
        <is>
          <t>260472645118</t>
        </is>
      </c>
      <c r="D89" s="30" t="inlineStr">
        <is>
          <t>91841536</t>
        </is>
      </c>
      <c r="E89" s="30" t="inlineStr">
        <is>
          <t>KV</t>
        </is>
      </c>
      <c r="F89" s="30" t="inlineStr">
        <is>
          <t>PJY</t>
        </is>
      </c>
      <c r="G89" s="30" t="inlineStr">
        <is>
          <t>OPS - PJY</t>
        </is>
      </c>
      <c r="H89" s="30" t="inlineStr">
        <is>
          <t>LM</t>
        </is>
      </c>
      <c r="I89" s="30" t="inlineStr">
        <is>
          <t>Fake Fail</t>
        </is>
      </c>
      <c r="J89" s="30" t="inlineStr">
        <is>
          <t xml:space="preserve">Driver attach invalid POD and call log not belong to customer </t>
        </is>
      </c>
      <c r="K89" s="30" t="inlineStr">
        <is>
          <t>zati</t>
        </is>
      </c>
    </row>
    <row r="90">
      <c r="A90" s="30" t="inlineStr">
        <is>
          <t>21/09/2026 16:03:44</t>
        </is>
      </c>
      <c r="B90" s="30" t="inlineStr">
        <is>
          <t>RNCNV000498992</t>
        </is>
      </c>
      <c r="C90" s="30" t="inlineStr">
        <is>
          <t>260512649179</t>
        </is>
      </c>
      <c r="D90" s="30" t="inlineStr">
        <is>
          <t>91809937
91821985
91834432</t>
        </is>
      </c>
      <c r="E90" s="30" t="inlineStr">
        <is>
          <t>KV</t>
        </is>
      </c>
      <c r="F90" s="30" t="inlineStr">
        <is>
          <t>OUG</t>
        </is>
      </c>
      <c r="G90" s="30" t="inlineStr">
        <is>
          <t>OUG - ID - ROHIDAYU
OUG -ID - NORASHIKIN</t>
        </is>
      </c>
      <c r="H90" s="30" t="inlineStr">
        <is>
          <t>LM</t>
        </is>
      </c>
      <c r="I90" s="30" t="inlineStr">
        <is>
          <t>Failed pick-up</t>
        </is>
      </c>
      <c r="J90" s="30" t="inlineStr">
        <is>
          <t>There was no response to the message, and the call log also shows that there were no 3 call attempts made.</t>
        </is>
      </c>
      <c r="K90" s="30" t="inlineStr">
        <is>
          <t xml:space="preserve">izzni </t>
        </is>
      </c>
    </row>
    <row r="91">
      <c r="A91" s="30" t="inlineStr">
        <is>
          <t>21/09/2026 16:10:26</t>
        </is>
      </c>
      <c r="B91" s="30" t="inlineStr">
        <is>
          <t>NVMYCOMOO000015506</t>
        </is>
      </c>
      <c r="C91" s="30" t="inlineStr">
        <is>
          <t>260342647229</t>
        </is>
      </c>
      <c r="D91" s="30" t="inlineStr">
        <is>
          <t>91851583</t>
        </is>
      </c>
      <c r="E91" s="30" t="inlineStr">
        <is>
          <t>Southern</t>
        </is>
      </c>
      <c r="F91" s="30" t="inlineStr">
        <is>
          <t xml:space="preserve">GLG </t>
        </is>
      </c>
      <c r="G91" s="30" t="inlineStr">
        <is>
          <t>GLG - OPS - ENGKU</t>
        </is>
      </c>
      <c r="H91" s="30" t="inlineStr">
        <is>
          <t>LM</t>
        </is>
      </c>
      <c r="I91" s="30" t="inlineStr">
        <is>
          <t>Fake Fail</t>
        </is>
      </c>
      <c r="J91" s="30" t="inlineStr">
        <is>
          <t>driver not attach call log and customer not receive any call from driver</t>
        </is>
      </c>
      <c r="K91" s="30" t="inlineStr">
        <is>
          <t>zati</t>
        </is>
      </c>
    </row>
    <row r="92">
      <c r="A92" s="30" t="inlineStr">
        <is>
          <t>22/09/2026 10:00:05</t>
        </is>
      </c>
      <c r="B92" s="30" t="inlineStr">
        <is>
          <t>NVMYFCSSB000000568</t>
        </is>
      </c>
      <c r="C92" s="30" t="inlineStr">
        <is>
          <t>260452641509</t>
        </is>
      </c>
      <c r="D92" s="30" t="inlineStr">
        <is>
          <t xml:space="preserve">
91772825 / 91836653</t>
        </is>
      </c>
      <c r="E92" s="30" t="inlineStr">
        <is>
          <t>Northern</t>
        </is>
      </c>
      <c r="F92" s="30" t="inlineStr">
        <is>
          <t>BTS</t>
        </is>
      </c>
      <c r="G92" s="30" t="inlineStr">
        <is>
          <t>SELF COLLECT BERTAM PUTRA / 
BTS - OPS - PENAGA</t>
        </is>
      </c>
      <c r="H92" s="30" t="inlineStr">
        <is>
          <t>LM</t>
        </is>
      </c>
      <c r="I92" s="30" t="inlineStr">
        <is>
          <t>Fake Fail</t>
        </is>
      </c>
      <c r="J92" s="30" t="inlineStr">
        <is>
          <t xml:space="preserve">POD not valid as not cust number, not cust location and now already completed return to sender. </t>
        </is>
      </c>
      <c r="K92" s="30" t="inlineStr">
        <is>
          <t>Zakwan</t>
        </is>
      </c>
    </row>
    <row r="93">
      <c r="A93" s="30" t="inlineStr">
        <is>
          <t>21/09/2026 16:31:48</t>
        </is>
      </c>
      <c r="B93" s="30" t="inlineStr">
        <is>
          <t>NVMYCHMOT000000348</t>
        </is>
      </c>
      <c r="C93" s="30" t="inlineStr">
        <is>
          <t>261302649825</t>
        </is>
      </c>
      <c r="D93" s="30" t="inlineStr">
        <is>
          <t>91796333</t>
        </is>
      </c>
      <c r="E93" s="30" t="inlineStr">
        <is>
          <t>Southern</t>
        </is>
      </c>
      <c r="F93" s="30" t="inlineStr">
        <is>
          <t xml:space="preserve">SGT </t>
        </is>
      </c>
      <c r="G93" s="30" t="inlineStr">
        <is>
          <t>SGT - ID - IBRAHIM</t>
        </is>
      </c>
      <c r="H93" s="30" t="inlineStr">
        <is>
          <t>LM</t>
        </is>
      </c>
      <c r="I93" s="30" t="inlineStr">
        <is>
          <t>Parcel Dumping</t>
        </is>
      </c>
      <c r="J93" s="30" t="inlineStr">
        <is>
          <t xml:space="preserve">driver dumped the parcel w.out acknowledge the customer </t>
        </is>
      </c>
      <c r="K93" s="30" t="inlineStr">
        <is>
          <t xml:space="preserve">Yana </t>
        </is>
      </c>
    </row>
    <row r="94">
      <c r="A94" s="30" t="inlineStr">
        <is>
          <t>21/09/2026 16:34:17</t>
        </is>
      </c>
      <c r="B94" s="30" t="inlineStr">
        <is>
          <t>NVMY21533000009024</t>
        </is>
      </c>
      <c r="C94" s="30" t="inlineStr">
        <is>
          <t>265772643374</t>
        </is>
      </c>
      <c r="D94" s="30" t="inlineStr">
        <is>
          <t>91844721</t>
        </is>
      </c>
      <c r="E94" s="30" t="inlineStr">
        <is>
          <t>Northern</t>
        </is>
      </c>
      <c r="F94" s="30" t="inlineStr">
        <is>
          <t>SIM</t>
        </is>
      </c>
      <c r="G94" s="30" t="inlineStr">
        <is>
          <t>STW - FM - Azril Naim</t>
        </is>
      </c>
      <c r="H94" s="30" t="inlineStr">
        <is>
          <t>LM</t>
        </is>
      </c>
      <c r="I94" s="30" t="inlineStr">
        <is>
          <t>Fake Fail</t>
        </is>
      </c>
      <c r="J94" s="30" t="inlineStr">
        <is>
          <t>No call log &amp; invalid site photo</t>
        </is>
      </c>
      <c r="K94" s="30" t="inlineStr">
        <is>
          <t xml:space="preserve">Yana </t>
        </is>
      </c>
    </row>
    <row r="95">
      <c r="A95" s="30" t="inlineStr">
        <is>
          <t>21/09/2026 16:36:02</t>
        </is>
      </c>
      <c r="B95" s="30" t="inlineStr">
        <is>
          <t>NVMYSIS120SIS48138</t>
        </is>
      </c>
      <c r="C95" s="30" t="inlineStr">
        <is>
          <t>260302644596</t>
        </is>
      </c>
      <c r="D95" s="30" t="inlineStr">
        <is>
          <t>91841536</t>
        </is>
      </c>
      <c r="E95" s="30" t="inlineStr">
        <is>
          <t>KV</t>
        </is>
      </c>
      <c r="F95" s="30" t="inlineStr">
        <is>
          <t>PJY</t>
        </is>
      </c>
      <c r="G95" s="30" t="inlineStr">
        <is>
          <t>OPS - PJY</t>
        </is>
      </c>
      <c r="H95" s="30" t="inlineStr">
        <is>
          <t>LM</t>
        </is>
      </c>
      <c r="I95" s="30" t="inlineStr">
        <is>
          <t>Fake Fail</t>
        </is>
      </c>
      <c r="J95" s="30" t="inlineStr">
        <is>
          <t xml:space="preserve">POD invalid and call log not belong to customer </t>
        </is>
      </c>
      <c r="K95" s="30" t="inlineStr">
        <is>
          <t>zati</t>
        </is>
      </c>
    </row>
    <row r="96">
      <c r="A96" s="30" t="inlineStr">
        <is>
          <t>21/09/2026 16:36:35</t>
        </is>
      </c>
      <c r="B96" s="30" t="inlineStr">
        <is>
          <t>ZNV946827970-1591</t>
        </is>
      </c>
      <c r="C96" s="30" t="inlineStr">
        <is>
          <t>266272640209</t>
        </is>
      </c>
      <c r="D96" s="30" t="inlineStr">
        <is>
          <t>91835659</t>
        </is>
      </c>
      <c r="E96" s="30" t="inlineStr">
        <is>
          <t>South West</t>
        </is>
      </c>
      <c r="F96" s="30" t="inlineStr">
        <is>
          <t xml:space="preserve">BHU </t>
        </is>
      </c>
      <c r="G96" s="30" t="inlineStr">
        <is>
          <t>BHU - OPS - IMAN</t>
        </is>
      </c>
      <c r="H96" s="30" t="inlineStr">
        <is>
          <t>LM</t>
        </is>
      </c>
      <c r="I96" s="30" t="inlineStr">
        <is>
          <t>Fake Fail</t>
        </is>
      </c>
      <c r="J96" s="30" t="inlineStr">
        <is>
          <t xml:space="preserve">invalid POD, failed under ops </t>
        </is>
      </c>
      <c r="K96" s="30" t="inlineStr">
        <is>
          <t xml:space="preserve">Yana </t>
        </is>
      </c>
    </row>
    <row r="97">
      <c r="A97" s="30" t="inlineStr">
        <is>
          <t>21/09/2026 16:39:11</t>
        </is>
      </c>
      <c r="B97" s="30" t="inlineStr">
        <is>
          <t>ADI111550678986921603072</t>
        </is>
      </c>
      <c r="C97" s="30" t="inlineStr">
        <is>
          <t>267102648859</t>
        </is>
      </c>
      <c r="D97" s="30" t="inlineStr">
        <is>
          <t>91859932</t>
        </is>
      </c>
      <c r="E97" s="30" t="inlineStr">
        <is>
          <t>Southern</t>
        </is>
      </c>
      <c r="F97" s="30" t="inlineStr">
        <is>
          <t xml:space="preserve">LKN </t>
        </is>
      </c>
      <c r="G97" s="30" t="inlineStr">
        <is>
          <t>LKN - ID - FADZLY</t>
        </is>
      </c>
      <c r="H97" s="30" t="inlineStr">
        <is>
          <t>LM</t>
        </is>
      </c>
      <c r="I97" s="30" t="inlineStr">
        <is>
          <t>Fake Fail</t>
        </is>
      </c>
      <c r="J97" s="30" t="inlineStr">
        <is>
          <t xml:space="preserve">invalid call log &amp; site photo </t>
        </is>
      </c>
      <c r="K97" s="30" t="inlineStr">
        <is>
          <t xml:space="preserve">Yana </t>
        </is>
      </c>
    </row>
    <row r="98">
      <c r="A98" s="30" t="inlineStr">
        <is>
          <t>21/09/2026 16:42:22</t>
        </is>
      </c>
      <c r="B98" s="30" t="inlineStr">
        <is>
          <t>TNGE126047281027686000</t>
        </is>
      </c>
      <c r="C98" s="30" t="inlineStr">
        <is>
          <t>262432640726</t>
        </is>
      </c>
      <c r="D98" s="30" t="inlineStr">
        <is>
          <t>91851443</t>
        </is>
      </c>
      <c r="E98" s="30" t="inlineStr">
        <is>
          <t>Northern</t>
        </is>
      </c>
      <c r="F98" s="30" t="inlineStr">
        <is>
          <t xml:space="preserve">PSN </t>
        </is>
      </c>
      <c r="G98" s="30" t="inlineStr">
        <is>
          <t>PSN - OPS - PSN HUB</t>
        </is>
      </c>
      <c r="H98" s="30" t="inlineStr">
        <is>
          <t>LM</t>
        </is>
      </c>
      <c r="I98" s="30" t="inlineStr">
        <is>
          <t>Fake Fail</t>
        </is>
      </c>
      <c r="J98" s="30" t="inlineStr">
        <is>
          <t>driver not call the customer and pod invalid</t>
        </is>
      </c>
      <c r="K98" s="30" t="inlineStr">
        <is>
          <t>zati</t>
        </is>
      </c>
    </row>
    <row r="99">
      <c r="A99" s="30" t="inlineStr">
        <is>
          <t>21/09/2026 16:47:46</t>
        </is>
      </c>
      <c r="B99" s="30" t="inlineStr">
        <is>
          <t xml:space="preserve">NVMYNINJA002511067
</t>
        </is>
      </c>
      <c r="C99" s="30" t="inlineStr">
        <is>
          <t>262232641528</t>
        </is>
      </c>
      <c r="D99" s="30" t="inlineStr">
        <is>
          <t>91844338</t>
        </is>
      </c>
      <c r="E99" s="30" t="inlineStr">
        <is>
          <t>South West</t>
        </is>
      </c>
      <c r="F99" s="30" t="inlineStr">
        <is>
          <t xml:space="preserve">PDS </t>
        </is>
      </c>
      <c r="G99" s="30" t="inlineStr">
        <is>
          <t>PDS - HR - MOHD SHAHIZAN</t>
        </is>
      </c>
      <c r="H99" s="30" t="inlineStr">
        <is>
          <t>LM</t>
        </is>
      </c>
      <c r="I99" s="30" t="inlineStr">
        <is>
          <t>Deliver to Wrong Address</t>
        </is>
      </c>
      <c r="J99" s="30" t="inlineStr">
        <is>
          <t>the driver delivered to wrong address instead of cust address</t>
        </is>
      </c>
      <c r="K99" s="30" t="inlineStr">
        <is>
          <t xml:space="preserve">Naveen </t>
        </is>
      </c>
    </row>
    <row r="100">
      <c r="A100" s="30" t="inlineStr">
        <is>
          <t>21/09/2026 16:58:48</t>
        </is>
      </c>
      <c r="B100" s="30" t="inlineStr">
        <is>
          <t>MYMPA261084847</t>
        </is>
      </c>
      <c r="C100" s="30" t="inlineStr">
        <is>
          <t>261332644861</t>
        </is>
      </c>
      <c r="D100" s="30" t="inlineStr">
        <is>
          <t>91838463</t>
        </is>
      </c>
      <c r="E100" s="30" t="inlineStr">
        <is>
          <t>KV</t>
        </is>
      </c>
      <c r="F100" s="30" t="inlineStr">
        <is>
          <t>BRP</t>
        </is>
      </c>
      <c r="G100" s="30" t="inlineStr">
        <is>
          <t>OPS - BRP</t>
        </is>
      </c>
      <c r="H100" s="30" t="inlineStr">
        <is>
          <t>LM</t>
        </is>
      </c>
      <c r="I100" s="30" t="inlineStr">
        <is>
          <t>Fake Fail</t>
        </is>
      </c>
      <c r="J100" s="30" t="inlineStr">
        <is>
          <t>driver attach invalid call log</t>
        </is>
      </c>
      <c r="K100" s="30" t="inlineStr">
        <is>
          <t>zati</t>
        </is>
      </c>
    </row>
    <row r="101">
      <c r="A101" s="30" t="inlineStr">
        <is>
          <t>21/09/2026 17:05:43</t>
        </is>
      </c>
      <c r="B101" s="30" t="inlineStr">
        <is>
          <t>NVMYGMPKT00SH8766A</t>
        </is>
      </c>
      <c r="C101" s="30" t="inlineStr">
        <is>
          <t>267522649784</t>
        </is>
      </c>
      <c r="D101" s="30" t="inlineStr">
        <is>
          <t>91650967</t>
        </is>
      </c>
      <c r="E101" s="30" t="inlineStr">
        <is>
          <t>KV</t>
        </is>
      </c>
      <c r="F101" s="30" t="inlineStr">
        <is>
          <t>ARA</t>
        </is>
      </c>
      <c r="G101" s="30" t="inlineStr">
        <is>
          <t>ARA - HR - ARIFF</t>
        </is>
      </c>
      <c r="H101" s="30" t="inlineStr">
        <is>
          <t>LM</t>
        </is>
      </c>
      <c r="I101" s="30" t="inlineStr">
        <is>
          <t>Fake Success</t>
        </is>
      </c>
      <c r="J101" s="30" t="inlineStr">
        <is>
          <t>completed on 2026-08-29 16:08:35 but unable to investigate due to complete more 7days</t>
        </is>
      </c>
      <c r="K101" s="30" t="inlineStr">
        <is>
          <t>Hartini</t>
        </is>
      </c>
    </row>
    <row r="102">
      <c r="A102" s="30" t="inlineStr">
        <is>
          <t>21/09/2026 17:09:37</t>
        </is>
      </c>
      <c r="B102" s="30" t="inlineStr">
        <is>
          <t>NVMYROBAN000005753</t>
        </is>
      </c>
      <c r="C102" s="30" t="inlineStr">
        <is>
          <t>260662646082</t>
        </is>
      </c>
      <c r="D102" s="30" t="inlineStr">
        <is>
          <t>91844728</t>
        </is>
      </c>
      <c r="E102" s="30" t="inlineStr">
        <is>
          <t>KV</t>
        </is>
      </c>
      <c r="F102" s="30" t="inlineStr">
        <is>
          <t>PJY</t>
        </is>
      </c>
      <c r="G102" s="30" t="inlineStr">
        <is>
          <t>OPS - PJY</t>
        </is>
      </c>
      <c r="H102" s="30" t="inlineStr">
        <is>
          <t>LM</t>
        </is>
      </c>
      <c r="I102" s="30" t="inlineStr">
        <is>
          <t>Fake Fail</t>
        </is>
      </c>
      <c r="J102" s="30" t="inlineStr">
        <is>
          <t xml:space="preserve">invalid POD, failed under ops </t>
        </is>
      </c>
      <c r="K102" s="30" t="inlineStr">
        <is>
          <t xml:space="preserve">Yana </t>
        </is>
      </c>
    </row>
    <row r="103">
      <c r="A103" s="30" t="inlineStr">
        <is>
          <t>21/09/2026 17:11:30</t>
        </is>
      </c>
      <c r="B103" s="30" t="inlineStr">
        <is>
          <t>NVMYYUSMM000002979</t>
        </is>
      </c>
      <c r="C103" s="30" t="inlineStr">
        <is>
          <t>269662640854</t>
        </is>
      </c>
      <c r="D103" s="30" t="inlineStr">
        <is>
          <t>91722983</t>
        </is>
      </c>
      <c r="E103" s="30" t="inlineStr">
        <is>
          <t>KV</t>
        </is>
      </c>
      <c r="F103" s="30" t="inlineStr">
        <is>
          <t xml:space="preserve">OUG  </t>
        </is>
      </c>
      <c r="G103" s="30" t="inlineStr">
        <is>
          <t>OUG - ID - DARREN</t>
        </is>
      </c>
      <c r="H103" s="30" t="inlineStr">
        <is>
          <t>LM</t>
        </is>
      </c>
      <c r="I103" s="30" t="inlineStr">
        <is>
          <t>Fake Success</t>
        </is>
      </c>
      <c r="J103" s="30" t="inlineStr">
        <is>
          <t>driver not delivered the parcel, just take the picture as pod and not drop the parcel at mailroom</t>
        </is>
      </c>
      <c r="K103" s="30" t="inlineStr">
        <is>
          <t>zati</t>
        </is>
      </c>
    </row>
    <row r="104">
      <c r="A104" s="30" t="inlineStr">
        <is>
          <t>21/09/2026 17:19:52</t>
        </is>
      </c>
      <c r="B104" s="30" t="inlineStr">
        <is>
          <t>ESHP003312054</t>
        </is>
      </c>
      <c r="C104" s="30" t="inlineStr">
        <is>
          <t>267402644756</t>
        </is>
      </c>
      <c r="D104" s="30" t="inlineStr">
        <is>
          <t>91855725</t>
        </is>
      </c>
      <c r="E104" s="30" t="inlineStr">
        <is>
          <t>Northern</t>
        </is>
      </c>
      <c r="F104" s="30" t="inlineStr">
        <is>
          <t xml:space="preserve">BAY </t>
        </is>
      </c>
      <c r="G104" s="30" t="inlineStr">
        <is>
          <t>BAY - ID - GOH SOO ENG</t>
        </is>
      </c>
      <c r="H104" s="30" t="inlineStr">
        <is>
          <t>LM</t>
        </is>
      </c>
      <c r="I104" s="30" t="inlineStr">
        <is>
          <t>Fake Fail</t>
        </is>
      </c>
      <c r="J104" s="30" t="inlineStr">
        <is>
          <t xml:space="preserve">invalid call log &amp; site photo </t>
        </is>
      </c>
      <c r="K104" s="30" t="inlineStr">
        <is>
          <t xml:space="preserve">Yana </t>
        </is>
      </c>
    </row>
    <row r="105">
      <c r="A105" s="30" t="inlineStr">
        <is>
          <t>21/09/2026 17:20:00</t>
        </is>
      </c>
      <c r="B105" s="30" t="inlineStr">
        <is>
          <t>MYNJV70067115778</t>
        </is>
      </c>
      <c r="C105" s="30" t="inlineStr">
        <is>
          <t>269832642806</t>
        </is>
      </c>
      <c r="D105" s="30" t="inlineStr">
        <is>
          <t>91851488</t>
        </is>
      </c>
      <c r="E105" s="30" t="inlineStr">
        <is>
          <t>KV</t>
        </is>
      </c>
      <c r="F105" s="30" t="inlineStr">
        <is>
          <t>STL</t>
        </is>
      </c>
      <c r="G105" s="30" t="inlineStr">
        <is>
          <t>OPS - STL</t>
        </is>
      </c>
      <c r="H105" s="30" t="inlineStr">
        <is>
          <t>LM</t>
        </is>
      </c>
      <c r="I105" s="30" t="inlineStr">
        <is>
          <t>Fake Fail</t>
        </is>
      </c>
      <c r="J105" s="30" t="inlineStr">
        <is>
          <t>no call log attach and pod is fake</t>
        </is>
      </c>
      <c r="K105" s="30" t="inlineStr">
        <is>
          <t>zati</t>
        </is>
      </c>
    </row>
    <row r="106">
      <c r="A106" s="30" t="inlineStr">
        <is>
          <t>21/09/2026 17:20:13</t>
        </is>
      </c>
      <c r="B106" s="30" t="inlineStr">
        <is>
          <t>NVMYNINJA002497597</t>
        </is>
      </c>
      <c r="C106" s="30" t="inlineStr">
        <is>
          <t>262682606153</t>
        </is>
      </c>
      <c r="D106" s="30" t="inlineStr">
        <is>
          <t>91788555</t>
        </is>
      </c>
      <c r="E106" s="30" t="inlineStr">
        <is>
          <t>Southern</t>
        </is>
      </c>
      <c r="F106" s="30" t="inlineStr">
        <is>
          <t>GLG</t>
        </is>
      </c>
      <c r="G106" s="30" t="inlineStr">
        <is>
          <t>MUHAMMAD YASIN ALI</t>
        </is>
      </c>
      <c r="H106" s="30" t="inlineStr">
        <is>
          <t>LM</t>
        </is>
      </c>
      <c r="I106" s="30" t="inlineStr">
        <is>
          <t>Lost Item</t>
        </is>
      </c>
      <c r="J106" s="30" t="inlineStr">
        <is>
          <t>driver success the parcel before delivered to customer without consent which leads to parcel being lost</t>
        </is>
      </c>
      <c r="K106" s="30" t="inlineStr">
        <is>
          <t>AIMENN AIYAD</t>
        </is>
      </c>
    </row>
    <row r="107">
      <c r="A107" s="30" t="inlineStr">
        <is>
          <t>21/09/2026 17:26:49</t>
        </is>
      </c>
      <c r="B107" s="30" t="inlineStr">
        <is>
          <t>ZMP258439945-6440</t>
        </is>
      </c>
      <c r="C107" s="30" t="inlineStr">
        <is>
          <t>260532631041</t>
        </is>
      </c>
      <c r="D107" s="30" t="inlineStr">
        <is>
          <t>91783684</t>
        </is>
      </c>
      <c r="E107" s="30" t="inlineStr">
        <is>
          <t>KV</t>
        </is>
      </c>
      <c r="F107" s="30" t="inlineStr">
        <is>
          <t xml:space="preserve">ARA </t>
        </is>
      </c>
      <c r="G107" s="30" t="inlineStr">
        <is>
          <t>ARA - HD - NAIM</t>
        </is>
      </c>
      <c r="H107" s="30" t="inlineStr">
        <is>
          <t>LM</t>
        </is>
      </c>
      <c r="I107" s="30" t="inlineStr">
        <is>
          <t>Deliver to Wrong Address</t>
        </is>
      </c>
      <c r="J107" s="30" t="inlineStr">
        <is>
          <t xml:space="preserve">driver del to wrong address, cust rcvd after made a complaint </t>
        </is>
      </c>
      <c r="K107" s="30" t="inlineStr">
        <is>
          <t xml:space="preserve">Yana </t>
        </is>
      </c>
    </row>
    <row r="108">
      <c r="A108" s="30" t="inlineStr">
        <is>
          <t>21/09/2026 17:29:06</t>
        </is>
      </c>
      <c r="B108" s="30" t="inlineStr">
        <is>
          <t>NVMYHYGRR00121440A</t>
        </is>
      </c>
      <c r="C108" s="30" t="inlineStr">
        <is>
          <t>269162649397</t>
        </is>
      </c>
      <c r="D108" s="30" t="inlineStr">
        <is>
          <t>91814382</t>
        </is>
      </c>
      <c r="E108" s="30" t="inlineStr">
        <is>
          <t>East MY</t>
        </is>
      </c>
      <c r="F108" s="30" t="inlineStr">
        <is>
          <t xml:space="preserve">BKW </t>
        </is>
      </c>
      <c r="G108" s="30" t="inlineStr">
        <is>
          <t>BKW - ID - KENNETH</t>
        </is>
      </c>
      <c r="H108" s="30" t="inlineStr">
        <is>
          <t>LM</t>
        </is>
      </c>
      <c r="I108" s="30" t="inlineStr">
        <is>
          <t>Fake Fail</t>
        </is>
      </c>
      <c r="J108" s="30" t="inlineStr">
        <is>
          <t xml:space="preserve">invalid POD, failed under ops </t>
        </is>
      </c>
      <c r="K108" s="30" t="inlineStr">
        <is>
          <t xml:space="preserve">Yana </t>
        </is>
      </c>
    </row>
    <row r="109">
      <c r="A109" s="30" t="inlineStr">
        <is>
          <t>21/09/2026 17:29:33</t>
        </is>
      </c>
      <c r="B109" s="30" t="inlineStr">
        <is>
          <t>ZRP856483223067</t>
        </is>
      </c>
      <c r="C109" s="30" t="inlineStr">
        <is>
          <t>269612648221</t>
        </is>
      </c>
      <c r="D109" s="30" t="inlineStr">
        <is>
          <t>91833924</t>
        </is>
      </c>
      <c r="E109" s="30" t="inlineStr">
        <is>
          <t>Northern</t>
        </is>
      </c>
      <c r="F109" s="30" t="inlineStr">
        <is>
          <t xml:space="preserve">GEO  </t>
        </is>
      </c>
      <c r="G109" s="30" t="inlineStr">
        <is>
          <t>GEO - OPS - DATO KERAMAT</t>
        </is>
      </c>
      <c r="H109" s="30" t="inlineStr">
        <is>
          <t>LM</t>
        </is>
      </c>
      <c r="I109" s="30" t="inlineStr">
        <is>
          <t>Failed pick-up</t>
        </is>
      </c>
      <c r="J109" s="30" t="inlineStr">
        <is>
          <t xml:space="preserve">driver not attach correct call log </t>
        </is>
      </c>
      <c r="K109" s="30" t="inlineStr">
        <is>
          <t>zati</t>
        </is>
      </c>
    </row>
    <row r="110">
      <c r="A110" s="30" t="inlineStr">
        <is>
          <t>21/09/2026 17:32:55</t>
        </is>
      </c>
      <c r="B110" s="30" t="inlineStr">
        <is>
          <t>TNGDV2609056822351280</t>
        </is>
      </c>
      <c r="C110" s="30" t="inlineStr">
        <is>
          <t>264842623391</t>
        </is>
      </c>
      <c r="D110" s="30" t="inlineStr">
        <is>
          <t>91769363</t>
        </is>
      </c>
      <c r="E110" s="30" t="inlineStr">
        <is>
          <t>KV</t>
        </is>
      </c>
      <c r="F110" s="30" t="inlineStr">
        <is>
          <t>BTK</t>
        </is>
      </c>
      <c r="G110" s="30" t="inlineStr">
        <is>
          <t>FRIZA MATSAM</t>
        </is>
      </c>
      <c r="H110" s="30" t="inlineStr">
        <is>
          <t>LM</t>
        </is>
      </c>
      <c r="I110" s="30" t="inlineStr">
        <is>
          <t>Deliver to Wrong Address</t>
        </is>
      </c>
      <c r="J110" s="30" t="inlineStr">
        <is>
          <t>driver deliver to wrong address</t>
        </is>
      </c>
      <c r="K110" s="30" t="inlineStr">
        <is>
          <t>AIMENN AIYAD</t>
        </is>
      </c>
    </row>
    <row r="111">
      <c r="A111" s="30" t="inlineStr">
        <is>
          <t>21/09/2026 17:33:23</t>
        </is>
      </c>
      <c r="B111" s="30" t="inlineStr">
        <is>
          <t>NVMYSECOM000093574</t>
        </is>
      </c>
      <c r="C111" s="30" t="inlineStr">
        <is>
          <t>264872642428</t>
        </is>
      </c>
      <c r="D111" s="30" t="inlineStr">
        <is>
          <t>91859067</t>
        </is>
      </c>
      <c r="E111" s="30" t="inlineStr">
        <is>
          <t>North West</t>
        </is>
      </c>
      <c r="F111" s="30" t="inlineStr">
        <is>
          <t>TIN</t>
        </is>
      </c>
      <c r="G111" s="30" t="inlineStr">
        <is>
          <t>OPS - HAFFISZIE</t>
        </is>
      </c>
      <c r="H111" s="30" t="inlineStr">
        <is>
          <t>LM</t>
        </is>
      </c>
      <c r="I111" s="30" t="inlineStr">
        <is>
          <t>Fake Fail</t>
        </is>
      </c>
      <c r="J111" s="30" t="inlineStr">
        <is>
          <t xml:space="preserve">driver attach invalid pod and customer not receive call </t>
        </is>
      </c>
      <c r="K111" s="30" t="inlineStr">
        <is>
          <t>zati</t>
        </is>
      </c>
    </row>
    <row r="112">
      <c r="A112" s="30" t="inlineStr">
        <is>
          <t>21/09/2026 17:45:30</t>
        </is>
      </c>
      <c r="B112" s="30" t="inlineStr">
        <is>
          <t>UMIDI1548934597354450944 &amp; UMIDI1548934598646771712</t>
        </is>
      </c>
      <c r="C112" s="30" t="inlineStr">
        <is>
          <t>264832645164</t>
        </is>
      </c>
      <c r="D112" s="30" t="inlineStr">
        <is>
          <t>91827317 &amp; 91827317</t>
        </is>
      </c>
      <c r="E112" s="30" t="inlineStr">
        <is>
          <t>Southern</t>
        </is>
      </c>
      <c r="F112" s="30" t="inlineStr">
        <is>
          <t xml:space="preserve">GLG </t>
        </is>
      </c>
      <c r="G112" s="30" t="inlineStr">
        <is>
          <t>GLG - OPS - ENGKU</t>
        </is>
      </c>
      <c r="H112" s="30" t="inlineStr">
        <is>
          <t>LM</t>
        </is>
      </c>
      <c r="I112" s="30" t="inlineStr">
        <is>
          <t>Fake Fail</t>
        </is>
      </c>
      <c r="J112" s="30" t="inlineStr">
        <is>
          <t xml:space="preserve">No call and message provided </t>
        </is>
      </c>
      <c r="K112" s="30" t="inlineStr">
        <is>
          <t>Daus</t>
        </is>
      </c>
    </row>
    <row r="113">
      <c r="A113" s="30" t="inlineStr">
        <is>
          <t>21/09/2026 17:47:31</t>
        </is>
      </c>
      <c r="B113" s="30" t="inlineStr">
        <is>
          <t>ZMP291418945-2148</t>
        </is>
      </c>
      <c r="C113" s="30" t="inlineStr">
        <is>
          <t>267622644701</t>
        </is>
      </c>
      <c r="D113" s="30" t="inlineStr">
        <is>
          <t>91824655</t>
        </is>
      </c>
      <c r="E113" s="30" t="inlineStr">
        <is>
          <t>Northern</t>
        </is>
      </c>
      <c r="F113" s="30" t="inlineStr">
        <is>
          <t xml:space="preserve">GEO </t>
        </is>
      </c>
      <c r="G113" s="30" t="inlineStr">
        <is>
          <t>GEO - OPS - DATO KERAMAT</t>
        </is>
      </c>
      <c r="H113" s="30" t="inlineStr">
        <is>
          <t>LM</t>
        </is>
      </c>
      <c r="I113" s="30" t="inlineStr">
        <is>
          <t>Fake Fail</t>
        </is>
      </c>
      <c r="J113" s="30" t="inlineStr">
        <is>
          <t xml:space="preserve">invalid POD, failed under ops </t>
        </is>
      </c>
      <c r="K113" s="30" t="inlineStr">
        <is>
          <t xml:space="preserve">Yana </t>
        </is>
      </c>
    </row>
    <row r="114">
      <c r="A114" s="30" t="inlineStr">
        <is>
          <t>21/09/2026 17:53:34</t>
        </is>
      </c>
      <c r="B114" s="30" t="inlineStr">
        <is>
          <t>MY-NV093284166</t>
        </is>
      </c>
      <c r="C114" s="30" t="inlineStr">
        <is>
          <t>263182640825</t>
        </is>
      </c>
      <c r="D114" s="30" t="inlineStr">
        <is>
          <t>91844729</t>
        </is>
      </c>
      <c r="E114" s="30" t="inlineStr">
        <is>
          <t>KV</t>
        </is>
      </c>
      <c r="F114" s="30" t="inlineStr">
        <is>
          <t>PJY</t>
        </is>
      </c>
      <c r="G114" s="30" t="inlineStr">
        <is>
          <t>OPS - PJY</t>
        </is>
      </c>
      <c r="H114" s="30" t="inlineStr">
        <is>
          <t>LM</t>
        </is>
      </c>
      <c r="I114" s="30" t="inlineStr">
        <is>
          <t>Fake Fail</t>
        </is>
      </c>
      <c r="J114" s="30" t="inlineStr">
        <is>
          <t xml:space="preserve">driver not attach call log and not call the customer </t>
        </is>
      </c>
      <c r="K114" s="30" t="inlineStr">
        <is>
          <t>zati</t>
        </is>
      </c>
    </row>
    <row r="115">
      <c r="A115" s="30" t="inlineStr">
        <is>
          <t>21/09/2026 17:58:27</t>
        </is>
      </c>
      <c r="B115" s="30" t="inlineStr">
        <is>
          <t>MYNJV70062415718</t>
        </is>
      </c>
      <c r="C115" s="30" t="inlineStr">
        <is>
          <t>265042649748</t>
        </is>
      </c>
      <c r="D115" s="30" t="inlineStr">
        <is>
          <t>91847382</t>
        </is>
      </c>
      <c r="E115" s="30" t="inlineStr">
        <is>
          <t>KV</t>
        </is>
      </c>
      <c r="F115" s="30" t="inlineStr">
        <is>
          <t>BTR</t>
        </is>
      </c>
      <c r="G115" s="30" t="inlineStr">
        <is>
          <t>Norman Razak</t>
        </is>
      </c>
      <c r="H115" s="30" t="inlineStr">
        <is>
          <t>LM</t>
        </is>
      </c>
      <c r="I115" s="30" t="inlineStr">
        <is>
          <t>Pull Out Route (POR)</t>
        </is>
      </c>
      <c r="J115" s="30" t="inlineStr">
        <is>
          <t>PULL OUT OF ROUTE by Norman Razak on 2026-09-20 23:40:35</t>
        </is>
      </c>
      <c r="K115" s="30" t="inlineStr">
        <is>
          <t>Zati</t>
        </is>
      </c>
    </row>
    <row r="116">
      <c r="A116" s="30" t="inlineStr">
        <is>
          <t>21/09/2026 18:00:51</t>
        </is>
      </c>
      <c r="B116" s="30" t="inlineStr">
        <is>
          <t>NVMYHNIKJ00316257E</t>
        </is>
      </c>
      <c r="C116" s="30" t="inlineStr">
        <is>
          <t>268442640390</t>
        </is>
      </c>
      <c r="D116" s="30" t="inlineStr">
        <is>
          <t>91859712</t>
        </is>
      </c>
      <c r="E116" s="30" t="inlineStr">
        <is>
          <t>KV</t>
        </is>
      </c>
      <c r="F116" s="30" t="inlineStr">
        <is>
          <t>PJY</t>
        </is>
      </c>
      <c r="G116" s="30" t="inlineStr">
        <is>
          <t>OPS - PJY</t>
        </is>
      </c>
      <c r="H116" s="30" t="inlineStr">
        <is>
          <t>LM</t>
        </is>
      </c>
      <c r="I116" s="30" t="inlineStr">
        <is>
          <t>Fake Fail</t>
        </is>
      </c>
      <c r="J116" s="30" t="inlineStr">
        <is>
          <t xml:space="preserve">invalid POD, failed under ops </t>
        </is>
      </c>
      <c r="K116" s="30" t="inlineStr">
        <is>
          <t xml:space="preserve">Yana </t>
        </is>
      </c>
    </row>
    <row r="117">
      <c r="A117" s="30" t="inlineStr">
        <is>
          <t>22/09/2026 09:18:31</t>
        </is>
      </c>
      <c r="B117" s="30" t="inlineStr">
        <is>
          <t>BAZAE1550537982831177728</t>
        </is>
      </c>
      <c r="C117" s="30" t="inlineStr">
        <is>
          <t>261522649779</t>
        </is>
      </c>
      <c r="D117" s="30" t="inlineStr">
        <is>
          <t>91855683</t>
        </is>
      </c>
      <c r="E117" s="30" t="inlineStr">
        <is>
          <t>Northern</t>
        </is>
      </c>
      <c r="F117" s="30" t="inlineStr">
        <is>
          <t>PSN</t>
        </is>
      </c>
      <c r="G117" s="30" t="inlineStr">
        <is>
          <t>PSN - OPS - PSN HUB</t>
        </is>
      </c>
      <c r="H117" s="30" t="inlineStr">
        <is>
          <t>LM</t>
        </is>
      </c>
      <c r="I117" s="30" t="inlineStr">
        <is>
          <t>Fake Fail</t>
        </is>
      </c>
      <c r="J117" s="30" t="inlineStr">
        <is>
          <t>failed by ops, call log same minute no location photo</t>
        </is>
      </c>
      <c r="K117" s="30" t="inlineStr">
        <is>
          <t>Ninja Hadif</t>
        </is>
      </c>
    </row>
    <row r="118">
      <c r="A118" s="30" t="inlineStr">
        <is>
          <t>22/09/2026 09:18:44</t>
        </is>
      </c>
      <c r="B118" s="30" t="inlineStr">
        <is>
          <t>NVMYNINJA002510859</t>
        </is>
      </c>
      <c r="C118" s="30" t="inlineStr">
        <is>
          <t>260532648193</t>
        </is>
      </c>
      <c r="D118" s="30" t="inlineStr">
        <is>
          <t>91855197</t>
        </is>
      </c>
      <c r="E118" s="30" t="inlineStr">
        <is>
          <t>North West</t>
        </is>
      </c>
      <c r="F118" s="30" t="inlineStr">
        <is>
          <t>BAG</t>
        </is>
      </c>
      <c r="G118" s="30" t="inlineStr">
        <is>
          <t>BAG - OPS - ADAM</t>
        </is>
      </c>
      <c r="H118" s="30" t="inlineStr">
        <is>
          <t>LM</t>
        </is>
      </c>
      <c r="I118" s="30" t="inlineStr">
        <is>
          <t>Fake Fail</t>
        </is>
      </c>
      <c r="J118" s="30" t="inlineStr">
        <is>
          <t>Invalid delivery attempt. POD invalid: Call log not connected, location invalid</t>
        </is>
      </c>
      <c r="K118" s="30" t="inlineStr">
        <is>
          <t xml:space="preserve">Putri </t>
        </is>
      </c>
    </row>
    <row r="119">
      <c r="A119" s="30" t="inlineStr">
        <is>
          <t>22/09/2026 09:22:43</t>
        </is>
      </c>
      <c r="B119" s="30" t="inlineStr">
        <is>
          <t>STLMY1544276476882800640</t>
        </is>
      </c>
      <c r="C119" s="30" t="inlineStr">
        <is>
          <t>262792607232</t>
        </is>
      </c>
      <c r="D119" s="30" t="inlineStr">
        <is>
          <t>91845147
91860201</t>
        </is>
      </c>
      <c r="E119" s="30" t="inlineStr">
        <is>
          <t>Northern</t>
        </is>
      </c>
      <c r="F119" s="30" t="inlineStr">
        <is>
          <t>SIM</t>
        </is>
      </c>
      <c r="G119" s="30" t="inlineStr">
        <is>
          <t>SIM - ID - ISMAIL</t>
        </is>
      </c>
      <c r="H119" s="30" t="inlineStr">
        <is>
          <t>LM</t>
        </is>
      </c>
      <c r="I119" s="30" t="inlineStr">
        <is>
          <t>Fake Fail</t>
        </is>
      </c>
      <c r="J119" s="30" t="inlineStr">
        <is>
          <t>invalid call log Wrong contact number invalid location
invalid call log Wrong contact number invalid location</t>
        </is>
      </c>
      <c r="K119" s="30" t="inlineStr">
        <is>
          <t>Ninja Hadif</t>
        </is>
      </c>
    </row>
    <row r="120">
      <c r="A120" s="30" t="inlineStr">
        <is>
          <t>22/09/2026 09:23:40</t>
        </is>
      </c>
      <c r="B120" s="30" t="inlineStr">
        <is>
          <t>NVMYVSI0N000005699</t>
        </is>
      </c>
      <c r="C120" s="30" t="inlineStr">
        <is>
          <t>267452641322</t>
        </is>
      </c>
      <c r="D120" s="30" t="inlineStr">
        <is>
          <t>91811904</t>
        </is>
      </c>
      <c r="E120" s="30" t="inlineStr">
        <is>
          <t>Southern</t>
        </is>
      </c>
      <c r="F120" s="30" t="inlineStr">
        <is>
          <t>GLG</t>
        </is>
      </c>
      <c r="G120" s="30" t="inlineStr">
        <is>
          <t>GLG - ID - AHMAD ARSYHAD</t>
        </is>
      </c>
      <c r="H120" s="30" t="inlineStr">
        <is>
          <t>LM</t>
        </is>
      </c>
      <c r="I120" s="30" t="inlineStr">
        <is>
          <t>Fake Success</t>
        </is>
      </c>
      <c r="J120" s="30" t="inlineStr">
        <is>
          <t>Completed 2026-09-15 but cust not received. Pod invalid (no call log, no response chat, not the correct location)</t>
        </is>
      </c>
      <c r="K120" s="30" t="inlineStr">
        <is>
          <t>Syaza</t>
        </is>
      </c>
    </row>
    <row r="121">
      <c r="A121" s="30" t="inlineStr">
        <is>
          <t>22/09/2026 09:28:01</t>
        </is>
      </c>
      <c r="B121" s="30" t="inlineStr">
        <is>
          <t>MYNJV70005095678</t>
        </is>
      </c>
      <c r="C121" s="30" t="inlineStr">
        <is>
          <t>260752642777</t>
        </is>
      </c>
      <c r="D121" s="30" t="inlineStr">
        <is>
          <t>91844918</t>
        </is>
      </c>
      <c r="E121" s="30" t="inlineStr">
        <is>
          <t>Northern</t>
        </is>
      </c>
      <c r="F121" s="30" t="inlineStr">
        <is>
          <t>PSN</t>
        </is>
      </c>
      <c r="G121" s="30" t="inlineStr">
        <is>
          <t>PSN - OPS - PSN HUB</t>
        </is>
      </c>
      <c r="H121" s="30" t="inlineStr">
        <is>
          <t>LM</t>
        </is>
      </c>
      <c r="I121" s="30" t="inlineStr">
        <is>
          <t>Fake Fail</t>
        </is>
      </c>
      <c r="J121" s="30" t="inlineStr">
        <is>
          <t>Invalid delivery attempt. POD invalid: Call log not connected, location invalid</t>
        </is>
      </c>
      <c r="K121" s="30" t="inlineStr">
        <is>
          <t xml:space="preserve">Putri </t>
        </is>
      </c>
    </row>
    <row r="122">
      <c r="A122" s="30" t="inlineStr">
        <is>
          <t>22/09/2026 09:31:09</t>
        </is>
      </c>
      <c r="B122" s="30" t="inlineStr">
        <is>
          <t>KULIM1550108430772015104</t>
        </is>
      </c>
      <c r="C122" s="30" t="inlineStr">
        <is>
          <t>266082640019</t>
        </is>
      </c>
      <c r="D122" s="30" t="inlineStr">
        <is>
          <t>91857888</t>
        </is>
      </c>
      <c r="E122" s="30" t="inlineStr">
        <is>
          <t>Southern</t>
        </is>
      </c>
      <c r="F122" s="30" t="inlineStr">
        <is>
          <t>NSJ</t>
        </is>
      </c>
      <c r="G122" s="30" t="inlineStr">
        <is>
          <t>NSJ - ID - KHAIRUL BARIAH</t>
        </is>
      </c>
      <c r="H122" s="30" t="inlineStr">
        <is>
          <t>LM</t>
        </is>
      </c>
      <c r="I122" s="30" t="inlineStr">
        <is>
          <t>Fake Fail</t>
        </is>
      </c>
      <c r="J122" s="30" t="inlineStr">
        <is>
          <t>Invalid delivery attempt. POD invalid: Call log not connected, location invalid</t>
        </is>
      </c>
      <c r="K122" s="30" t="inlineStr">
        <is>
          <t xml:space="preserve">Putri </t>
        </is>
      </c>
    </row>
    <row r="123">
      <c r="A123" s="30" t="inlineStr">
        <is>
          <t>22/09/2026 09:34:10</t>
        </is>
      </c>
      <c r="B123" s="30" t="inlineStr">
        <is>
          <t>CASIA1548166026215026688</t>
        </is>
      </c>
      <c r="C123" s="30" t="inlineStr">
        <is>
          <t>263672641283</t>
        </is>
      </c>
      <c r="D123" s="30" t="inlineStr">
        <is>
          <t>91813933</t>
        </is>
      </c>
      <c r="E123" s="30" t="inlineStr">
        <is>
          <t>Southern</t>
        </is>
      </c>
      <c r="F123" s="30" t="inlineStr">
        <is>
          <t>PWR</t>
        </is>
      </c>
      <c r="G123" s="30" t="inlineStr">
        <is>
          <t>PWR - ID - ZULAIKHA</t>
        </is>
      </c>
      <c r="H123" s="30" t="inlineStr">
        <is>
          <t>LM</t>
        </is>
      </c>
      <c r="I123" s="30" t="inlineStr">
        <is>
          <t>Deliver to Wrong Address</t>
        </is>
      </c>
      <c r="J123" s="30" t="inlineStr">
        <is>
          <t>Completed date 2026-09-15 but delivered to the wrong house. Done retrieve and delivered to the correct house</t>
        </is>
      </c>
      <c r="K123" s="30" t="inlineStr">
        <is>
          <t>Syaza</t>
        </is>
      </c>
    </row>
    <row r="124">
      <c r="A124" s="30" t="inlineStr">
        <is>
          <t>22/09/2026 09:34:48</t>
        </is>
      </c>
      <c r="B124" s="30" t="inlineStr">
        <is>
          <t>NVMYMYBAL000039241</t>
        </is>
      </c>
      <c r="C124" s="30" t="inlineStr">
        <is>
          <t>267572646706</t>
        </is>
      </c>
      <c r="D124" s="30" t="inlineStr">
        <is>
          <t>91814193</t>
        </is>
      </c>
      <c r="E124" s="30" t="inlineStr">
        <is>
          <t>Southern</t>
        </is>
      </c>
      <c r="F124" s="30" t="inlineStr">
        <is>
          <t>GLG</t>
        </is>
      </c>
      <c r="G124" s="30" t="inlineStr">
        <is>
          <t>GLG - OPS - ENGKU</t>
        </is>
      </c>
      <c r="H124" s="30" t="inlineStr">
        <is>
          <t>LM</t>
        </is>
      </c>
      <c r="I124" s="30" t="inlineStr">
        <is>
          <t>Fake Fail</t>
        </is>
      </c>
      <c r="J124" s="30" t="inlineStr">
        <is>
          <t>Invalid delivery attempt. POD invalid: Call log not connected, location invalid</t>
        </is>
      </c>
      <c r="K124" s="30" t="inlineStr">
        <is>
          <t xml:space="preserve">Putri </t>
        </is>
      </c>
    </row>
    <row r="125">
      <c r="A125" s="30" t="inlineStr">
        <is>
          <t>22/09/2026 09:37:29</t>
        </is>
      </c>
      <c r="B125" s="30" t="inlineStr">
        <is>
          <t>NVMYDAIGO0SD11689A</t>
        </is>
      </c>
      <c r="C125" s="30" t="inlineStr">
        <is>
          <t>264292647783</t>
        </is>
      </c>
      <c r="D125" s="30" t="inlineStr">
        <is>
          <t>91859989</t>
        </is>
      </c>
      <c r="E125" s="30" t="inlineStr">
        <is>
          <t>KV</t>
        </is>
      </c>
      <c r="F125" s="30" t="inlineStr">
        <is>
          <t>SHA</t>
        </is>
      </c>
      <c r="G125" s="30" t="inlineStr">
        <is>
          <t xml:space="preserve">SHA - ID - AZIZI
</t>
        </is>
      </c>
      <c r="H125" s="30" t="inlineStr">
        <is>
          <t>LM</t>
        </is>
      </c>
      <c r="I125" s="30" t="inlineStr">
        <is>
          <t>Fake Fail</t>
        </is>
      </c>
      <c r="J125" s="30" t="inlineStr">
        <is>
          <t>POD invalid not customer location</t>
        </is>
      </c>
      <c r="K125" s="30" t="inlineStr">
        <is>
          <t>Ninja Hadif</t>
        </is>
      </c>
    </row>
    <row r="126">
      <c r="A126" s="30" t="inlineStr">
        <is>
          <t>22/09/2026 09:41:13</t>
        </is>
      </c>
      <c r="B126" s="30" t="inlineStr">
        <is>
          <t>BBPE1548563273542471680</t>
        </is>
      </c>
      <c r="C126" s="30" t="inlineStr">
        <is>
          <t>260782615041</t>
        </is>
      </c>
      <c r="D126" s="30" t="inlineStr">
        <is>
          <t>91803919</t>
        </is>
      </c>
      <c r="E126" s="30" t="inlineStr">
        <is>
          <t>North West</t>
        </is>
      </c>
      <c r="F126" s="30" t="inlineStr">
        <is>
          <t>BAG</t>
        </is>
      </c>
      <c r="G126" s="30" t="inlineStr">
        <is>
          <t>BAG - OPS - ADAM</t>
        </is>
      </c>
      <c r="H126" s="30" t="inlineStr">
        <is>
          <t>LM</t>
        </is>
      </c>
      <c r="I126" s="30" t="inlineStr">
        <is>
          <t>Fake Fail</t>
        </is>
      </c>
      <c r="J126" s="30" t="inlineStr">
        <is>
          <t>Invalid delivery attempt. POD invalid: Call log not connected, location invalid</t>
        </is>
      </c>
      <c r="K126" s="30" t="inlineStr">
        <is>
          <t xml:space="preserve">Putri </t>
        </is>
      </c>
    </row>
    <row r="127">
      <c r="A127" s="30" t="inlineStr">
        <is>
          <t>22/09/2026 09:46:02</t>
        </is>
      </c>
      <c r="B127" s="30" t="inlineStr">
        <is>
          <t>TNGDV2609156900807310</t>
        </is>
      </c>
      <c r="C127" s="30" t="inlineStr">
        <is>
          <t>260722625175</t>
        </is>
      </c>
      <c r="D127" s="30" t="inlineStr">
        <is>
          <t>91841282</t>
        </is>
      </c>
      <c r="E127" s="30" t="inlineStr">
        <is>
          <t>Northern</t>
        </is>
      </c>
      <c r="F127" s="30" t="inlineStr">
        <is>
          <t xml:space="preserve">KLM </t>
        </is>
      </c>
      <c r="G127" s="30" t="inlineStr">
        <is>
          <t>KLM - ID - HAYATI HAMEED</t>
        </is>
      </c>
      <c r="H127" s="30" t="inlineStr">
        <is>
          <t>LM</t>
        </is>
      </c>
      <c r="I127" s="30" t="inlineStr">
        <is>
          <t>Parcel Dumping</t>
        </is>
      </c>
      <c r="J127" s="30" t="inlineStr">
        <is>
          <t>Completed 2026-09-19 but cust unable to locate the parcel. Customer did not received any call/WS from the driver on the day of the delivery. Cust found it was tucked between the door area</t>
        </is>
      </c>
      <c r="K127" s="30" t="inlineStr">
        <is>
          <t>Syaza</t>
        </is>
      </c>
    </row>
    <row r="128">
      <c r="A128" s="30" t="inlineStr">
        <is>
          <t>22/09/2026 09:48:45</t>
        </is>
      </c>
      <c r="B128" s="30" t="inlineStr">
        <is>
          <t>AJDHU1550340179671482368</t>
        </is>
      </c>
      <c r="C128" s="30" t="inlineStr">
        <is>
          <t>263332654536</t>
        </is>
      </c>
      <c r="D128" s="30" t="inlineStr">
        <is>
          <t>91851652</t>
        </is>
      </c>
      <c r="E128" s="30" t="inlineStr">
        <is>
          <t>Southern</t>
        </is>
      </c>
      <c r="F128" s="30" t="inlineStr">
        <is>
          <t xml:space="preserve">PTN </t>
        </is>
      </c>
      <c r="G128" s="30" t="inlineStr">
        <is>
          <t>PTN - OPS - IZZ</t>
        </is>
      </c>
      <c r="H128" s="30" t="inlineStr">
        <is>
          <t>LM</t>
        </is>
      </c>
      <c r="I128" s="30" t="inlineStr">
        <is>
          <t>Fake Fail</t>
        </is>
      </c>
      <c r="J128" s="30" t="inlineStr">
        <is>
          <t>driver not call the customer and call log is not under customer contact number</t>
        </is>
      </c>
      <c r="K128" s="30" t="inlineStr">
        <is>
          <t>zati</t>
        </is>
      </c>
    </row>
    <row r="129">
      <c r="A129" s="30" t="inlineStr">
        <is>
          <t>22/09/2026 09:55:03</t>
        </is>
      </c>
      <c r="B129" s="30" t="inlineStr">
        <is>
          <t xml:space="preserve">NVMYNINJA002508449
 </t>
        </is>
      </c>
      <c r="C129" s="30" t="inlineStr">
        <is>
          <t>Case</t>
        </is>
      </c>
      <c r="D129" s="30" t="inlineStr">
        <is>
          <t>91827606</t>
        </is>
      </c>
      <c r="E129" s="30" t="inlineStr">
        <is>
          <t>Southern</t>
        </is>
      </c>
      <c r="F129" s="30" t="inlineStr">
        <is>
          <t>KEM</t>
        </is>
      </c>
      <c r="G129" s="30" t="inlineStr">
        <is>
          <t xml:space="preserve">OPS - KEM
</t>
        </is>
      </c>
      <c r="H129" s="30" t="inlineStr">
        <is>
          <t>LM</t>
        </is>
      </c>
      <c r="I129" s="30" t="inlineStr">
        <is>
          <t>Fake Fail</t>
        </is>
      </c>
      <c r="J129" s="30" t="inlineStr">
        <is>
          <t xml:space="preserve">No call / location picture </t>
        </is>
      </c>
      <c r="K129" s="30" t="inlineStr">
        <is>
          <t xml:space="preserve">Shafiq </t>
        </is>
      </c>
    </row>
    <row r="130">
      <c r="A130" s="30" t="inlineStr">
        <is>
          <t>22/09/2026 10:01:05</t>
        </is>
      </c>
      <c r="B130" s="30" t="inlineStr">
        <is>
          <t>NVMYMYAZL000000044</t>
        </is>
      </c>
      <c r="C130" s="30" t="inlineStr">
        <is>
          <t>260882642093</t>
        </is>
      </c>
      <c r="D130" s="30" t="inlineStr">
        <is>
          <t>91856647</t>
        </is>
      </c>
      <c r="E130" s="30" t="inlineStr">
        <is>
          <t>East MY</t>
        </is>
      </c>
      <c r="F130" s="30" t="inlineStr">
        <is>
          <t>PPR</t>
        </is>
      </c>
      <c r="G130" s="30" t="inlineStr">
        <is>
          <t>PPR - ID - CORNOLIUS</t>
        </is>
      </c>
      <c r="H130" s="30" t="inlineStr">
        <is>
          <t>LM</t>
        </is>
      </c>
      <c r="I130" s="30" t="inlineStr">
        <is>
          <t>Fake Fail</t>
        </is>
      </c>
      <c r="J130" s="30" t="inlineStr">
        <is>
          <t>POD not cust contact no</t>
        </is>
      </c>
      <c r="K130" s="30" t="inlineStr">
        <is>
          <t>Zakwan</t>
        </is>
      </c>
    </row>
    <row r="131">
      <c r="A131" s="30" t="inlineStr">
        <is>
          <t>22/09/2026 10:06:19</t>
        </is>
      </c>
      <c r="B131" s="30" t="inlineStr">
        <is>
          <t>NVMYHENEL000011349</t>
        </is>
      </c>
      <c r="C131" s="30" t="inlineStr">
        <is>
          <t>266112645848</t>
        </is>
      </c>
      <c r="D131" s="30" t="inlineStr">
        <is>
          <t>91843238</t>
        </is>
      </c>
      <c r="E131" s="30" t="inlineStr">
        <is>
          <t>Eastern</t>
        </is>
      </c>
      <c r="F131" s="30" t="inlineStr">
        <is>
          <t>TRI</t>
        </is>
      </c>
      <c r="G131" s="30" t="inlineStr">
        <is>
          <t>TRI - ID - SEDI</t>
        </is>
      </c>
      <c r="H131" s="30" t="inlineStr">
        <is>
          <t>LM</t>
        </is>
      </c>
      <c r="I131" s="30" t="inlineStr">
        <is>
          <t>Fake Success</t>
        </is>
      </c>
      <c r="J131" s="30" t="inlineStr">
        <is>
          <t>Parcel fake success and customer did not receive any contact from driver</t>
        </is>
      </c>
      <c r="K131" s="30" t="inlineStr">
        <is>
          <t>Amir</t>
        </is>
      </c>
    </row>
    <row r="132">
      <c r="A132" s="30" t="inlineStr">
        <is>
          <t>22/09/2026 10:07:18</t>
        </is>
      </c>
      <c r="B132" s="30" t="inlineStr">
        <is>
          <t>ZNV211571945-3369</t>
        </is>
      </c>
      <c r="C132" s="30" t="inlineStr">
        <is>
          <t>261232651362</t>
        </is>
      </c>
      <c r="D132" s="30" t="inlineStr">
        <is>
          <t>91852272</t>
        </is>
      </c>
      <c r="E132" s="30" t="inlineStr">
        <is>
          <t>North West</t>
        </is>
      </c>
      <c r="F132" s="30" t="inlineStr">
        <is>
          <t>STW</t>
        </is>
      </c>
      <c r="G132" s="30" t="inlineStr">
        <is>
          <t xml:space="preserve">OPS - NINJAVAN SITIAWAN
</t>
        </is>
      </c>
      <c r="H132" s="30" t="inlineStr">
        <is>
          <t>LM</t>
        </is>
      </c>
      <c r="I132" s="30" t="inlineStr">
        <is>
          <t>Fake Fail</t>
        </is>
      </c>
      <c r="J132" s="30" t="inlineStr">
        <is>
          <t>no call log provided</t>
        </is>
      </c>
      <c r="K132" s="30" t="inlineStr">
        <is>
          <t xml:space="preserve">Naveen </t>
        </is>
      </c>
    </row>
    <row r="133">
      <c r="A133" s="30" t="inlineStr">
        <is>
          <t>22/09/2026 10:12:18</t>
        </is>
      </c>
      <c r="B133" s="30" t="inlineStr">
        <is>
          <t>MAILB1550695095780970496</t>
        </is>
      </c>
      <c r="C133" s="30" t="inlineStr">
        <is>
          <t>269332645978</t>
        </is>
      </c>
      <c r="D133" s="30" t="inlineStr">
        <is>
          <t>91859932</t>
        </is>
      </c>
      <c r="E133" s="30" t="inlineStr">
        <is>
          <t>Southern</t>
        </is>
      </c>
      <c r="F133" s="30" t="inlineStr">
        <is>
          <t>LKN</t>
        </is>
      </c>
      <c r="G133" s="30" t="inlineStr">
        <is>
          <t>LKN - ID - FADZLY</t>
        </is>
      </c>
      <c r="H133" s="30" t="inlineStr">
        <is>
          <t>LM</t>
        </is>
      </c>
      <c r="I133" s="30" t="inlineStr">
        <is>
          <t>Fake Fail</t>
        </is>
      </c>
      <c r="J133" s="30" t="inlineStr">
        <is>
          <t>Invalid delivery attempt. POD invalid: Call log not connected, location invalid</t>
        </is>
      </c>
      <c r="K133" s="30" t="inlineStr">
        <is>
          <t xml:space="preserve">Putri </t>
        </is>
      </c>
    </row>
    <row r="134">
      <c r="A134" s="30" t="inlineStr">
        <is>
          <t>22/09/2026 10:14:21</t>
        </is>
      </c>
      <c r="B134" s="30" t="inlineStr">
        <is>
          <t>FBEAR1549328730363207680</t>
        </is>
      </c>
      <c r="C134" s="30" t="inlineStr">
        <is>
          <t>267662647333</t>
        </is>
      </c>
      <c r="D134" s="30" t="inlineStr">
        <is>
          <t>91844762</t>
        </is>
      </c>
      <c r="E134" s="30" t="inlineStr">
        <is>
          <t>East MY</t>
        </is>
      </c>
      <c r="F134" s="30" t="inlineStr">
        <is>
          <t>PTJ</t>
        </is>
      </c>
      <c r="G134" s="30" t="inlineStr">
        <is>
          <t>PTJ - ID - SITI ZAHARAH</t>
        </is>
      </c>
      <c r="H134" s="30" t="inlineStr">
        <is>
          <t>LM</t>
        </is>
      </c>
      <c r="I134" s="30" t="inlineStr">
        <is>
          <t>Fake Fail</t>
        </is>
      </c>
      <c r="J134" s="30" t="inlineStr">
        <is>
          <t>Invalid delivery attempt. POD invalid: Call log not connected, location invalid</t>
        </is>
      </c>
      <c r="K134" s="30" t="inlineStr">
        <is>
          <t xml:space="preserve">Putri </t>
        </is>
      </c>
    </row>
    <row r="135">
      <c r="A135" s="30" t="inlineStr">
        <is>
          <t>22/09/2026 10:18:18</t>
        </is>
      </c>
      <c r="B135" s="30" t="inlineStr">
        <is>
          <t>TNGE326040018499785030</t>
        </is>
      </c>
      <c r="C135" s="30" t="inlineStr">
        <is>
          <t>267642644376</t>
        </is>
      </c>
      <c r="D135" s="30" t="inlineStr">
        <is>
          <t>91853671</t>
        </is>
      </c>
      <c r="E135" s="30" t="inlineStr">
        <is>
          <t>KV</t>
        </is>
      </c>
      <c r="F135" s="30" t="inlineStr">
        <is>
          <t>SUN</t>
        </is>
      </c>
      <c r="G135" s="30" t="inlineStr">
        <is>
          <t>SUN - OPS - ADAM</t>
        </is>
      </c>
      <c r="H135" s="30" t="inlineStr">
        <is>
          <t>LM</t>
        </is>
      </c>
      <c r="I135" s="30" t="inlineStr">
        <is>
          <t>Fake Fail</t>
        </is>
      </c>
      <c r="J135" s="30" t="inlineStr">
        <is>
          <t>Invalid delivery attempt. POD invalid: Call log not connected, location invalid</t>
        </is>
      </c>
      <c r="K135" s="30" t="inlineStr">
        <is>
          <t xml:space="preserve">Putri </t>
        </is>
      </c>
    </row>
    <row r="136">
      <c r="A136" s="30" t="inlineStr">
        <is>
          <t>22/09/2026 10:20:32</t>
        </is>
      </c>
      <c r="B136" s="30" t="inlineStr">
        <is>
          <t>CCORB1550039098201280512</t>
        </is>
      </c>
      <c r="C136" s="30" t="inlineStr">
        <is>
          <t>262102647928</t>
        </is>
      </c>
      <c r="D136" s="30" t="inlineStr">
        <is>
          <t>91844729</t>
        </is>
      </c>
      <c r="E136" s="30" t="inlineStr">
        <is>
          <t>KV</t>
        </is>
      </c>
      <c r="F136" s="30" t="inlineStr">
        <is>
          <t>PJY</t>
        </is>
      </c>
      <c r="G136" s="30" t="inlineStr">
        <is>
          <t>OPS - PJY</t>
        </is>
      </c>
      <c r="H136" s="30" t="inlineStr">
        <is>
          <t>LM</t>
        </is>
      </c>
      <c r="I136" s="30" t="inlineStr">
        <is>
          <t>Fake Fail</t>
        </is>
      </c>
      <c r="J136" s="30" t="inlineStr">
        <is>
          <t>Invalid delivery attempt. POD invalid: Call log not connected, location invalid</t>
        </is>
      </c>
      <c r="K136" s="30" t="inlineStr">
        <is>
          <t xml:space="preserve">Putri </t>
        </is>
      </c>
    </row>
    <row r="137">
      <c r="A137" s="30" t="inlineStr">
        <is>
          <t>22/09/2026 10:22:23</t>
        </is>
      </c>
      <c r="B137" s="30" t="inlineStr">
        <is>
          <t>NVMYTEPIS000003837</t>
        </is>
      </c>
      <c r="C137" s="30" t="inlineStr">
        <is>
          <t>267362647492</t>
        </is>
      </c>
      <c r="D137" s="30" t="inlineStr">
        <is>
          <t>91856200</t>
        </is>
      </c>
      <c r="E137" s="30" t="inlineStr">
        <is>
          <t>Southern</t>
        </is>
      </c>
      <c r="F137" s="30" t="inlineStr">
        <is>
          <t>HTM</t>
        </is>
      </c>
      <c r="G137" s="30" t="inlineStr">
        <is>
          <t>HTM - ID - OPS</t>
        </is>
      </c>
      <c r="H137" s="30" t="inlineStr">
        <is>
          <t>LM</t>
        </is>
      </c>
      <c r="I137" s="30" t="inlineStr">
        <is>
          <t>Fake Fail</t>
        </is>
      </c>
      <c r="J137" s="30" t="inlineStr">
        <is>
          <t xml:space="preserve">Invalid delivery attempt. POD invalid: Call log not customer's number </t>
        </is>
      </c>
      <c r="K137" s="30" t="inlineStr">
        <is>
          <t xml:space="preserve">Putri </t>
        </is>
      </c>
    </row>
    <row r="138">
      <c r="A138" s="30" t="inlineStr">
        <is>
          <t>22/09/2026 10:26:48</t>
        </is>
      </c>
      <c r="B138" s="30" t="inlineStr">
        <is>
          <t>NLMYWA04659139</t>
        </is>
      </c>
      <c r="C138" s="30" t="inlineStr">
        <is>
          <t>261222648501</t>
        </is>
      </c>
      <c r="D138" s="30" t="inlineStr">
        <is>
          <t>91848210</t>
        </is>
      </c>
      <c r="E138" s="30" t="inlineStr">
        <is>
          <t>East MY</t>
        </is>
      </c>
      <c r="F138" s="30" t="inlineStr">
        <is>
          <t>SBW</t>
        </is>
      </c>
      <c r="G138" s="30" t="inlineStr">
        <is>
          <t>SBW - ID - TAY SUK KUI</t>
        </is>
      </c>
      <c r="H138" s="30" t="inlineStr">
        <is>
          <t>LM</t>
        </is>
      </c>
      <c r="I138" s="30" t="inlineStr">
        <is>
          <t>Deliver to Wrong Address</t>
        </is>
      </c>
      <c r="J138" s="30" t="inlineStr">
        <is>
          <t>Parcel deliver to wrong address and customer not receive the parcel</t>
        </is>
      </c>
      <c r="K138" s="30" t="inlineStr">
        <is>
          <t>Amir</t>
        </is>
      </c>
    </row>
    <row r="139">
      <c r="A139" s="30" t="inlineStr">
        <is>
          <t>22/09/2026 10:28:12</t>
        </is>
      </c>
      <c r="B139" s="30" t="inlineStr">
        <is>
          <t>ESHP003312621</t>
        </is>
      </c>
      <c r="C139" s="30" t="inlineStr">
        <is>
          <t>265902654127</t>
        </is>
      </c>
      <c r="D139" s="30" t="inlineStr">
        <is>
          <t>91856223</t>
        </is>
      </c>
      <c r="E139" s="30" t="inlineStr">
        <is>
          <t>KV</t>
        </is>
      </c>
      <c r="F139" s="30" t="inlineStr">
        <is>
          <t>BTR</t>
        </is>
      </c>
      <c r="G139" s="30" t="inlineStr">
        <is>
          <t>OPS - BTR</t>
        </is>
      </c>
      <c r="H139" s="30" t="inlineStr">
        <is>
          <t>LM</t>
        </is>
      </c>
      <c r="I139" s="30" t="inlineStr">
        <is>
          <t>Fake Fail</t>
        </is>
      </c>
      <c r="J139" s="30" t="inlineStr">
        <is>
          <t xml:space="preserve">Invalid delivery attempt. POD invalid: Whatsapp not customer's number </t>
        </is>
      </c>
      <c r="K139" s="30" t="inlineStr">
        <is>
          <t xml:space="preserve">Putri </t>
        </is>
      </c>
    </row>
    <row r="140">
      <c r="A140" s="30" t="inlineStr">
        <is>
          <t>22/09/2026 10:33:25</t>
        </is>
      </c>
      <c r="B140" s="30" t="inlineStr">
        <is>
          <t>NVMY9MTNY000005885</t>
        </is>
      </c>
      <c r="C140" s="30" t="inlineStr">
        <is>
          <t>261012643928</t>
        </is>
      </c>
      <c r="D140" s="30" t="inlineStr">
        <is>
          <t>91841239</t>
        </is>
      </c>
      <c r="E140" s="30" t="inlineStr">
        <is>
          <t>Northern</t>
        </is>
      </c>
      <c r="F140" s="30" t="inlineStr">
        <is>
          <t>BWH</t>
        </is>
      </c>
      <c r="G140" s="30" t="inlineStr">
        <is>
          <t>BWH - ID - NASRI NOORDIN</t>
        </is>
      </c>
      <c r="H140" s="30" t="inlineStr">
        <is>
          <t>LM</t>
        </is>
      </c>
      <c r="I140" s="30" t="inlineStr">
        <is>
          <t>Fake Success</t>
        </is>
      </c>
      <c r="J140" s="30" t="inlineStr">
        <is>
          <t>Customer not receive the parcel and POD invalid</t>
        </is>
      </c>
      <c r="K140" s="30" t="inlineStr">
        <is>
          <t>Amir</t>
        </is>
      </c>
    </row>
    <row r="141">
      <c r="A141" s="30" t="inlineStr">
        <is>
          <t>22/09/2026 10:37:27</t>
        </is>
      </c>
      <c r="B141" s="30" t="inlineStr">
        <is>
          <t>THIDR17920266</t>
        </is>
      </c>
      <c r="C141" s="30" t="inlineStr">
        <is>
          <t>261202642680</t>
        </is>
      </c>
      <c r="D141" s="30" t="inlineStr">
        <is>
          <t>91856410</t>
        </is>
      </c>
      <c r="E141" s="30" t="inlineStr">
        <is>
          <t>Southern</t>
        </is>
      </c>
      <c r="F141" s="30" t="inlineStr">
        <is>
          <t>KEM</t>
        </is>
      </c>
      <c r="G141" s="30" t="inlineStr">
        <is>
          <t xml:space="preserve">OPS - KEM
</t>
        </is>
      </c>
      <c r="H141" s="30" t="inlineStr">
        <is>
          <t>LM</t>
        </is>
      </c>
      <c r="I141" s="30" t="inlineStr">
        <is>
          <t>Fake Fail</t>
        </is>
      </c>
      <c r="J141" s="30" t="inlineStr">
        <is>
          <t>OPs did not attach valid call log instead only blocked wss</t>
        </is>
      </c>
      <c r="K141" s="30" t="inlineStr">
        <is>
          <t>Syak</t>
        </is>
      </c>
    </row>
    <row r="142">
      <c r="A142" s="30" t="inlineStr">
        <is>
          <t>22/09/2026 10:39:53</t>
        </is>
      </c>
      <c r="B142" s="30" t="inlineStr">
        <is>
          <t>NVMYNINJA002513766</t>
        </is>
      </c>
      <c r="C142" s="30" t="inlineStr">
        <is>
          <t>269382651462</t>
        </is>
      </c>
      <c r="D142" s="30" t="inlineStr">
        <is>
          <t>91859625</t>
        </is>
      </c>
      <c r="E142" s="30" t="inlineStr">
        <is>
          <t>Southern</t>
        </is>
      </c>
      <c r="F142" s="30" t="inlineStr">
        <is>
          <t xml:space="preserve">MUA </t>
        </is>
      </c>
      <c r="G142" s="30" t="inlineStr">
        <is>
          <t>MUA - OPS</t>
        </is>
      </c>
      <c r="H142" s="30" t="inlineStr">
        <is>
          <t>LM</t>
        </is>
      </c>
      <c r="I142" s="30" t="inlineStr">
        <is>
          <t>Fake Fail</t>
        </is>
      </c>
      <c r="J142" s="30" t="inlineStr">
        <is>
          <t>driver attach wrong location the picture is not customer address</t>
        </is>
      </c>
      <c r="K142" s="30" t="inlineStr">
        <is>
          <t>zati</t>
        </is>
      </c>
    </row>
    <row r="143">
      <c r="A143" s="30" t="inlineStr">
        <is>
          <t>22/09/2026 10:45:18</t>
        </is>
      </c>
      <c r="B143" s="30" t="inlineStr">
        <is>
          <t xml:space="preserve">NVMYMYWRI000002165   </t>
        </is>
      </c>
      <c r="C143" s="30" t="inlineStr">
        <is>
          <t>262772652117</t>
        </is>
      </c>
      <c r="D143" s="30" t="inlineStr">
        <is>
          <t>91844859</t>
        </is>
      </c>
      <c r="E143" s="30" t="inlineStr">
        <is>
          <t>Southern</t>
        </is>
      </c>
      <c r="F143" s="30" t="inlineStr">
        <is>
          <t>NSJ</t>
        </is>
      </c>
      <c r="G143" s="30" t="inlineStr">
        <is>
          <t>OPS - NSJ</t>
        </is>
      </c>
      <c r="H143" s="30" t="inlineStr">
        <is>
          <t>LM</t>
        </is>
      </c>
      <c r="I143" s="30" t="inlineStr">
        <is>
          <t>Fake Fail</t>
        </is>
      </c>
      <c r="J143" s="30" t="inlineStr">
        <is>
          <t>driver attach invalid pod no call log attach</t>
        </is>
      </c>
      <c r="K143" s="30" t="inlineStr">
        <is>
          <t>zati</t>
        </is>
      </c>
    </row>
    <row r="144">
      <c r="A144" s="30" t="inlineStr">
        <is>
          <t>22/09/2026 11:26:32</t>
        </is>
      </c>
      <c r="B144" s="30" t="inlineStr">
        <is>
          <t>MUJIM0000089331003</t>
        </is>
      </c>
      <c r="C144" s="30" t="inlineStr">
        <is>
          <t>265262650384</t>
        </is>
      </c>
      <c r="D144" s="30" t="inlineStr">
        <is>
          <t>91844986</t>
        </is>
      </c>
      <c r="E144" s="30" t="inlineStr">
        <is>
          <t>KV</t>
        </is>
      </c>
      <c r="F144" s="30" t="inlineStr">
        <is>
          <t>DSA</t>
        </is>
      </c>
      <c r="G144" s="30" t="inlineStr">
        <is>
          <t>OPS - DSA</t>
        </is>
      </c>
      <c r="H144" s="30" t="inlineStr">
        <is>
          <t>LM</t>
        </is>
      </c>
      <c r="I144" s="30" t="inlineStr">
        <is>
          <t>Fake Fail</t>
        </is>
      </c>
      <c r="J144" s="30" t="inlineStr">
        <is>
          <t xml:space="preserve">Invalid delivery attempt. POD invalid: No call log/location invalid </t>
        </is>
      </c>
      <c r="K144" s="30" t="inlineStr">
        <is>
          <t xml:space="preserve">Putri </t>
        </is>
      </c>
    </row>
    <row r="145">
      <c r="A145" s="30" t="inlineStr">
        <is>
          <t>22/09/2026 11:29:44</t>
        </is>
      </c>
      <c r="B145" s="30" t="inlineStr">
        <is>
          <t>APGUK012000005043821</t>
        </is>
      </c>
      <c r="C145" s="30" t="inlineStr">
        <is>
          <t>264662654641</t>
        </is>
      </c>
      <c r="D145" s="30" t="inlineStr">
        <is>
          <t>91859984</t>
        </is>
      </c>
      <c r="E145" s="30" t="inlineStr">
        <is>
          <t>East MY</t>
        </is>
      </c>
      <c r="F145" s="30" t="inlineStr">
        <is>
          <t>BKW</t>
        </is>
      </c>
      <c r="G145" s="30" t="inlineStr">
        <is>
          <t>BKW - ID - KENNETH</t>
        </is>
      </c>
      <c r="H145" s="30" t="inlineStr">
        <is>
          <t>LM</t>
        </is>
      </c>
      <c r="I145" s="30" t="inlineStr">
        <is>
          <t>Fake Fail</t>
        </is>
      </c>
      <c r="J145" s="30" t="inlineStr">
        <is>
          <t xml:space="preserve">Invalid delivery attempt. POD invalid: Call log no cutsomer's number/location invalid </t>
        </is>
      </c>
      <c r="K145" s="30" t="inlineStr">
        <is>
          <t xml:space="preserve">Putri </t>
        </is>
      </c>
    </row>
    <row r="146">
      <c r="A146" s="30" t="inlineStr">
        <is>
          <t>22/09/2026 11:36:22</t>
        </is>
      </c>
      <c r="B146" s="30" t="inlineStr">
        <is>
          <t>NVMY00SNS102333600</t>
        </is>
      </c>
      <c r="C146" s="30" t="inlineStr">
        <is>
          <t>267412651551</t>
        </is>
      </c>
      <c r="D146" s="30" t="inlineStr">
        <is>
          <t>91856739</t>
        </is>
      </c>
      <c r="E146" s="30" t="inlineStr">
        <is>
          <t>KV</t>
        </is>
      </c>
      <c r="F146" s="30" t="inlineStr">
        <is>
          <t>BGR</t>
        </is>
      </c>
      <c r="G146" s="30" t="inlineStr">
        <is>
          <t>BGR - ID - ZZAID</t>
        </is>
      </c>
      <c r="H146" s="30" t="inlineStr">
        <is>
          <t>LM</t>
        </is>
      </c>
      <c r="I146" s="30" t="inlineStr">
        <is>
          <t>Fake Fail</t>
        </is>
      </c>
      <c r="J146" s="30" t="inlineStr">
        <is>
          <t>Invalid delivery attempt. POD invalid: Call log not connected, location invalid</t>
        </is>
      </c>
      <c r="K146" s="30" t="inlineStr">
        <is>
          <t xml:space="preserve">Putri </t>
        </is>
      </c>
    </row>
    <row r="147">
      <c r="A147" s="30" t="inlineStr">
        <is>
          <t>22/09/2026 11:37:38</t>
        </is>
      </c>
      <c r="B147" s="30" t="inlineStr">
        <is>
          <t>NVMYTCALE000000964</t>
        </is>
      </c>
      <c r="C147" s="30" t="inlineStr">
        <is>
          <t>265052652608</t>
        </is>
      </c>
      <c r="D147" s="30" t="inlineStr">
        <is>
          <t>91844972</t>
        </is>
      </c>
      <c r="E147" s="30" t="inlineStr">
        <is>
          <t>North West</t>
        </is>
      </c>
      <c r="F147" s="30" t="inlineStr">
        <is>
          <t>BAG</t>
        </is>
      </c>
      <c r="G147" s="30" t="inlineStr">
        <is>
          <t>BAG - OPS - ADAM</t>
        </is>
      </c>
      <c r="H147" s="30" t="inlineStr">
        <is>
          <t>LM</t>
        </is>
      </c>
      <c r="I147" s="30" t="inlineStr">
        <is>
          <t>Fake Fail</t>
        </is>
      </c>
      <c r="J147" s="30" t="inlineStr">
        <is>
          <t>driver contact different number</t>
        </is>
      </c>
      <c r="K147" s="30" t="inlineStr">
        <is>
          <t>Hartini</t>
        </is>
      </c>
    </row>
    <row r="148">
      <c r="A148" s="30" t="inlineStr">
        <is>
          <t>22/09/2026 11:41:14</t>
        </is>
      </c>
      <c r="B148" s="30" t="inlineStr">
        <is>
          <t xml:space="preserve">ZMP274355945-2588
</t>
        </is>
      </c>
      <c r="C148" s="30" t="inlineStr">
        <is>
          <t>268702650469</t>
        </is>
      </c>
      <c r="D148" s="30" t="inlineStr">
        <is>
          <t>91859281</t>
        </is>
      </c>
      <c r="E148" s="30" t="inlineStr">
        <is>
          <t>KV</t>
        </is>
      </c>
      <c r="F148" s="30" t="inlineStr">
        <is>
          <t xml:space="preserve">SEG </t>
        </is>
      </c>
      <c r="G148" s="30" t="inlineStr">
        <is>
          <t>SEG - OPS - STATION HEAD</t>
        </is>
      </c>
      <c r="H148" s="30" t="inlineStr">
        <is>
          <t>LM</t>
        </is>
      </c>
      <c r="I148" s="30" t="inlineStr">
        <is>
          <t>Fake Fail</t>
        </is>
      </c>
      <c r="J148" s="30" t="inlineStr">
        <is>
          <t>invalid call log and POD</t>
        </is>
      </c>
      <c r="K148" s="30" t="inlineStr">
        <is>
          <t>Naveen</t>
        </is>
      </c>
    </row>
    <row r="149">
      <c r="A149" s="30" t="inlineStr">
        <is>
          <t>22/09/2026 11:43:02</t>
        </is>
      </c>
      <c r="B149" s="30" t="inlineStr">
        <is>
          <t>BBPE1550736921844985856</t>
        </is>
      </c>
      <c r="C149" s="30" t="inlineStr">
        <is>
          <t>266552653237</t>
        </is>
      </c>
      <c r="D149" s="30" t="inlineStr">
        <is>
          <t>91859712</t>
        </is>
      </c>
      <c r="E149" s="30" t="inlineStr">
        <is>
          <t>KV</t>
        </is>
      </c>
      <c r="F149" s="30" t="inlineStr">
        <is>
          <t>PJY</t>
        </is>
      </c>
      <c r="G149" s="30" t="inlineStr">
        <is>
          <t>OPS - PJY</t>
        </is>
      </c>
      <c r="H149" s="30" t="inlineStr">
        <is>
          <t>LM</t>
        </is>
      </c>
      <c r="I149" s="30" t="inlineStr">
        <is>
          <t>Fake Fail</t>
        </is>
      </c>
      <c r="J149" s="30" t="inlineStr">
        <is>
          <t xml:space="preserve">Invalid delivery attempt. POD invalid: Call log not customer's number </t>
        </is>
      </c>
      <c r="K149" s="30" t="inlineStr">
        <is>
          <t xml:space="preserve">Putri </t>
        </is>
      </c>
    </row>
    <row r="150">
      <c r="A150" s="30" t="inlineStr">
        <is>
          <t>22/09/2026 11:46:07</t>
        </is>
      </c>
      <c r="B150" s="30" t="inlineStr">
        <is>
          <t>TNGDV2608306813565210</t>
        </is>
      </c>
      <c r="C150" s="30" t="inlineStr">
        <is>
          <t>263112659952</t>
        </is>
      </c>
      <c r="D150" s="30" t="inlineStr">
        <is>
          <t>91836319, 91715305</t>
        </is>
      </c>
      <c r="E150" s="30" t="inlineStr">
        <is>
          <t>Southern</t>
        </is>
      </c>
      <c r="F150" s="30" t="inlineStr">
        <is>
          <t>LKN</t>
        </is>
      </c>
      <c r="G150" s="30" t="inlineStr">
        <is>
          <t>SWG - HD - NUH, LKN - OPS</t>
        </is>
      </c>
      <c r="H150" s="30" t="inlineStr">
        <is>
          <t>LM</t>
        </is>
      </c>
      <c r="I150" s="30" t="inlineStr">
        <is>
          <t>Fake Fail</t>
        </is>
      </c>
      <c r="J150" s="30" t="inlineStr">
        <is>
          <t>Invalid delivery attempt. POD invalid: Call log not customer's number/wrong driver route the parcel (SWG)</t>
        </is>
      </c>
      <c r="K150" s="30" t="inlineStr">
        <is>
          <t>Putri</t>
        </is>
      </c>
    </row>
    <row r="151">
      <c r="A151" s="30" t="inlineStr">
        <is>
          <t>22/09/2026 11:52:26</t>
        </is>
      </c>
      <c r="B151" s="30" t="inlineStr">
        <is>
          <t>TNGE126007020392797000</t>
        </is>
      </c>
      <c r="C151" s="30" t="inlineStr">
        <is>
          <t>267792658085</t>
        </is>
      </c>
      <c r="D151" s="30" t="inlineStr">
        <is>
          <t>91857588</t>
        </is>
      </c>
      <c r="E151" s="30" t="inlineStr">
        <is>
          <t>KV</t>
        </is>
      </c>
      <c r="F151" s="30" t="inlineStr">
        <is>
          <t>CJY</t>
        </is>
      </c>
      <c r="G151" s="30" t="inlineStr">
        <is>
          <t>CJY - ID - KHAIRUL AZMIL</t>
        </is>
      </c>
      <c r="H151" s="30" t="inlineStr">
        <is>
          <t>LM</t>
        </is>
      </c>
      <c r="I151" s="30" t="inlineStr">
        <is>
          <t>Fake Fail</t>
        </is>
      </c>
      <c r="J151" s="30" t="inlineStr">
        <is>
          <t xml:space="preserve">Invalid delivery attempt. POD invalid: Location not customer's/call log invalid </t>
        </is>
      </c>
      <c r="K151" s="30" t="inlineStr">
        <is>
          <t xml:space="preserve">Putri </t>
        </is>
      </c>
    </row>
    <row r="152">
      <c r="A152" s="30" t="inlineStr">
        <is>
          <t>22/09/2026 11:56:44</t>
        </is>
      </c>
      <c r="B152" s="30" t="inlineStr">
        <is>
          <t>NVMYHJSBG000023117</t>
        </is>
      </c>
      <c r="C152" s="30" t="inlineStr">
        <is>
          <t>260392654141</t>
        </is>
      </c>
      <c r="D152" s="30" t="inlineStr">
        <is>
          <t>91844729</t>
        </is>
      </c>
      <c r="E152" s="30" t="inlineStr">
        <is>
          <t>KV</t>
        </is>
      </c>
      <c r="F152" s="30" t="inlineStr">
        <is>
          <t>PJY</t>
        </is>
      </c>
      <c r="G152" s="30" t="inlineStr">
        <is>
          <t>OPS - PJY</t>
        </is>
      </c>
      <c r="H152" s="30" t="inlineStr">
        <is>
          <t>LM</t>
        </is>
      </c>
      <c r="I152" s="30" t="inlineStr">
        <is>
          <t>Fake Fail</t>
        </is>
      </c>
      <c r="J152" s="30" t="inlineStr">
        <is>
          <t xml:space="preserve">Invalid delivery attempt. POD invalid: No call log, location not customer's </t>
        </is>
      </c>
      <c r="K152" s="30" t="inlineStr">
        <is>
          <t xml:space="preserve">Putri </t>
        </is>
      </c>
    </row>
    <row r="153">
      <c r="A153" s="30" t="inlineStr">
        <is>
          <t>22/09/2026 11:59:28</t>
        </is>
      </c>
      <c r="B153" s="30" t="inlineStr">
        <is>
          <t>AEMYA000629951</t>
        </is>
      </c>
      <c r="C153" s="30" t="inlineStr">
        <is>
          <t>260662658947</t>
        </is>
      </c>
      <c r="D153" s="30" t="inlineStr">
        <is>
          <t>91854873</t>
        </is>
      </c>
      <c r="E153" s="30" t="inlineStr">
        <is>
          <t>KV</t>
        </is>
      </c>
      <c r="F153" s="30" t="inlineStr">
        <is>
          <t>DSA</t>
        </is>
      </c>
      <c r="G153" s="30" t="inlineStr">
        <is>
          <t>OPS - DSA</t>
        </is>
      </c>
      <c r="H153" s="30" t="inlineStr">
        <is>
          <t>LM</t>
        </is>
      </c>
      <c r="I153" s="30" t="inlineStr">
        <is>
          <t>Fake Fail</t>
        </is>
      </c>
      <c r="J153" s="30" t="inlineStr">
        <is>
          <t xml:space="preserve">Invalid delivery attempt. POD invalid: No call log/location invalid </t>
        </is>
      </c>
      <c r="K153" s="30" t="inlineStr">
        <is>
          <t xml:space="preserve">Putri </t>
        </is>
      </c>
    </row>
    <row r="154">
      <c r="A154" s="30" t="inlineStr">
        <is>
          <t>22/09/2026 12:16:22</t>
        </is>
      </c>
      <c r="B154" s="30" t="inlineStr">
        <is>
          <t>NVMYTEPIS000003833</t>
        </is>
      </c>
      <c r="C154" s="30" t="inlineStr">
        <is>
          <t>268842659453</t>
        </is>
      </c>
      <c r="D154" s="30" t="inlineStr">
        <is>
          <t>91856201</t>
        </is>
      </c>
      <c r="E154" s="30" t="inlineStr">
        <is>
          <t>Southern</t>
        </is>
      </c>
      <c r="F154" s="30" t="inlineStr">
        <is>
          <t>HTM</t>
        </is>
      </c>
      <c r="G154" s="30" t="inlineStr">
        <is>
          <t>HTM - HD - SAFIQAH</t>
        </is>
      </c>
      <c r="H154" s="30" t="inlineStr">
        <is>
          <t>LM</t>
        </is>
      </c>
      <c r="I154" s="30" t="inlineStr">
        <is>
          <t>Fake Fail</t>
        </is>
      </c>
      <c r="J154" s="30" t="inlineStr">
        <is>
          <t>Invalid delivery attempt. POD invalid: No call log/No location/ Whatsapp unanswered</t>
        </is>
      </c>
      <c r="K154" s="30" t="inlineStr">
        <is>
          <t xml:space="preserve">Putri </t>
        </is>
      </c>
    </row>
    <row r="155">
      <c r="A155" s="30" t="inlineStr">
        <is>
          <t>22/09/2026 12:22:24</t>
        </is>
      </c>
      <c r="B155" s="30" t="inlineStr">
        <is>
          <t>NVMYTEPIS000003807</t>
        </is>
      </c>
      <c r="C155" s="30" t="inlineStr">
        <is>
          <t>268842659453</t>
        </is>
      </c>
      <c r="D155" s="30" t="inlineStr">
        <is>
          <t>91845017</t>
        </is>
      </c>
      <c r="E155" s="30" t="inlineStr">
        <is>
          <t>KV</t>
        </is>
      </c>
      <c r="F155" s="30" t="inlineStr">
        <is>
          <t>OUG</t>
        </is>
      </c>
      <c r="G155" s="30" t="inlineStr">
        <is>
          <t>OPS - OUG</t>
        </is>
      </c>
      <c r="H155" s="30" t="inlineStr">
        <is>
          <t>LM</t>
        </is>
      </c>
      <c r="I155" s="30" t="inlineStr">
        <is>
          <t>Fake Fail</t>
        </is>
      </c>
      <c r="J155" s="30" t="inlineStr">
        <is>
          <t>Invalid delivery attempt. POD invalid: Call log not connected, location invalid</t>
        </is>
      </c>
      <c r="K155" s="30" t="inlineStr">
        <is>
          <t xml:space="preserve">Putri </t>
        </is>
      </c>
    </row>
    <row r="156">
      <c r="A156" s="30" t="inlineStr">
        <is>
          <t>22/09/2026 12:28:53</t>
        </is>
      </c>
      <c r="B156" s="30" t="inlineStr">
        <is>
          <t>NVMYNINJA002518185</t>
        </is>
      </c>
      <c r="C156" s="30" t="inlineStr">
        <is>
          <t>267022651082</t>
        </is>
      </c>
      <c r="D156" s="30" t="inlineStr">
        <is>
          <t>91859712</t>
        </is>
      </c>
      <c r="E156" s="30" t="inlineStr">
        <is>
          <t>KV</t>
        </is>
      </c>
      <c r="F156" s="30" t="inlineStr">
        <is>
          <t>PJY</t>
        </is>
      </c>
      <c r="G156" s="30" t="inlineStr">
        <is>
          <t>OPS - PJY</t>
        </is>
      </c>
      <c r="H156" s="30" t="inlineStr">
        <is>
          <t>LM</t>
        </is>
      </c>
      <c r="I156" s="30" t="inlineStr">
        <is>
          <t>Fake Fail</t>
        </is>
      </c>
      <c r="J156" s="30" t="inlineStr">
        <is>
          <t>Invalid delivery attempt. POD invalid: Call log not connected, location invalid</t>
        </is>
      </c>
      <c r="K156" s="30" t="inlineStr">
        <is>
          <t xml:space="preserve">Putri </t>
        </is>
      </c>
    </row>
    <row r="157">
      <c r="A157" s="30" t="inlineStr">
        <is>
          <t>22/09/2026 12:37:13</t>
        </is>
      </c>
      <c r="B157" s="30" t="inlineStr">
        <is>
          <t>TNGDV2609086877050030</t>
        </is>
      </c>
      <c r="C157" s="30" t="inlineStr">
        <is>
          <t>265512564468</t>
        </is>
      </c>
      <c r="D157" s="30" t="inlineStr">
        <is>
          <t>91779280</t>
        </is>
      </c>
      <c r="E157" s="30" t="inlineStr">
        <is>
          <t>KV</t>
        </is>
      </c>
      <c r="F157" s="30" t="inlineStr">
        <is>
          <t>PUC</t>
        </is>
      </c>
      <c r="G157" s="30" t="inlineStr">
        <is>
          <t>PUC - HD - RASHID</t>
        </is>
      </c>
      <c r="H157" s="30" t="inlineStr">
        <is>
          <t>LM</t>
        </is>
      </c>
      <c r="I157" s="30" t="inlineStr">
        <is>
          <t>Fake Success</t>
        </is>
      </c>
      <c r="J157" s="30" t="inlineStr">
        <is>
          <t>The parcel was completed on 11/9 but the customer received it a few days later</t>
        </is>
      </c>
      <c r="K157" s="30" t="inlineStr">
        <is>
          <t>Wani</t>
        </is>
      </c>
    </row>
    <row r="158">
      <c r="A158" s="30" t="inlineStr">
        <is>
          <t>22/09/2026 12:39:01</t>
        </is>
      </c>
      <c r="B158" s="30" t="inlineStr">
        <is>
          <t>TNGDV2609096888689700</t>
        </is>
      </c>
      <c r="C158" s="30" t="inlineStr">
        <is>
          <t>269102611374</t>
        </is>
      </c>
      <c r="D158" s="30" t="inlineStr">
        <is>
          <t>91795125</t>
        </is>
      </c>
      <c r="E158" s="30" t="inlineStr">
        <is>
          <t>Southern</t>
        </is>
      </c>
      <c r="F158" s="30" t="inlineStr">
        <is>
          <t>TRM</t>
        </is>
      </c>
      <c r="G158" s="30" t="inlineStr">
        <is>
          <t>JUNAI DAH</t>
        </is>
      </c>
      <c r="H158" s="30" t="inlineStr">
        <is>
          <t>LM</t>
        </is>
      </c>
      <c r="I158" s="30" t="inlineStr">
        <is>
          <t>Fake Success</t>
        </is>
      </c>
      <c r="J158" s="30" t="inlineStr">
        <is>
          <t>Driver success the delivery but the customer did not receive the parcel on 13/9/2026. After complaint was made, REC already revert the status and will resume delivery</t>
        </is>
      </c>
      <c r="K158" s="30" t="inlineStr">
        <is>
          <t>Daus</t>
        </is>
      </c>
    </row>
    <row r="159">
      <c r="A159" s="30" t="inlineStr">
        <is>
          <t>22/09/2026 12:50:27</t>
        </is>
      </c>
      <c r="B159" s="30" t="inlineStr">
        <is>
          <t>TNGE125896323458678000</t>
        </is>
      </c>
      <c r="C159" s="30" t="inlineStr">
        <is>
          <t>260372615559</t>
        </is>
      </c>
      <c r="D159" s="30" t="inlineStr">
        <is>
          <t>91722238</t>
        </is>
      </c>
      <c r="E159" s="30" t="inlineStr">
        <is>
          <t>Southern</t>
        </is>
      </c>
      <c r="F159" s="30" t="inlineStr">
        <is>
          <t>MAS</t>
        </is>
      </c>
      <c r="G159" s="30" t="inlineStr">
        <is>
          <t>MAS - ID - ZULKARNIAN</t>
        </is>
      </c>
      <c r="H159" s="30" t="inlineStr">
        <is>
          <t>LM</t>
        </is>
      </c>
      <c r="I159" s="30" t="inlineStr">
        <is>
          <t>Fake Success</t>
        </is>
      </c>
      <c r="J159" s="30" t="inlineStr">
        <is>
          <t>Driver completed the delivery on 5/9/2026 but the customer did not receive it. After complaint was made, customer claimed the driver already compensate the customer on 22/9/2026</t>
        </is>
      </c>
      <c r="K159" s="30" t="inlineStr">
        <is>
          <t>Daus</t>
        </is>
      </c>
    </row>
    <row r="160">
      <c r="A160" s="30" t="inlineStr">
        <is>
          <t>22/09/2026 12:51:05</t>
        </is>
      </c>
      <c r="B160" s="30" t="inlineStr">
        <is>
          <t xml:space="preserve">NVMYANIMO000001482 </t>
        </is>
      </c>
      <c r="C160" s="30" t="inlineStr">
        <is>
          <t>266212652199</t>
        </is>
      </c>
      <c r="D160" s="30" t="inlineStr">
        <is>
          <t xml:space="preserve">
91837504
91853671 </t>
        </is>
      </c>
      <c r="E160" s="30" t="inlineStr">
        <is>
          <t>KV</t>
        </is>
      </c>
      <c r="F160" s="30" t="inlineStr">
        <is>
          <t xml:space="preserve">SUN </t>
        </is>
      </c>
      <c r="G160" s="30" t="inlineStr">
        <is>
          <t xml:space="preserve">SUN - OPS - ADAM
</t>
        </is>
      </c>
      <c r="H160" s="30" t="inlineStr">
        <is>
          <t>LM</t>
        </is>
      </c>
      <c r="I160" s="30" t="inlineStr">
        <is>
          <t>Fake Fail</t>
        </is>
      </c>
      <c r="J160" s="30" t="inlineStr">
        <is>
          <t xml:space="preserve">POD not customer house </t>
        </is>
      </c>
      <c r="K160" s="30" t="inlineStr">
        <is>
          <t xml:space="preserve">Syafiq </t>
        </is>
      </c>
    </row>
    <row r="161">
      <c r="A161" s="30" t="inlineStr">
        <is>
          <t>22/09/2026 12:59:55</t>
        </is>
      </c>
      <c r="B161" s="30" t="inlineStr">
        <is>
          <t>ZMP212817945-9249</t>
        </is>
      </c>
      <c r="C161" s="30" t="inlineStr">
        <is>
          <t>269212656319</t>
        </is>
      </c>
      <c r="D161" s="30" t="inlineStr">
        <is>
          <t>91859281</t>
        </is>
      </c>
      <c r="E161" s="30" t="inlineStr">
        <is>
          <t>KV</t>
        </is>
      </c>
      <c r="F161" s="30" t="inlineStr">
        <is>
          <t>SEG</t>
        </is>
      </c>
      <c r="G161" s="30" t="inlineStr">
        <is>
          <t>SEG - OPS - STATION HEAD</t>
        </is>
      </c>
      <c r="H161" s="30" t="inlineStr">
        <is>
          <t>LM</t>
        </is>
      </c>
      <c r="I161" s="30" t="inlineStr">
        <is>
          <t>Fake Fail</t>
        </is>
      </c>
      <c r="J161" s="30" t="inlineStr">
        <is>
          <t xml:space="preserve">Call log &amp; site photo are not the customer's </t>
        </is>
      </c>
      <c r="K161" s="30" t="inlineStr">
        <is>
          <t>Wani</t>
        </is>
      </c>
    </row>
    <row r="162">
      <c r="A162" s="30" t="inlineStr">
        <is>
          <t>22/09/2026 13:06:48</t>
        </is>
      </c>
      <c r="B162" s="30" t="inlineStr">
        <is>
          <t>JYHMYNJVM2026090738X</t>
        </is>
      </c>
      <c r="C162" s="30" t="inlineStr">
        <is>
          <t>265152658968</t>
        </is>
      </c>
      <c r="D162" s="30" t="inlineStr">
        <is>
          <t>91857327</t>
        </is>
      </c>
      <c r="E162" s="30" t="inlineStr">
        <is>
          <t>Southern</t>
        </is>
      </c>
      <c r="F162" s="30" t="inlineStr">
        <is>
          <t>TRM</t>
        </is>
      </c>
      <c r="G162" s="30" t="inlineStr">
        <is>
          <t>TRM - ID - AZREEN</t>
        </is>
      </c>
      <c r="H162" s="30" t="inlineStr">
        <is>
          <t>LM</t>
        </is>
      </c>
      <c r="I162" s="30" t="inlineStr">
        <is>
          <t>Fake Fail</t>
        </is>
      </c>
      <c r="J162" s="30" t="inlineStr">
        <is>
          <t xml:space="preserve">Invalid delivery attempt. POD invalid: Call log not customer's number </t>
        </is>
      </c>
      <c r="K162" s="30" t="inlineStr">
        <is>
          <t>Putri</t>
        </is>
      </c>
    </row>
    <row r="163">
      <c r="A163" s="30" t="inlineStr">
        <is>
          <t>22/09/2026 13:06:11</t>
        </is>
      </c>
      <c r="B163" s="30" t="inlineStr">
        <is>
          <t>AEMYA000620728</t>
        </is>
      </c>
      <c r="C163" s="30" t="inlineStr">
        <is>
          <t>268122587333</t>
        </is>
      </c>
      <c r="D163" s="30" t="inlineStr">
        <is>
          <t>91785855</t>
        </is>
      </c>
      <c r="E163" s="30" t="inlineStr">
        <is>
          <t>KV</t>
        </is>
      </c>
      <c r="F163" s="30" t="inlineStr">
        <is>
          <t xml:space="preserve">OUG </t>
        </is>
      </c>
      <c r="G163" s="30" t="inlineStr">
        <is>
          <t>OUG - ID - MUHAMAR</t>
        </is>
      </c>
      <c r="H163" s="30" t="inlineStr">
        <is>
          <t>LM</t>
        </is>
      </c>
      <c r="I163" s="30" t="inlineStr">
        <is>
          <t>Fake Fail</t>
        </is>
      </c>
      <c r="J163" s="30" t="inlineStr">
        <is>
          <t>Driver deliver the parcel to wrong block on 12/9/2026. After complaint was made, customer already receive the parcel on 22/9/2026</t>
        </is>
      </c>
      <c r="K163" s="30" t="inlineStr">
        <is>
          <t>Daus</t>
        </is>
      </c>
    </row>
    <row r="164">
      <c r="A164" s="30" t="inlineStr">
        <is>
          <t>22/09/2026 13:09:46</t>
        </is>
      </c>
      <c r="B164" s="30" t="inlineStr">
        <is>
          <t>WNJMY00915882908</t>
        </is>
      </c>
      <c r="C164" s="30" t="inlineStr">
        <is>
          <t>262362659423</t>
        </is>
      </c>
      <c r="D164" s="30" t="inlineStr">
        <is>
          <t>91836350
91859979</t>
        </is>
      </c>
      <c r="E164" s="30" t="inlineStr">
        <is>
          <t>East MY</t>
        </is>
      </c>
      <c r="F164" s="30" t="inlineStr">
        <is>
          <t xml:space="preserve">BKW </t>
        </is>
      </c>
      <c r="G164" s="30" t="inlineStr">
        <is>
          <t>BKW - OPS - SELFCOLLECT
BKW - OPS - SELFCOLLECT</t>
        </is>
      </c>
      <c r="H164" s="30" t="inlineStr">
        <is>
          <t>LM</t>
        </is>
      </c>
      <c r="I164" s="30" t="inlineStr">
        <is>
          <t>Fake Fail</t>
        </is>
      </c>
      <c r="J164" s="30" t="inlineStr">
        <is>
          <t>invalid POD</t>
        </is>
      </c>
      <c r="K164" s="30" t="inlineStr">
        <is>
          <t>Naveen</t>
        </is>
      </c>
    </row>
    <row r="165">
      <c r="A165" s="30" t="inlineStr">
        <is>
          <t>22/09/2026 13:12:43</t>
        </is>
      </c>
      <c r="B165" s="30" t="inlineStr">
        <is>
          <t>NVMYMSNCK000003762</t>
        </is>
      </c>
      <c r="C165" s="30" t="inlineStr">
        <is>
          <t>267272622221</t>
        </is>
      </c>
      <c r="D165" s="30" t="inlineStr">
        <is>
          <t>91818675</t>
        </is>
      </c>
      <c r="E165" s="30" t="inlineStr">
        <is>
          <t>KV</t>
        </is>
      </c>
      <c r="F165" s="30" t="inlineStr">
        <is>
          <t xml:space="preserve">BTR </t>
        </is>
      </c>
      <c r="G165" s="30" t="inlineStr">
        <is>
          <t>BTR - ID - KHAIRAN</t>
        </is>
      </c>
      <c r="H165" s="30" t="inlineStr">
        <is>
          <t>LM</t>
        </is>
      </c>
      <c r="I165" s="30" t="inlineStr">
        <is>
          <t>Fake Success</t>
        </is>
      </c>
      <c r="J165" s="30" t="inlineStr">
        <is>
          <t xml:space="preserve">Driver success the delivery but provide invalid POD on 16/9/2026. After complaint was made, REC claimed parcel has been delivered to customer </t>
        </is>
      </c>
      <c r="K165" s="30" t="inlineStr">
        <is>
          <t>Daus</t>
        </is>
      </c>
    </row>
    <row r="166">
      <c r="A166" s="30" t="inlineStr">
        <is>
          <t>22/09/2026 13:15:42</t>
        </is>
      </c>
      <c r="B166" s="30" t="inlineStr">
        <is>
          <t>NVMYZZTAP000002334</t>
        </is>
      </c>
      <c r="C166" s="30" t="inlineStr">
        <is>
          <t>263502657913</t>
        </is>
      </c>
      <c r="D166" s="30" t="inlineStr">
        <is>
          <t>91840183
91848462</t>
        </is>
      </c>
      <c r="E166" s="30" t="inlineStr">
        <is>
          <t>KV</t>
        </is>
      </c>
      <c r="F166" s="30" t="inlineStr">
        <is>
          <t xml:space="preserve">KSR </t>
        </is>
      </c>
      <c r="G166" s="30" t="inlineStr">
        <is>
          <t>KSR - ID - AZRI</t>
        </is>
      </c>
      <c r="H166" s="30" t="inlineStr">
        <is>
          <t>LM</t>
        </is>
      </c>
      <c r="I166" s="30" t="inlineStr">
        <is>
          <t>Fake Fail</t>
        </is>
      </c>
      <c r="J166" s="30" t="inlineStr">
        <is>
          <t>Invalid POD</t>
        </is>
      </c>
      <c r="K166" s="30" t="inlineStr">
        <is>
          <t xml:space="preserve">Naveen </t>
        </is>
      </c>
    </row>
    <row r="167">
      <c r="A167" s="30" t="inlineStr">
        <is>
          <t>22/09/2026 13:18:03</t>
        </is>
      </c>
      <c r="B167" s="30" t="inlineStr">
        <is>
          <t>TNGDV2609116876150630</t>
        </is>
      </c>
      <c r="C167" s="30" t="inlineStr">
        <is>
          <t>264882628888</t>
        </is>
      </c>
      <c r="D167" s="30" t="inlineStr">
        <is>
          <t>91824945</t>
        </is>
      </c>
      <c r="E167" s="30" t="inlineStr">
        <is>
          <t>North West</t>
        </is>
      </c>
      <c r="F167" s="30" t="inlineStr">
        <is>
          <t xml:space="preserve">TIN </t>
        </is>
      </c>
      <c r="G167" s="30" t="inlineStr">
        <is>
          <t>TIN - HD - AKHIYAR</t>
        </is>
      </c>
      <c r="H167" s="30" t="inlineStr">
        <is>
          <t>LM</t>
        </is>
      </c>
      <c r="I167" s="30" t="inlineStr">
        <is>
          <t>Fake Success</t>
        </is>
      </c>
      <c r="J167" s="30" t="inlineStr">
        <is>
          <t>POD provided was invalid and customer did not receive on 17/9/2026. After complaint was made, customer claimed already receive on 21/9/2026</t>
        </is>
      </c>
      <c r="K167" s="30" t="inlineStr">
        <is>
          <t>Daus</t>
        </is>
      </c>
    </row>
    <row r="168">
      <c r="A168" s="30" t="inlineStr">
        <is>
          <t>22/09/2026 13:26:46</t>
        </is>
      </c>
      <c r="B168" s="30" t="inlineStr">
        <is>
          <t>NVMY20168000067284</t>
        </is>
      </c>
      <c r="C168" s="30" t="inlineStr">
        <is>
          <t>266222643287</t>
        </is>
      </c>
      <c r="D168" s="30" t="inlineStr">
        <is>
          <t>91826364</t>
        </is>
      </c>
      <c r="E168" s="30" t="inlineStr">
        <is>
          <t>Southern</t>
        </is>
      </c>
      <c r="F168" s="30" t="inlineStr">
        <is>
          <t xml:space="preserve">BPT </t>
        </is>
      </c>
      <c r="G168" s="30" t="inlineStr">
        <is>
          <t>BPT - ID - SUZIEANA ISA</t>
        </is>
      </c>
      <c r="H168" s="30" t="inlineStr">
        <is>
          <t>LM</t>
        </is>
      </c>
      <c r="I168" s="30" t="inlineStr">
        <is>
          <t>Fake Success</t>
        </is>
      </c>
      <c r="J168" s="30" t="inlineStr">
        <is>
          <t>Driver success the delivery on 17/9/2026 but the customer did not receive the parcel. After complaint was made, customer already receive the parcel on 22/9/2026</t>
        </is>
      </c>
      <c r="K168" s="30" t="inlineStr">
        <is>
          <t>Daus</t>
        </is>
      </c>
    </row>
    <row r="169">
      <c r="A169" s="30" t="inlineStr">
        <is>
          <t>22/09/2026 13:42:36</t>
        </is>
      </c>
      <c r="B169" s="30" t="inlineStr">
        <is>
          <t>KIMKB1528948758730264576</t>
        </is>
      </c>
      <c r="C169" s="30" t="inlineStr">
        <is>
          <t>266822644396</t>
        </is>
      </c>
      <c r="D169" s="30" t="inlineStr">
        <is>
          <t>91822495</t>
        </is>
      </c>
      <c r="E169" s="30" t="inlineStr">
        <is>
          <t>KV</t>
        </is>
      </c>
      <c r="F169" s="30" t="inlineStr">
        <is>
          <t>BTR</t>
        </is>
      </c>
      <c r="G169" s="30" t="inlineStr">
        <is>
          <t>PUTERI NUR</t>
        </is>
      </c>
      <c r="H169" s="30" t="inlineStr">
        <is>
          <t>LM</t>
        </is>
      </c>
      <c r="I169" s="30" t="inlineStr">
        <is>
          <t>Fake Success</t>
        </is>
      </c>
      <c r="J169" s="30" t="inlineStr">
        <is>
          <t>Driver success the delivery under completed RTS on 17/9/2026. After complaint was made, REC already revert the status and redeliver to customer on 22/9/2026</t>
        </is>
      </c>
      <c r="K169" s="30" t="inlineStr">
        <is>
          <t>Daus</t>
        </is>
      </c>
    </row>
    <row r="170">
      <c r="A170" s="30" t="inlineStr">
        <is>
          <t>22/09/2026 13:49:58</t>
        </is>
      </c>
      <c r="B170" s="30" t="inlineStr">
        <is>
          <t>AEMYA000625234</t>
        </is>
      </c>
      <c r="C170" s="30" t="inlineStr">
        <is>
          <t>268672658930</t>
        </is>
      </c>
      <c r="D170" s="30" t="inlineStr">
        <is>
          <t>91832976</t>
        </is>
      </c>
      <c r="E170" s="30" t="inlineStr">
        <is>
          <t>Southern</t>
        </is>
      </c>
      <c r="F170" s="30" t="inlineStr">
        <is>
          <t>NSJ</t>
        </is>
      </c>
      <c r="G170" s="30" t="inlineStr">
        <is>
          <t>OPS - NSJ</t>
        </is>
      </c>
      <c r="H170" s="30" t="inlineStr">
        <is>
          <t>LM</t>
        </is>
      </c>
      <c r="I170" s="30" t="inlineStr">
        <is>
          <t>Fake Fail</t>
        </is>
      </c>
      <c r="J170" s="30" t="inlineStr">
        <is>
          <t xml:space="preserve">Invalid delivery attempt. POD invalid: No call log/location is not customer's </t>
        </is>
      </c>
      <c r="K170" s="30" t="inlineStr">
        <is>
          <t xml:space="preserve">Putri </t>
        </is>
      </c>
    </row>
    <row r="171">
      <c r="A171" s="30" t="inlineStr">
        <is>
          <t>22/09/2026 13:52:20</t>
        </is>
      </c>
      <c r="B171" s="30" t="inlineStr">
        <is>
          <t>XHY00400470</t>
        </is>
      </c>
      <c r="C171" s="30" t="inlineStr">
        <is>
          <t>264712650136</t>
        </is>
      </c>
      <c r="D171" s="30" t="inlineStr">
        <is>
          <t>91857337</t>
        </is>
      </c>
      <c r="E171" s="30" t="inlineStr">
        <is>
          <t>Southern</t>
        </is>
      </c>
      <c r="F171" s="30" t="inlineStr">
        <is>
          <t>TRM</t>
        </is>
      </c>
      <c r="G171" s="30" t="inlineStr">
        <is>
          <t>TRM - OPS - ULU TIRAM</t>
        </is>
      </c>
      <c r="H171" s="30" t="inlineStr">
        <is>
          <t>LM</t>
        </is>
      </c>
      <c r="I171" s="30" t="inlineStr">
        <is>
          <t>Fake Fail</t>
        </is>
      </c>
      <c r="J171" s="30" t="inlineStr">
        <is>
          <t>Invalid delivery attempt. POD invalid: Call log not connected, location invalid</t>
        </is>
      </c>
      <c r="K171" s="30" t="inlineStr">
        <is>
          <t xml:space="preserve">Putri </t>
        </is>
      </c>
    </row>
    <row r="172">
      <c r="A172" s="30" t="inlineStr">
        <is>
          <t>22/09/2026 13:53:55</t>
        </is>
      </c>
      <c r="B172" s="30" t="inlineStr">
        <is>
          <t>NVMYSFPRO000001022-001</t>
        </is>
      </c>
      <c r="C172" s="30" t="inlineStr">
        <is>
          <t>268952659103</t>
        </is>
      </c>
      <c r="D172" s="30" t="inlineStr">
        <is>
          <t>91823639</t>
        </is>
      </c>
      <c r="E172" s="30" t="inlineStr">
        <is>
          <t>Southern</t>
        </is>
      </c>
      <c r="F172" s="30" t="inlineStr">
        <is>
          <t>KLI</t>
        </is>
      </c>
      <c r="G172" s="30" t="inlineStr">
        <is>
          <t>OPS - KULAI</t>
        </is>
      </c>
      <c r="H172" s="30" t="inlineStr">
        <is>
          <t>LM</t>
        </is>
      </c>
      <c r="I172" s="30" t="inlineStr">
        <is>
          <t>Fake Fail</t>
        </is>
      </c>
      <c r="J172" s="30" t="inlineStr">
        <is>
          <t>Invalid delivery attempt. POD invalid: Call log not connected, location invalid</t>
        </is>
      </c>
      <c r="K172" s="30" t="inlineStr">
        <is>
          <t xml:space="preserve">Putri </t>
        </is>
      </c>
    </row>
    <row r="173">
      <c r="A173" s="30" t="inlineStr">
        <is>
          <t>22/09/2026 13:59:27</t>
        </is>
      </c>
      <c r="B173" s="30" t="inlineStr">
        <is>
          <t>MAILB1550392111345020928</t>
        </is>
      </c>
      <c r="C173" s="30" t="inlineStr">
        <is>
          <t>268742654521</t>
        </is>
      </c>
      <c r="D173" s="30" t="inlineStr">
        <is>
          <t>91857346</t>
        </is>
      </c>
      <c r="E173" s="30" t="inlineStr">
        <is>
          <t>Southern</t>
        </is>
      </c>
      <c r="F173" s="30" t="inlineStr">
        <is>
          <t xml:space="preserve">TRM </t>
        </is>
      </c>
      <c r="G173" s="30" t="inlineStr">
        <is>
          <t>TRM - OPS - ULU TIRAM</t>
        </is>
      </c>
      <c r="H173" s="30" t="inlineStr">
        <is>
          <t>LM</t>
        </is>
      </c>
      <c r="I173" s="30" t="inlineStr">
        <is>
          <t>Fake Fail</t>
        </is>
      </c>
      <c r="J173" s="30" t="inlineStr">
        <is>
          <t>Invalid delivery attempt. POD invalid: No call log</t>
        </is>
      </c>
      <c r="K173" s="30" t="inlineStr">
        <is>
          <t xml:space="preserve">Putri </t>
        </is>
      </c>
    </row>
    <row r="174">
      <c r="A174" s="30" t="inlineStr">
        <is>
          <t>22/09/2026 14:02:32</t>
        </is>
      </c>
      <c r="B174" s="30" t="inlineStr">
        <is>
          <t>NVMY68168001493757</t>
        </is>
      </c>
      <c r="C174" s="30" t="inlineStr">
        <is>
          <t>267492654301</t>
        </is>
      </c>
      <c r="D174" s="30" t="inlineStr">
        <is>
          <t>91859700</t>
        </is>
      </c>
      <c r="E174" s="30" t="inlineStr">
        <is>
          <t>Southern</t>
        </is>
      </c>
      <c r="F174" s="30" t="inlineStr">
        <is>
          <t xml:space="preserve">GLG </t>
        </is>
      </c>
      <c r="G174" s="30" t="inlineStr">
        <is>
          <t>GLG - OPS - ENGKU</t>
        </is>
      </c>
      <c r="H174" s="30" t="inlineStr">
        <is>
          <t>LM</t>
        </is>
      </c>
      <c r="I174" s="30" t="inlineStr">
        <is>
          <t>Fake Fail</t>
        </is>
      </c>
      <c r="J174" s="30" t="inlineStr">
        <is>
          <t>Invalid delivery attempt. POD invalid: Call log not connected, location invalid</t>
        </is>
      </c>
      <c r="K174" s="30" t="inlineStr">
        <is>
          <t xml:space="preserve">Putri </t>
        </is>
      </c>
    </row>
    <row r="175">
      <c r="A175" s="30" t="inlineStr">
        <is>
          <t>22/09/2026 14:04:19</t>
        </is>
      </c>
      <c r="B175" s="30" t="inlineStr">
        <is>
          <t>MYNJV70049255468</t>
        </is>
      </c>
      <c r="C175" s="30" t="inlineStr">
        <is>
          <t>265732655039</t>
        </is>
      </c>
      <c r="D175" s="30" t="inlineStr">
        <is>
          <t>91859914, 91824419</t>
        </is>
      </c>
      <c r="E175" s="30" t="inlineStr">
        <is>
          <t>Northern</t>
        </is>
      </c>
      <c r="F175" s="30" t="inlineStr">
        <is>
          <t>PSN</t>
        </is>
      </c>
      <c r="G175" s="30" t="inlineStr">
        <is>
          <t>PSN - ID - IZZATI, PSN - OPS - PSN HUB</t>
        </is>
      </c>
      <c r="H175" s="30" t="inlineStr">
        <is>
          <t>LM</t>
        </is>
      </c>
      <c r="I175" s="30" t="inlineStr">
        <is>
          <t>Fake Fail</t>
        </is>
      </c>
      <c r="J175" s="30" t="inlineStr">
        <is>
          <t>Invalid delivery attempt. POD invalid: Call log not connected, location invalid</t>
        </is>
      </c>
      <c r="K175" s="30" t="inlineStr">
        <is>
          <t xml:space="preserve">Putri </t>
        </is>
      </c>
    </row>
    <row r="176">
      <c r="A176" s="30" t="inlineStr">
        <is>
          <t>22/09/2026 14:23:03</t>
        </is>
      </c>
      <c r="B176" s="30" t="inlineStr">
        <is>
          <t>NVMYFRSTG000015870</t>
        </is>
      </c>
      <c r="C176" s="30" t="inlineStr">
        <is>
          <t>264662657503</t>
        </is>
      </c>
      <c r="D176" s="30" t="inlineStr">
        <is>
          <t>91853133</t>
        </is>
      </c>
      <c r="E176" s="30" t="inlineStr">
        <is>
          <t>KV</t>
        </is>
      </c>
      <c r="F176" s="30" t="inlineStr">
        <is>
          <t>SHM</t>
        </is>
      </c>
      <c r="G176" s="30" t="inlineStr">
        <is>
          <t>SHM - ID - YUSOF</t>
        </is>
      </c>
      <c r="H176" s="30" t="inlineStr">
        <is>
          <t>LM</t>
        </is>
      </c>
      <c r="I176" s="30" t="inlineStr">
        <is>
          <t>Fake Fail</t>
        </is>
      </c>
      <c r="J176" s="30" t="inlineStr">
        <is>
          <t>POD invalid (No connected call or No responded chat, No unique identifier of the location)</t>
        </is>
      </c>
      <c r="K176" s="30" t="inlineStr">
        <is>
          <t>Huzair</t>
        </is>
      </c>
    </row>
    <row r="177">
      <c r="A177" s="30" t="inlineStr">
        <is>
          <t>22/09/2026 14:32:32</t>
        </is>
      </c>
      <c r="B177" s="30" t="inlineStr">
        <is>
          <t xml:space="preserve">NVMYLIONF00LF10310-001
NVMYLIONF00LF10310-002
</t>
        </is>
      </c>
      <c r="C177" s="30" t="inlineStr">
        <is>
          <t>269852656116</t>
        </is>
      </c>
      <c r="D177" s="30" t="inlineStr">
        <is>
          <t>91845166</t>
        </is>
      </c>
      <c r="E177" s="30" t="inlineStr">
        <is>
          <t>Southern</t>
        </is>
      </c>
      <c r="F177" s="30" t="inlineStr">
        <is>
          <t xml:space="preserve">PTN </t>
        </is>
      </c>
      <c r="G177" s="30" t="inlineStr">
        <is>
          <t xml:space="preserve">PTN - OPS - IZZ </t>
        </is>
      </c>
      <c r="H177" s="30" t="inlineStr">
        <is>
          <t>LM</t>
        </is>
      </c>
      <c r="I177" s="30" t="inlineStr">
        <is>
          <t>Fake Fail</t>
        </is>
      </c>
      <c r="J177" s="30" t="inlineStr">
        <is>
          <t xml:space="preserve">POD is not customer address </t>
        </is>
      </c>
      <c r="K177" s="30" t="inlineStr">
        <is>
          <t xml:space="preserve">Syafiq </t>
        </is>
      </c>
    </row>
    <row r="178">
      <c r="A178" s="30" t="inlineStr">
        <is>
          <t>22/09/2026 14:38:34</t>
        </is>
      </c>
      <c r="B178" s="30" t="inlineStr">
        <is>
          <t>JSXPR1547540931444981760</t>
        </is>
      </c>
      <c r="C178" s="30" t="inlineStr">
        <is>
          <t>264382612044</t>
        </is>
      </c>
      <c r="D178" s="30" t="inlineStr">
        <is>
          <t>91812108</t>
        </is>
      </c>
      <c r="E178" s="30" t="inlineStr">
        <is>
          <t>Southern</t>
        </is>
      </c>
      <c r="F178" s="30" t="inlineStr">
        <is>
          <t>MAS</t>
        </is>
      </c>
      <c r="G178" s="30" t="inlineStr">
        <is>
          <t>MAS - ID - HAFISZAN</t>
        </is>
      </c>
      <c r="H178" s="30" t="inlineStr">
        <is>
          <t>LM</t>
        </is>
      </c>
      <c r="I178" s="30" t="inlineStr">
        <is>
          <t>Fake Success</t>
        </is>
      </c>
      <c r="J178" s="30" t="inlineStr">
        <is>
          <t xml:space="preserve">Driver completed the delivery on 15/9/2026 and customer did not receive it. After complaint was made, REC claimed parcel already delivered to customer </t>
        </is>
      </c>
      <c r="K178" s="30" t="inlineStr">
        <is>
          <t>Daus</t>
        </is>
      </c>
    </row>
    <row r="179">
      <c r="A179" s="30" t="inlineStr">
        <is>
          <t>22/09/2026 14:38:45</t>
        </is>
      </c>
      <c r="B179" s="30" t="inlineStr">
        <is>
          <t>WNJMY00154402909</t>
        </is>
      </c>
      <c r="C179" s="30" t="inlineStr">
        <is>
          <t>267832647858</t>
        </is>
      </c>
      <c r="D179" s="30" t="inlineStr">
        <is>
          <t>91853998</t>
        </is>
      </c>
      <c r="E179" s="30" t="inlineStr">
        <is>
          <t>East MY</t>
        </is>
      </c>
      <c r="F179" s="30" t="inlineStr">
        <is>
          <t>INM</t>
        </is>
      </c>
      <c r="G179" s="30" t="inlineStr">
        <is>
          <t>INM - ID - SALLEH_RASHID86</t>
        </is>
      </c>
      <c r="H179" s="30" t="inlineStr">
        <is>
          <t>LM</t>
        </is>
      </c>
      <c r="I179" s="30" t="inlineStr">
        <is>
          <t>Deliver to Wrong Address</t>
        </is>
      </c>
      <c r="J179" s="30" t="inlineStr">
        <is>
          <t>Deliver to wrong address and no call from the driver</t>
        </is>
      </c>
      <c r="K179" s="30" t="inlineStr">
        <is>
          <t>Amir</t>
        </is>
      </c>
    </row>
    <row r="180">
      <c r="A180" s="30" t="inlineStr">
        <is>
          <t>22/09/2026 14:47:48</t>
        </is>
      </c>
      <c r="B180" s="30" t="inlineStr">
        <is>
          <t>TNGDV2609166908059150</t>
        </is>
      </c>
      <c r="C180" s="30" t="inlineStr">
        <is>
          <t>263542659119</t>
        </is>
      </c>
      <c r="D180" s="30" t="inlineStr">
        <is>
          <t>91853189</t>
        </is>
      </c>
      <c r="E180" s="30" t="inlineStr">
        <is>
          <t>KV</t>
        </is>
      </c>
      <c r="F180" s="30" t="inlineStr">
        <is>
          <t>CKT</t>
        </is>
      </c>
      <c r="G180" s="30" t="inlineStr">
        <is>
          <t>CKT - ID - HAMIZI</t>
        </is>
      </c>
      <c r="H180" s="30" t="inlineStr">
        <is>
          <t>LM</t>
        </is>
      </c>
      <c r="I180" s="30" t="inlineStr">
        <is>
          <t>Deliver to Wrong Address</t>
        </is>
      </c>
      <c r="J180" s="30" t="inlineStr">
        <is>
          <t>Deliver to wrong location and no call from the driver</t>
        </is>
      </c>
      <c r="K180" s="30" t="inlineStr">
        <is>
          <t>Amir</t>
        </is>
      </c>
    </row>
    <row r="181">
      <c r="A181" s="30" t="inlineStr">
        <is>
          <t>22/09/2026 15:15:12</t>
        </is>
      </c>
      <c r="B181" s="30" t="inlineStr">
        <is>
          <t>ESHP003313075</t>
        </is>
      </c>
      <c r="C181" s="30" t="inlineStr">
        <is>
          <t>265292647293</t>
        </is>
      </c>
      <c r="D181" s="30" t="inlineStr">
        <is>
          <t>91846396</t>
        </is>
      </c>
      <c r="E181" s="30" t="inlineStr">
        <is>
          <t>KV</t>
        </is>
      </c>
      <c r="F181" s="30" t="inlineStr">
        <is>
          <t xml:space="preserve">WMJ </t>
        </is>
      </c>
      <c r="G181" s="30" t="inlineStr">
        <is>
          <t xml:space="preserve">WMJ - ID - MOHD TAUFIK
</t>
        </is>
      </c>
      <c r="H181" s="30" t="inlineStr">
        <is>
          <t>LM</t>
        </is>
      </c>
      <c r="I181" s="30" t="inlineStr">
        <is>
          <t>Deliver to Wrong Address</t>
        </is>
      </c>
      <c r="J181" s="30" t="inlineStr">
        <is>
          <t>the driver deliveredthe parcel to wrong address instead of customers address</t>
        </is>
      </c>
      <c r="K181" s="30" t="inlineStr">
        <is>
          <t>Naveen</t>
        </is>
      </c>
    </row>
    <row r="182">
      <c r="A182" s="30" t="inlineStr">
        <is>
          <t>22/09/2026 15:15:44</t>
        </is>
      </c>
      <c r="B182" s="30" t="inlineStr">
        <is>
          <t>NVMYALM2Y050520741</t>
        </is>
      </c>
      <c r="C182" s="30" t="inlineStr">
        <is>
          <t>264732651239</t>
        </is>
      </c>
      <c r="D182" s="30" t="inlineStr">
        <is>
          <t>91825241</t>
        </is>
      </c>
      <c r="E182" s="30" t="inlineStr">
        <is>
          <t>Northern</t>
        </is>
      </c>
      <c r="F182" s="30" t="inlineStr">
        <is>
          <t>KGR</t>
        </is>
      </c>
      <c r="G182" s="30" t="inlineStr">
        <is>
          <t>KGR - OPS - ROUTED</t>
        </is>
      </c>
      <c r="H182" s="30" t="inlineStr">
        <is>
          <t>LM</t>
        </is>
      </c>
      <c r="I182" s="30" t="inlineStr">
        <is>
          <t>Fake Fail</t>
        </is>
      </c>
      <c r="J182" s="30" t="inlineStr">
        <is>
          <t>Invalid delivery attempt. POD invalid: No call log</t>
        </is>
      </c>
      <c r="K182" s="30" t="inlineStr">
        <is>
          <t>Putri</t>
        </is>
      </c>
    </row>
    <row r="183">
      <c r="A183" s="30" t="inlineStr">
        <is>
          <t>22/09/2026 15:16:03</t>
        </is>
      </c>
      <c r="B183" s="30" t="inlineStr">
        <is>
          <t>ZMP264265945-5730</t>
        </is>
      </c>
      <c r="C183" s="30" t="inlineStr">
        <is>
          <t>264582652246</t>
        </is>
      </c>
      <c r="D183" s="30" t="inlineStr">
        <is>
          <t>91833867
91857489</t>
        </is>
      </c>
      <c r="E183" s="30" t="inlineStr">
        <is>
          <t>Northern</t>
        </is>
      </c>
      <c r="F183" s="30" t="inlineStr">
        <is>
          <t>FLM</t>
        </is>
      </c>
      <c r="G183" s="30" t="inlineStr">
        <is>
          <t>hasanizal othman
hasanizal othman</t>
        </is>
      </c>
      <c r="H183" s="30" t="inlineStr">
        <is>
          <t>LM</t>
        </is>
      </c>
      <c r="I183" s="30" t="inlineStr">
        <is>
          <t>Pull Out Route (POR)</t>
        </is>
      </c>
      <c r="J183" s="30" t="inlineStr">
        <is>
          <t xml:space="preserve">18/9 POR on 2026-09-19 14:45:06 by faiz nasir
21/9 POR on 2026-09-22 11:42:44 by faiz nasir
OVFD but no delivery attempt </t>
        </is>
      </c>
      <c r="K183" s="30" t="inlineStr">
        <is>
          <t>Wani</t>
        </is>
      </c>
    </row>
    <row r="184">
      <c r="A184" s="30" t="inlineStr">
        <is>
          <t>22/09/2026 15:17:17</t>
        </is>
      </c>
      <c r="B184" s="30" t="inlineStr">
        <is>
          <t xml:space="preserve">NVMY41A68000004589 </t>
        </is>
      </c>
      <c r="C184" s="30" t="inlineStr">
        <is>
          <t>264702656192</t>
        </is>
      </c>
      <c r="D184" s="30" t="inlineStr">
        <is>
          <t>91859281</t>
        </is>
      </c>
      <c r="E184" s="30" t="inlineStr">
        <is>
          <t>KV</t>
        </is>
      </c>
      <c r="F184" s="30" t="inlineStr">
        <is>
          <t xml:space="preserve">SEG </t>
        </is>
      </c>
      <c r="G184" s="30" t="inlineStr">
        <is>
          <t xml:space="preserve">SEG - OPS - STATION HEAD
</t>
        </is>
      </c>
      <c r="H184" s="30" t="inlineStr">
        <is>
          <t>LM</t>
        </is>
      </c>
      <c r="I184" s="30" t="inlineStr">
        <is>
          <t>Fake Fail</t>
        </is>
      </c>
      <c r="J184" s="30" t="inlineStr">
        <is>
          <t xml:space="preserve">Call log invalid </t>
        </is>
      </c>
      <c r="K184" s="30" t="inlineStr">
        <is>
          <t xml:space="preserve">Syafiq </t>
        </is>
      </c>
    </row>
    <row r="185">
      <c r="A185" s="30" t="inlineStr">
        <is>
          <t>22/09/2026 15:45:38</t>
        </is>
      </c>
      <c r="B185" s="30" t="inlineStr">
        <is>
          <t>NLMYWA04659528</t>
        </is>
      </c>
      <c r="C185" s="30" t="inlineStr">
        <is>
          <t>269192654789</t>
        </is>
      </c>
      <c r="D185" s="30" t="inlineStr">
        <is>
          <t>91859712</t>
        </is>
      </c>
      <c r="E185" s="30" t="inlineStr">
        <is>
          <t>KV</t>
        </is>
      </c>
      <c r="F185" s="30" t="inlineStr">
        <is>
          <t>PJY</t>
        </is>
      </c>
      <c r="G185" s="30" t="inlineStr">
        <is>
          <t>OPS - PJY</t>
        </is>
      </c>
      <c r="H185" s="30" t="inlineStr">
        <is>
          <t>LM</t>
        </is>
      </c>
      <c r="I185" s="30" t="inlineStr">
        <is>
          <t>Fake Fail</t>
        </is>
      </c>
      <c r="J185" s="30" t="inlineStr">
        <is>
          <t>Invalid delivery attempt. POD invalid: No call log/No location</t>
        </is>
      </c>
      <c r="K185" s="30" t="inlineStr">
        <is>
          <t xml:space="preserve">Putri </t>
        </is>
      </c>
    </row>
    <row r="186">
      <c r="A186" s="30" t="inlineStr">
        <is>
          <t>22/09/2026 15:33:56</t>
        </is>
      </c>
      <c r="B186" s="30" t="inlineStr">
        <is>
          <t xml:space="preserve">NVMYKNKAD000005234 </t>
        </is>
      </c>
      <c r="C186" s="30" t="inlineStr">
        <is>
          <t>260392657003</t>
        </is>
      </c>
      <c r="D186" s="30" t="inlineStr">
        <is>
          <t>91857895</t>
        </is>
      </c>
      <c r="E186" s="30" t="inlineStr">
        <is>
          <t>Southern</t>
        </is>
      </c>
      <c r="F186" s="30" t="inlineStr">
        <is>
          <t>NSJ</t>
        </is>
      </c>
      <c r="G186" s="30" t="inlineStr">
        <is>
          <t xml:space="preserve">OPS - NSJ
</t>
        </is>
      </c>
      <c r="H186" s="30" t="inlineStr">
        <is>
          <t>LM</t>
        </is>
      </c>
      <c r="I186" s="30" t="inlineStr">
        <is>
          <t>Fake Fail</t>
        </is>
      </c>
      <c r="J186" s="30" t="inlineStr">
        <is>
          <t xml:space="preserve">POD invalid </t>
        </is>
      </c>
      <c r="K186" s="30" t="inlineStr">
        <is>
          <t xml:space="preserve">Syafiq </t>
        </is>
      </c>
    </row>
    <row r="187">
      <c r="A187" s="30" t="inlineStr">
        <is>
          <t>22/09/2026 15:37:32</t>
        </is>
      </c>
      <c r="B187" s="30" t="inlineStr">
        <is>
          <t>DESAR1550025465117274112</t>
        </is>
      </c>
      <c r="C187" s="30" t="inlineStr">
        <is>
          <t>267442627035</t>
        </is>
      </c>
      <c r="D187" s="30" t="inlineStr">
        <is>
          <t>91844446</t>
        </is>
      </c>
      <c r="E187" s="30" t="inlineStr">
        <is>
          <t>KV</t>
        </is>
      </c>
      <c r="F187" s="30" t="inlineStr">
        <is>
          <t xml:space="preserve">KAJ </t>
        </is>
      </c>
      <c r="G187" s="30" t="inlineStr">
        <is>
          <t>KAJ - ID - MOHD NASIR</t>
        </is>
      </c>
      <c r="H187" s="30" t="inlineStr">
        <is>
          <t>LM</t>
        </is>
      </c>
      <c r="I187" s="30" t="inlineStr">
        <is>
          <t>Fake Success</t>
        </is>
      </c>
      <c r="J187" s="30" t="inlineStr">
        <is>
          <t>the driver completed the parcel but delivered after making a call</t>
        </is>
      </c>
      <c r="K187" s="30" t="inlineStr">
        <is>
          <t xml:space="preserve">Naveen </t>
        </is>
      </c>
    </row>
    <row r="188">
      <c r="A188" s="30" t="inlineStr">
        <is>
          <t>22/09/2026 15:52:59</t>
        </is>
      </c>
      <c r="B188" s="30" t="inlineStr">
        <is>
          <t>GMJI9701623533001</t>
        </is>
      </c>
      <c r="C188" s="30" t="inlineStr">
        <is>
          <t>267962657529</t>
        </is>
      </c>
      <c r="D188" s="30" t="inlineStr">
        <is>
          <t>91772001</t>
        </is>
      </c>
      <c r="E188" s="30" t="inlineStr">
        <is>
          <t>KV</t>
        </is>
      </c>
      <c r="F188" s="30" t="inlineStr">
        <is>
          <t>KAJ</t>
        </is>
      </c>
      <c r="G188" s="30" t="inlineStr">
        <is>
          <t>KAJ - ID - NAWWAR AIN</t>
        </is>
      </c>
      <c r="H188" s="30" t="inlineStr">
        <is>
          <t>LM</t>
        </is>
      </c>
      <c r="I188" s="30" t="inlineStr">
        <is>
          <t>Fake Success</t>
        </is>
      </c>
      <c r="J188" s="30" t="inlineStr">
        <is>
          <t xml:space="preserve">Driver did not notify the customer that the parcel was delivered and POD did not indicate which office address but the unit number is correct, however, customer did not receive until now. investigation exceeded 7 days </t>
        </is>
      </c>
      <c r="K188" s="30" t="inlineStr">
        <is>
          <t xml:space="preserve">Putri </t>
        </is>
      </c>
    </row>
    <row r="189">
      <c r="A189" s="30" t="inlineStr">
        <is>
          <t>22/09/2026 15:56:33</t>
        </is>
      </c>
      <c r="B189" s="30" t="inlineStr">
        <is>
          <t>NVMYNUYUS000003404</t>
        </is>
      </c>
      <c r="C189" s="30" t="inlineStr">
        <is>
          <t>265482653192</t>
        </is>
      </c>
      <c r="D189" s="30" t="inlineStr">
        <is>
          <t>91857329</t>
        </is>
      </c>
      <c r="E189" s="30" t="inlineStr">
        <is>
          <t>Southern</t>
        </is>
      </c>
      <c r="F189" s="30" t="inlineStr">
        <is>
          <t xml:space="preserve">TRM </t>
        </is>
      </c>
      <c r="G189" s="30" t="inlineStr">
        <is>
          <t>TRM - ID - FADHLI</t>
        </is>
      </c>
      <c r="H189" s="30" t="inlineStr">
        <is>
          <t>LM</t>
        </is>
      </c>
      <c r="I189" s="30" t="inlineStr">
        <is>
          <t>Fake Fail</t>
        </is>
      </c>
      <c r="J189" s="30" t="inlineStr">
        <is>
          <t xml:space="preserve">location pod not customer house </t>
        </is>
      </c>
      <c r="K189" s="30" t="inlineStr">
        <is>
          <t>Ninja Hadif</t>
        </is>
      </c>
    </row>
    <row r="190">
      <c r="A190" s="30" t="inlineStr">
        <is>
          <t>22/09/2026 16:06:03</t>
        </is>
      </c>
      <c r="B190" s="30" t="inlineStr">
        <is>
          <t>NVMYDOCMY000089692</t>
        </is>
      </c>
      <c r="C190" s="30" t="inlineStr">
        <is>
          <t>264962653400</t>
        </is>
      </c>
      <c r="D190" s="30" t="inlineStr">
        <is>
          <t>91863445</t>
        </is>
      </c>
      <c r="E190" s="30" t="inlineStr">
        <is>
          <t>KV</t>
        </is>
      </c>
      <c r="F190" s="30" t="inlineStr">
        <is>
          <t>SHA</t>
        </is>
      </c>
      <c r="G190" s="30" t="inlineStr">
        <is>
          <t>SHA - HR - IZWAN</t>
        </is>
      </c>
      <c r="H190" s="30" t="inlineStr">
        <is>
          <t>LM</t>
        </is>
      </c>
      <c r="I190" s="30" t="inlineStr">
        <is>
          <t>Fake Fail</t>
        </is>
      </c>
      <c r="J190" s="30" t="inlineStr">
        <is>
          <t>Invalid delivery attempt. POD invalid: No call log/No location</t>
        </is>
      </c>
      <c r="K190" s="30" t="inlineStr">
        <is>
          <t xml:space="preserve">Putri </t>
        </is>
      </c>
    </row>
    <row r="191">
      <c r="A191" s="30" t="inlineStr">
        <is>
          <t>22/09/2026 16:09:53</t>
        </is>
      </c>
      <c r="B191" s="30" t="inlineStr">
        <is>
          <t>MYNJV70088605618</t>
        </is>
      </c>
      <c r="C191" s="30" t="inlineStr">
        <is>
          <t>261922650591</t>
        </is>
      </c>
      <c r="D191" s="30" t="inlineStr">
        <is>
          <t>91844729</t>
        </is>
      </c>
      <c r="E191" s="30" t="inlineStr">
        <is>
          <t>KV</t>
        </is>
      </c>
      <c r="F191" s="30" t="inlineStr">
        <is>
          <t>PJY</t>
        </is>
      </c>
      <c r="G191" s="30" t="inlineStr">
        <is>
          <t>OPS - PJY</t>
        </is>
      </c>
      <c r="H191" s="30" t="inlineStr">
        <is>
          <t>LM</t>
        </is>
      </c>
      <c r="I191" s="30" t="inlineStr">
        <is>
          <t>Fake Fail</t>
        </is>
      </c>
      <c r="J191" s="30" t="inlineStr">
        <is>
          <t>Invalid delivery attempt. POD invalid: No call log/No location</t>
        </is>
      </c>
      <c r="K191" s="30" t="inlineStr">
        <is>
          <t xml:space="preserve">Putri </t>
        </is>
      </c>
    </row>
    <row r="192">
      <c r="A192" s="30" t="inlineStr">
        <is>
          <t>22/09/2026 16:22:42</t>
        </is>
      </c>
      <c r="B192" s="30" t="inlineStr">
        <is>
          <t>ZRP856253222893
ZRP857883224124</t>
        </is>
      </c>
      <c r="C192" s="30" t="inlineStr">
        <is>
          <t>263972657195</t>
        </is>
      </c>
      <c r="D192" s="30" t="inlineStr">
        <is>
          <t>91824651</t>
        </is>
      </c>
      <c r="E192" s="30" t="inlineStr">
        <is>
          <t>Northern</t>
        </is>
      </c>
      <c r="F192" s="30" t="inlineStr">
        <is>
          <t>GEO</t>
        </is>
      </c>
      <c r="G192" s="30" t="inlineStr">
        <is>
          <t>GEO - ID - SHAFIEQAAL</t>
        </is>
      </c>
      <c r="H192" s="30" t="inlineStr">
        <is>
          <t>LM</t>
        </is>
      </c>
      <c r="I192" s="30" t="inlineStr">
        <is>
          <t>Failed pick-up</t>
        </is>
      </c>
      <c r="J192" s="30" t="inlineStr">
        <is>
          <t xml:space="preserve">No call log attached </t>
        </is>
      </c>
      <c r="K192" s="30" t="inlineStr">
        <is>
          <t>Wani</t>
        </is>
      </c>
    </row>
    <row r="193">
      <c r="A193" s="30" t="inlineStr">
        <is>
          <t>22/09/2026 16:33:06</t>
        </is>
      </c>
      <c r="B193" s="30" t="inlineStr">
        <is>
          <t>RNCNV000500472</t>
        </is>
      </c>
      <c r="C193" s="30" t="inlineStr">
        <is>
          <t>265562654516</t>
        </is>
      </c>
      <c r="D193" s="30" t="inlineStr">
        <is>
          <t>91852366</t>
        </is>
      </c>
      <c r="E193" s="30" t="inlineStr">
        <is>
          <t>Northern</t>
        </is>
      </c>
      <c r="F193" s="30" t="inlineStr">
        <is>
          <t xml:space="preserve">KLM </t>
        </is>
      </c>
      <c r="G193" s="30" t="inlineStr">
        <is>
          <t>KLM - ID - SHIMAISA</t>
        </is>
      </c>
      <c r="H193" s="30" t="inlineStr">
        <is>
          <t>LM</t>
        </is>
      </c>
      <c r="I193" s="30" t="inlineStr">
        <is>
          <t>Failed pick-up</t>
        </is>
      </c>
      <c r="J193" s="30" t="inlineStr">
        <is>
          <t xml:space="preserve">Invalid delivery attempt. POD invalid: No call log, whatsapp driver did not even sent </t>
        </is>
      </c>
      <c r="K193" s="30" t="inlineStr">
        <is>
          <t xml:space="preserve">Putri </t>
        </is>
      </c>
    </row>
    <row r="194">
      <c r="A194" s="30" t="inlineStr">
        <is>
          <t>22/09/2026 16:33:19</t>
        </is>
      </c>
      <c r="B194" s="30" t="inlineStr">
        <is>
          <t xml:space="preserve">NVMYKBARA000008766 </t>
        </is>
      </c>
      <c r="C194" s="30" t="inlineStr">
        <is>
          <t>267632650425</t>
        </is>
      </c>
      <c r="D194" s="30" t="inlineStr">
        <is>
          <t>91857895</t>
        </is>
      </c>
      <c r="E194" s="30" t="inlineStr">
        <is>
          <t>Southern</t>
        </is>
      </c>
      <c r="F194" s="30" t="inlineStr">
        <is>
          <t>NSJ</t>
        </is>
      </c>
      <c r="G194" s="30" t="inlineStr">
        <is>
          <t>OPS - NSJ</t>
        </is>
      </c>
      <c r="H194" s="30" t="inlineStr">
        <is>
          <t>LM</t>
        </is>
      </c>
      <c r="I194" s="30" t="inlineStr">
        <is>
          <t>Fake Fail</t>
        </is>
      </c>
      <c r="J194" s="30" t="inlineStr">
        <is>
          <t xml:space="preserve">POD invalid </t>
        </is>
      </c>
      <c r="K194" s="30" t="inlineStr">
        <is>
          <t xml:space="preserve">Syafiq </t>
        </is>
      </c>
    </row>
    <row r="195">
      <c r="A195" s="30" t="inlineStr">
        <is>
          <t>22/09/2026 16:37:59</t>
        </is>
      </c>
      <c r="B195" s="30" t="inlineStr">
        <is>
          <t>MAILB1550405881677856768</t>
        </is>
      </c>
      <c r="C195" s="30" t="inlineStr">
        <is>
          <t>264132651557</t>
        </is>
      </c>
      <c r="D195" s="30" t="inlineStr">
        <is>
          <t>91844628</t>
        </is>
      </c>
      <c r="E195" s="30" t="inlineStr">
        <is>
          <t>Northern</t>
        </is>
      </c>
      <c r="F195" s="30" t="inlineStr">
        <is>
          <t xml:space="preserve">AOR </t>
        </is>
      </c>
      <c r="G195" s="30" t="inlineStr">
        <is>
          <t>AOR - FM - Ihsan Rashid</t>
        </is>
      </c>
      <c r="H195" s="30" t="inlineStr">
        <is>
          <t>LM</t>
        </is>
      </c>
      <c r="I195" s="30" t="inlineStr">
        <is>
          <t>Fake Fail</t>
        </is>
      </c>
      <c r="J195" s="30" t="inlineStr">
        <is>
          <t>driver contact different number and location is office address not home address</t>
        </is>
      </c>
      <c r="K195" s="30" t="inlineStr">
        <is>
          <t>Hartini</t>
        </is>
      </c>
    </row>
    <row r="196">
      <c r="A196" s="30" t="inlineStr">
        <is>
          <t>22/09/2026 16:39:23</t>
        </is>
      </c>
      <c r="B196" s="30" t="inlineStr">
        <is>
          <t>MYNJV70074605248, NVMYVTJSS000041886</t>
        </is>
      </c>
      <c r="C196" s="30" t="inlineStr">
        <is>
          <t>263682651298</t>
        </is>
      </c>
      <c r="D196" s="30" t="inlineStr">
        <is>
          <t>91861879, 91847382, 91841444, 91856225, 91831241</t>
        </is>
      </c>
      <c r="E196" s="30" t="inlineStr">
        <is>
          <t>KV</t>
        </is>
      </c>
      <c r="F196" s="30" t="inlineStr">
        <is>
          <t>BTR</t>
        </is>
      </c>
      <c r="G196" s="30" t="inlineStr">
        <is>
          <t>Aliff Rosidy</t>
        </is>
      </c>
      <c r="H196" s="30" t="inlineStr">
        <is>
          <t>LM</t>
        </is>
      </c>
      <c r="I196" s="30" t="inlineStr">
        <is>
          <t>Pull Out Route (POR)</t>
        </is>
      </c>
      <c r="J196" s="30" t="inlineStr">
        <is>
          <t>Parcel has PULL OUT OF ROUTE on  2026-09-18 - 2026-09-22. Driver failed the delivery, invalid attempt.</t>
        </is>
      </c>
      <c r="K196" s="30" t="inlineStr">
        <is>
          <t xml:space="preserve">Putri </t>
        </is>
      </c>
    </row>
    <row r="197">
      <c r="A197" s="30" t="inlineStr">
        <is>
          <t>22/09/2026 16:48:48</t>
        </is>
      </c>
      <c r="B197" s="30" t="inlineStr">
        <is>
          <t>NVMYTA1SI000343229</t>
        </is>
      </c>
      <c r="C197" s="30" t="inlineStr">
        <is>
          <t>260202650016</t>
        </is>
      </c>
      <c r="D197" s="30" t="inlineStr">
        <is>
          <t>91827454</t>
        </is>
      </c>
      <c r="E197" s="30" t="inlineStr">
        <is>
          <t>KV</t>
        </is>
      </c>
      <c r="F197" s="30" t="inlineStr">
        <is>
          <t>SHM</t>
        </is>
      </c>
      <c r="G197" s="30" t="inlineStr">
        <is>
          <t>OPS - SHM</t>
        </is>
      </c>
      <c r="H197" s="30" t="inlineStr">
        <is>
          <t>LM</t>
        </is>
      </c>
      <c r="I197" s="30" t="inlineStr">
        <is>
          <t>Pull Out Route (POR)</t>
        </is>
      </c>
      <c r="J197" s="30" t="inlineStr">
        <is>
          <t xml:space="preserve">Parcel has PULL OUT OF ROUTE on 2026-09-18 15:11:13 . Driver failed the delivery, invalid attempt.  </t>
        </is>
      </c>
      <c r="K197" s="30" t="inlineStr">
        <is>
          <t xml:space="preserve">Putri </t>
        </is>
      </c>
    </row>
    <row r="198">
      <c r="A198" s="30" t="inlineStr">
        <is>
          <t>22/09/2026 16:54:09</t>
        </is>
      </c>
      <c r="B198" s="30" t="inlineStr">
        <is>
          <t>NVMY47011000005541</t>
        </is>
      </c>
      <c r="C198" s="30" t="inlineStr">
        <is>
          <t>263162651503</t>
        </is>
      </c>
      <c r="D198" s="30" t="inlineStr">
        <is>
          <t>91841536</t>
        </is>
      </c>
      <c r="E198" s="30" t="inlineStr">
        <is>
          <t>KV</t>
        </is>
      </c>
      <c r="F198" s="30" t="inlineStr">
        <is>
          <t>PJY</t>
        </is>
      </c>
      <c r="G198" s="30" t="inlineStr">
        <is>
          <t>OPS - PJY</t>
        </is>
      </c>
      <c r="H198" s="30" t="inlineStr">
        <is>
          <t>LM</t>
        </is>
      </c>
      <c r="I198" s="30" t="inlineStr">
        <is>
          <t>Fake Fail</t>
        </is>
      </c>
      <c r="J198" s="30" t="inlineStr">
        <is>
          <t>Invalid delivery attempt. POD invalid: Call log not connected, location invalid</t>
        </is>
      </c>
      <c r="K198" s="30" t="inlineStr">
        <is>
          <t xml:space="preserve">Putri </t>
        </is>
      </c>
    </row>
    <row r="199">
      <c r="A199" s="30" t="inlineStr">
        <is>
          <t>22/09/2026 16:57:10</t>
        </is>
      </c>
      <c r="B199" s="30" t="inlineStr">
        <is>
          <t>TNGDV2609136901043020</t>
        </is>
      </c>
      <c r="C199" s="30" t="inlineStr">
        <is>
          <t>260242642296</t>
        </is>
      </c>
      <c r="D199" s="30" t="inlineStr">
        <is>
          <t>91834680</t>
        </is>
      </c>
      <c r="E199" s="30" t="inlineStr">
        <is>
          <t>Northern</t>
        </is>
      </c>
      <c r="F199" s="30" t="inlineStr">
        <is>
          <t xml:space="preserve">GRN </t>
        </is>
      </c>
      <c r="G199" s="30" t="inlineStr">
        <is>
          <t>GRN - ID - ROHEMI</t>
        </is>
      </c>
      <c r="H199" s="30" t="inlineStr">
        <is>
          <t>LM</t>
        </is>
      </c>
      <c r="I199" s="30" t="inlineStr">
        <is>
          <t>Fake Fail</t>
        </is>
      </c>
      <c r="J199" s="30" t="inlineStr">
        <is>
          <t>the driver delivered the parcel to wrong address instead of customers address</t>
        </is>
      </c>
      <c r="K199" s="30" t="inlineStr">
        <is>
          <t>Naveen</t>
        </is>
      </c>
    </row>
    <row r="200">
      <c r="A200" s="30" t="inlineStr">
        <is>
          <t>22/09/2026 16:57:56</t>
        </is>
      </c>
      <c r="B200" s="30" t="inlineStr">
        <is>
          <t>DEONL1549361821138235392</t>
        </is>
      </c>
      <c r="C200" s="30" t="inlineStr">
        <is>
          <t>261342652011</t>
        </is>
      </c>
      <c r="D200" s="30" t="inlineStr">
        <is>
          <t>91848215 / 91856433</t>
        </is>
      </c>
      <c r="E200" s="30" t="inlineStr">
        <is>
          <t>East MY</t>
        </is>
      </c>
      <c r="F200" s="30" t="inlineStr">
        <is>
          <t>SBW</t>
        </is>
      </c>
      <c r="G200" s="30" t="inlineStr">
        <is>
          <t>SBW - ID - ZULHELMI</t>
        </is>
      </c>
      <c r="H200" s="30" t="inlineStr">
        <is>
          <t>LM</t>
        </is>
      </c>
      <c r="I200" s="30" t="inlineStr">
        <is>
          <t>Fake Fail</t>
        </is>
      </c>
      <c r="J200" s="30" t="inlineStr">
        <is>
          <t xml:space="preserve">invalid call log &amp; no site photo </t>
        </is>
      </c>
      <c r="K200" s="30" t="inlineStr">
        <is>
          <t xml:space="preserve">Yana </t>
        </is>
      </c>
    </row>
    <row r="201">
      <c r="A201" s="30" t="inlineStr">
        <is>
          <t>22/09/2026 16:58:11</t>
        </is>
      </c>
      <c r="B201" s="30" t="inlineStr">
        <is>
          <t>RYTDBTQ7WO52SA8</t>
        </is>
      </c>
      <c r="C201" s="30" t="inlineStr">
        <is>
          <t>262732652348</t>
        </is>
      </c>
      <c r="D201" s="30" t="inlineStr">
        <is>
          <t>91844859</t>
        </is>
      </c>
      <c r="E201" s="30" t="inlineStr">
        <is>
          <t>Southern</t>
        </is>
      </c>
      <c r="F201" s="30" t="inlineStr">
        <is>
          <t>NSJ</t>
        </is>
      </c>
      <c r="G201" s="30" t="inlineStr">
        <is>
          <t>OPS - NSJ</t>
        </is>
      </c>
      <c r="H201" s="30" t="inlineStr">
        <is>
          <t>LM</t>
        </is>
      </c>
      <c r="I201" s="30" t="inlineStr">
        <is>
          <t>Fake Fail</t>
        </is>
      </c>
      <c r="J201" s="30" t="inlineStr">
        <is>
          <t>Invalid delivery attempt. POD invalid: Call log not connected, location invalid</t>
        </is>
      </c>
      <c r="K201" s="30" t="inlineStr">
        <is>
          <t xml:space="preserve">Putri </t>
        </is>
      </c>
    </row>
    <row r="202">
      <c r="A202" s="30" t="inlineStr">
        <is>
          <t>22/09/2026 17:05:40</t>
        </is>
      </c>
      <c r="B202" s="30" t="inlineStr">
        <is>
          <t>NVMYTSHSN000010726</t>
        </is>
      </c>
      <c r="C202" s="30" t="inlineStr">
        <is>
          <t>263422654081</t>
        </is>
      </c>
      <c r="D202" s="30" t="inlineStr">
        <is>
          <t>91844801</t>
        </is>
      </c>
      <c r="E202" s="30" t="inlineStr">
        <is>
          <t>Southern</t>
        </is>
      </c>
      <c r="F202" s="30" t="inlineStr">
        <is>
          <t>LKN</t>
        </is>
      </c>
      <c r="G202" s="30" t="inlineStr">
        <is>
          <t>LKN - ID - MUZLIA</t>
        </is>
      </c>
      <c r="H202" s="30" t="inlineStr">
        <is>
          <t>LM</t>
        </is>
      </c>
      <c r="I202" s="30" t="inlineStr">
        <is>
          <t>Fake Fail</t>
        </is>
      </c>
      <c r="J202" s="30" t="inlineStr">
        <is>
          <t>Invalid delivery attempt. POD invalid: Call log not connected, location invalid</t>
        </is>
      </c>
      <c r="K202" s="30" t="inlineStr">
        <is>
          <t>Putri</t>
        </is>
      </c>
    </row>
    <row r="203">
      <c r="A203" s="30" t="inlineStr">
        <is>
          <t>22/09/2026 17:16:04</t>
        </is>
      </c>
      <c r="B203" s="30" t="inlineStr">
        <is>
          <t>TNGEO202609111001254427</t>
        </is>
      </c>
      <c r="C203" s="30" t="inlineStr">
        <is>
          <t>269082654485</t>
        </is>
      </c>
      <c r="D203" s="30" t="inlineStr">
        <is>
          <t>91865960</t>
        </is>
      </c>
      <c r="E203" s="30" t="inlineStr">
        <is>
          <t>Southern</t>
        </is>
      </c>
      <c r="F203" s="30" t="inlineStr">
        <is>
          <t>TRM</t>
        </is>
      </c>
      <c r="G203" s="30" t="inlineStr">
        <is>
          <t>TRM - OPS - ULU TIRAM</t>
        </is>
      </c>
      <c r="H203" s="30" t="inlineStr">
        <is>
          <t>LM</t>
        </is>
      </c>
      <c r="I203" s="30" t="inlineStr">
        <is>
          <t>Fake Fail</t>
        </is>
      </c>
      <c r="J203" s="30" t="inlineStr">
        <is>
          <t>Invalid delivery attempt. POD invalid: Call log not connected, location invalid</t>
        </is>
      </c>
      <c r="K203" s="30" t="inlineStr">
        <is>
          <t xml:space="preserve">Putri </t>
        </is>
      </c>
    </row>
    <row r="204">
      <c r="A204" s="30" t="inlineStr">
        <is>
          <t>22/09/2026 17:19:49</t>
        </is>
      </c>
      <c r="B204" s="30" t="inlineStr">
        <is>
          <t>NVMYCOMIT000002083</t>
        </is>
      </c>
      <c r="C204" s="30" t="inlineStr">
        <is>
          <t>266932658682</t>
        </is>
      </c>
      <c r="D204" s="30" t="inlineStr">
        <is>
          <t>91853671</t>
        </is>
      </c>
      <c r="E204" s="30" t="inlineStr">
        <is>
          <t>KV</t>
        </is>
      </c>
      <c r="F204" s="30" t="inlineStr">
        <is>
          <t>SUN</t>
        </is>
      </c>
      <c r="G204" s="30" t="inlineStr">
        <is>
          <t>SUN - OPS - ADAM</t>
        </is>
      </c>
      <c r="H204" s="30" t="inlineStr">
        <is>
          <t>LM</t>
        </is>
      </c>
      <c r="I204" s="30" t="inlineStr">
        <is>
          <t>Fake Fail</t>
        </is>
      </c>
      <c r="J204" s="30" t="inlineStr">
        <is>
          <t xml:space="preserve">invalid pod call log same minute no location  </t>
        </is>
      </c>
      <c r="K204" s="30" t="inlineStr">
        <is>
          <t>Ninja Hadif</t>
        </is>
      </c>
    </row>
    <row r="205">
      <c r="A205" s="30" t="inlineStr">
        <is>
          <t>22/09/2026 17:23:01</t>
        </is>
      </c>
      <c r="B205" s="30" t="inlineStr">
        <is>
          <t>WNJMY00006942908</t>
        </is>
      </c>
      <c r="C205" s="30" t="inlineStr">
        <is>
          <t>268222656160</t>
        </is>
      </c>
      <c r="D205" s="30" t="inlineStr">
        <is>
          <t>91851511
91836408
91827376</t>
        </is>
      </c>
      <c r="E205" s="30" t="inlineStr">
        <is>
          <t>East MY</t>
        </is>
      </c>
      <c r="F205" s="30" t="inlineStr">
        <is>
          <t>BKW</t>
        </is>
      </c>
      <c r="G205" s="30" t="inlineStr">
        <is>
          <t>BKW - OPS - SELFCOLLECT2</t>
        </is>
      </c>
      <c r="H205" s="30" t="inlineStr">
        <is>
          <t>LM</t>
        </is>
      </c>
      <c r="I205" s="30" t="inlineStr">
        <is>
          <t>Pull Out Route (POR)</t>
        </is>
      </c>
      <c r="J205" s="30" t="inlineStr">
        <is>
          <t xml:space="preserve">Parcel has PULL OUT OF ROUTE on 18/9-20/9. Driver failed the delivery, invalid attempt.  </t>
        </is>
      </c>
      <c r="K205" s="30" t="inlineStr">
        <is>
          <t xml:space="preserve">Putri </t>
        </is>
      </c>
    </row>
    <row r="206">
      <c r="A206" s="30" t="inlineStr">
        <is>
          <t>22/09/2026 17:32:31</t>
        </is>
      </c>
      <c r="B206" s="30" t="inlineStr">
        <is>
          <t>WNJMY00006942908</t>
        </is>
      </c>
      <c r="C206" s="30" t="inlineStr">
        <is>
          <t>268222656160</t>
        </is>
      </c>
      <c r="D206" s="30" t="inlineStr">
        <is>
          <t>91859979</t>
        </is>
      </c>
      <c r="E206" s="30" t="inlineStr">
        <is>
          <t>East MY</t>
        </is>
      </c>
      <c r="F206" s="30" t="inlineStr">
        <is>
          <t xml:space="preserve">BKW </t>
        </is>
      </c>
      <c r="G206" s="30" t="inlineStr">
        <is>
          <t>BKW - OPS - SELFCOLLECT</t>
        </is>
      </c>
      <c r="H206" s="30" t="inlineStr">
        <is>
          <t>LM</t>
        </is>
      </c>
      <c r="I206" s="30" t="inlineStr">
        <is>
          <t>Fake Fail</t>
        </is>
      </c>
      <c r="J206" s="30" t="inlineStr">
        <is>
          <t>Invalid delivery attempt. POD invalid: Location not customer's/no unit number</t>
        </is>
      </c>
      <c r="K206" s="30" t="inlineStr">
        <is>
          <t xml:space="preserve">Putri </t>
        </is>
      </c>
    </row>
    <row r="207">
      <c r="A207" s="30" t="inlineStr">
        <is>
          <t>22/09/2026 17:35:59</t>
        </is>
      </c>
      <c r="B207" s="30" t="inlineStr">
        <is>
          <t>TNGDV2609126894940030</t>
        </is>
      </c>
      <c r="C207" s="30" t="inlineStr">
        <is>
          <t>262302658550</t>
        </is>
      </c>
      <c r="D207" s="30" t="inlineStr">
        <is>
          <t>91847310
91833588
91823851</t>
        </is>
      </c>
      <c r="E207" s="30" t="inlineStr">
        <is>
          <t>KV</t>
        </is>
      </c>
      <c r="F207" s="30" t="inlineStr">
        <is>
          <t>DSA</t>
        </is>
      </c>
      <c r="G207" s="30" t="inlineStr">
        <is>
          <t>OPS - DSA
DSA - ID - MUHAMMAD AMIRUL</t>
        </is>
      </c>
      <c r="H207" s="30" t="inlineStr">
        <is>
          <t>LM</t>
        </is>
      </c>
      <c r="I207" s="30" t="inlineStr">
        <is>
          <t>Fake Fail</t>
        </is>
      </c>
      <c r="J207" s="30" t="inlineStr">
        <is>
          <t>Invalid delivery attempt. POD invalid: Call log not connected, location invalid</t>
        </is>
      </c>
      <c r="K207" s="30" t="inlineStr">
        <is>
          <t xml:space="preserve">Putri </t>
        </is>
      </c>
    </row>
    <row r="208">
      <c r="A208" s="30" t="inlineStr">
        <is>
          <t>22/09/2026 17:40:22</t>
        </is>
      </c>
      <c r="B208" s="30" t="inlineStr">
        <is>
          <t>ZNV283877945-1611</t>
        </is>
      </c>
      <c r="C208" s="30" t="inlineStr">
        <is>
          <t>269212659172</t>
        </is>
      </c>
      <c r="D208" s="30" t="inlineStr">
        <is>
          <t>91824655</t>
        </is>
      </c>
      <c r="E208" s="30" t="inlineStr">
        <is>
          <t>Northern</t>
        </is>
      </c>
      <c r="F208" s="30" t="inlineStr">
        <is>
          <t>GEO</t>
        </is>
      </c>
      <c r="G208" s="30" t="inlineStr">
        <is>
          <t>GEO - OPS - DATO KERAMAT</t>
        </is>
      </c>
      <c r="H208" s="30" t="inlineStr">
        <is>
          <t>LM</t>
        </is>
      </c>
      <c r="I208" s="30" t="inlineStr">
        <is>
          <t>Fake Fail</t>
        </is>
      </c>
      <c r="J208" s="30" t="inlineStr">
        <is>
          <t xml:space="preserve">Call log invalid &amp; no site photo attached </t>
        </is>
      </c>
      <c r="K208" s="30" t="inlineStr">
        <is>
          <t>Wani</t>
        </is>
      </c>
    </row>
    <row r="209">
      <c r="A209" s="30" t="inlineStr">
        <is>
          <t>22/09/2026 17:40:52</t>
        </is>
      </c>
      <c r="B209" s="30" t="inlineStr">
        <is>
          <t>NVMYKILATWK0077036</t>
        </is>
      </c>
      <c r="C209" s="30" t="inlineStr">
        <is>
          <t>264192657148</t>
        </is>
      </c>
      <c r="D209" s="30" t="inlineStr">
        <is>
          <t>91859808</t>
        </is>
      </c>
      <c r="E209" s="30" t="inlineStr">
        <is>
          <t>Southern</t>
        </is>
      </c>
      <c r="F209" s="30" t="inlineStr">
        <is>
          <t>BPT</t>
        </is>
      </c>
      <c r="G209" s="30" t="inlineStr">
        <is>
          <t>OPS - BPT</t>
        </is>
      </c>
      <c r="H209" s="30" t="inlineStr">
        <is>
          <t>LM</t>
        </is>
      </c>
      <c r="I209" s="30" t="inlineStr">
        <is>
          <t>Fake Fail</t>
        </is>
      </c>
      <c r="J209" s="30" t="inlineStr">
        <is>
          <t>Invalid delivery attempt. POD invalid: Call log not connected, location invalid</t>
        </is>
      </c>
      <c r="K209" s="30" t="inlineStr">
        <is>
          <t xml:space="preserve">Putri </t>
        </is>
      </c>
    </row>
    <row r="210">
      <c r="A210" s="30" t="inlineStr">
        <is>
          <t>22/09/2026 17:42:16</t>
        </is>
      </c>
      <c r="B210" s="30" t="inlineStr">
        <is>
          <t>ESHP003312506</t>
        </is>
      </c>
      <c r="C210" s="30" t="inlineStr">
        <is>
          <t>262482650500</t>
        </is>
      </c>
      <c r="D210" s="30" t="inlineStr">
        <is>
          <t>91859656</t>
        </is>
      </c>
      <c r="E210" s="30" t="inlineStr">
        <is>
          <t>KV</t>
        </is>
      </c>
      <c r="F210" s="30" t="inlineStr">
        <is>
          <t>CJY</t>
        </is>
      </c>
      <c r="G210" s="30" t="inlineStr">
        <is>
          <t>CJY - OPS - CJY</t>
        </is>
      </c>
      <c r="H210" s="30" t="inlineStr">
        <is>
          <t>LM</t>
        </is>
      </c>
      <c r="I210" s="30" t="inlineStr">
        <is>
          <t>Fake Fail</t>
        </is>
      </c>
      <c r="J210" s="30" t="inlineStr">
        <is>
          <t xml:space="preserve">Invalid delivery attempt. POD invalid: Call log not customer's number </t>
        </is>
      </c>
      <c r="K210" s="30" t="inlineStr">
        <is>
          <t xml:space="preserve">Putri </t>
        </is>
      </c>
    </row>
    <row r="211">
      <c r="A211" s="30" t="inlineStr">
        <is>
          <t>22/09/2026 17:54:59</t>
        </is>
      </c>
      <c r="B211" s="30" t="inlineStr">
        <is>
          <t>NVMYAPTST000006617</t>
        </is>
      </c>
      <c r="C211" s="30" t="inlineStr">
        <is>
          <t>268142656274</t>
        </is>
      </c>
      <c r="D211" s="30" t="inlineStr">
        <is>
          <t>91868449</t>
        </is>
      </c>
      <c r="E211" s="30" t="inlineStr">
        <is>
          <t>Southern</t>
        </is>
      </c>
      <c r="F211" s="30" t="inlineStr">
        <is>
          <t>KEM</t>
        </is>
      </c>
      <c r="G211" s="30" t="inlineStr">
        <is>
          <t>MTG - FM - Shazwan Saupi</t>
        </is>
      </c>
      <c r="H211" s="30" t="inlineStr">
        <is>
          <t>LM</t>
        </is>
      </c>
      <c r="I211" s="30" t="inlineStr">
        <is>
          <t>CMI (Can't Make It)</t>
        </is>
      </c>
      <c r="J211" s="30" t="inlineStr">
        <is>
          <t xml:space="preserve">CMI not valid, pod blank </t>
        </is>
      </c>
      <c r="K211" s="30" t="inlineStr">
        <is>
          <t xml:space="preserve">Yana </t>
        </is>
      </c>
    </row>
    <row r="212">
      <c r="A212" s="30" t="inlineStr">
        <is>
          <t>22/09/2026 17:55:59</t>
        </is>
      </c>
      <c r="B212" s="30" t="inlineStr">
        <is>
          <t>NVMYYSLWE11037071A</t>
        </is>
      </c>
      <c r="C212" s="30" t="inlineStr">
        <is>
          <t>266902651428</t>
        </is>
      </c>
      <c r="D212" s="30" t="inlineStr">
        <is>
          <t>91859844</t>
        </is>
      </c>
      <c r="E212" s="30" t="inlineStr">
        <is>
          <t>North West</t>
        </is>
      </c>
      <c r="F212" s="30" t="inlineStr">
        <is>
          <t>TPG</t>
        </is>
      </c>
      <c r="G212" s="30" t="inlineStr">
        <is>
          <t>TPG - OPS - RASYID FAISAL NAIM</t>
        </is>
      </c>
      <c r="H212" s="30" t="inlineStr">
        <is>
          <t>LM</t>
        </is>
      </c>
      <c r="I212" s="30" t="inlineStr">
        <is>
          <t>Fake Fail</t>
        </is>
      </c>
      <c r="J212" s="30" t="inlineStr">
        <is>
          <t xml:space="preserve">POD not customer house </t>
        </is>
      </c>
      <c r="K212" s="30" t="inlineStr">
        <is>
          <t>Ninja Hadif</t>
        </is>
      </c>
    </row>
    <row r="213">
      <c r="A213" s="30" t="inlineStr">
        <is>
          <t>23/09/2026 09:13:55</t>
        </is>
      </c>
      <c r="B213" s="30" t="inlineStr">
        <is>
          <t>NVMYIMPJM000001454</t>
        </is>
      </c>
      <c r="C213" s="30" t="inlineStr">
        <is>
          <t>265872662589</t>
        </is>
      </c>
      <c r="D213" s="30" t="inlineStr">
        <is>
          <t>91868009</t>
        </is>
      </c>
      <c r="E213" s="30" t="inlineStr">
        <is>
          <t>South West</t>
        </is>
      </c>
      <c r="F213" s="30" t="inlineStr">
        <is>
          <t>BHU</t>
        </is>
      </c>
      <c r="G213" s="30" t="inlineStr">
        <is>
          <t xml:space="preserve">
BHU - OPS - IMAN</t>
        </is>
      </c>
      <c r="H213" s="30" t="inlineStr">
        <is>
          <t>LM</t>
        </is>
      </c>
      <c r="I213" s="30" t="inlineStr">
        <is>
          <t>Fake Fail</t>
        </is>
      </c>
      <c r="J213" s="30" t="inlineStr">
        <is>
          <t>POD not valid as no call log or site photo</t>
        </is>
      </c>
      <c r="K213" s="30" t="inlineStr">
        <is>
          <t>Zakwan</t>
        </is>
      </c>
    </row>
    <row r="214">
      <c r="A214" s="30" t="inlineStr">
        <is>
          <t>23/09/2026 09:15:00</t>
        </is>
      </c>
      <c r="B214" s="30" t="inlineStr">
        <is>
          <t>NVMYCOMOO000015506</t>
        </is>
      </c>
      <c r="C214" s="30" t="inlineStr">
        <is>
          <t>265012652839</t>
        </is>
      </c>
      <c r="D214" s="30" t="inlineStr">
        <is>
          <t>91851583
91864569</t>
        </is>
      </c>
      <c r="E214" s="30" t="inlineStr">
        <is>
          <t>Southern</t>
        </is>
      </c>
      <c r="F214" s="30" t="inlineStr">
        <is>
          <t>GLG</t>
        </is>
      </c>
      <c r="G214" s="30" t="inlineStr">
        <is>
          <t>GLG - OPS - ENGKU
GLG - ID - AHMAD ARSYHAD</t>
        </is>
      </c>
      <c r="H214" s="30" t="inlineStr">
        <is>
          <t>LM</t>
        </is>
      </c>
      <c r="I214" s="30" t="inlineStr">
        <is>
          <t>Fake Fail</t>
        </is>
      </c>
      <c r="J214" s="30" t="inlineStr">
        <is>
          <t>1st Attempt: No call log was recorded, and WhatsApp contact was blocked.
2nd Attempt: The call attempts were not at least 1 minute apart.</t>
        </is>
      </c>
      <c r="K214" s="30" t="inlineStr">
        <is>
          <t xml:space="preserve">Izzni </t>
        </is>
      </c>
    </row>
    <row r="215">
      <c r="A215" s="30" t="inlineStr">
        <is>
          <t>23/09/2026 10:29:33</t>
        </is>
      </c>
      <c r="B215" s="30" t="inlineStr">
        <is>
          <t>NVMYLUGIF000000218</t>
        </is>
      </c>
      <c r="C215" s="30" t="inlineStr">
        <is>
          <t>265222668849</t>
        </is>
      </c>
      <c r="D215" s="30" t="inlineStr">
        <is>
          <t>91863082</t>
        </is>
      </c>
      <c r="E215" s="30" t="inlineStr">
        <is>
          <t>KV</t>
        </is>
      </c>
      <c r="F215" s="30" t="inlineStr">
        <is>
          <t>BTR</t>
        </is>
      </c>
      <c r="G215" s="30" t="inlineStr">
        <is>
          <t>BTR - ID - SYIFAA</t>
        </is>
      </c>
      <c r="H215" s="30" t="inlineStr">
        <is>
          <t>LM</t>
        </is>
      </c>
      <c r="I215" s="30" t="inlineStr">
        <is>
          <t>Fake Fail</t>
        </is>
      </c>
      <c r="J215" s="30" t="inlineStr">
        <is>
          <t>POD not cust contact number</t>
        </is>
      </c>
      <c r="K215" s="30" t="inlineStr">
        <is>
          <t>Zakwan</t>
        </is>
      </c>
    </row>
    <row r="216">
      <c r="A216" s="30" t="inlineStr">
        <is>
          <t>23/09/2026 09:38:29</t>
        </is>
      </c>
      <c r="B216" s="30" t="inlineStr">
        <is>
          <t>MLCOW1549977659915173888</t>
        </is>
      </c>
      <c r="C216" s="30" t="inlineStr">
        <is>
          <t>261902650496</t>
        </is>
      </c>
      <c r="D216" s="30" t="inlineStr">
        <is>
          <t>91859538</t>
        </is>
      </c>
      <c r="E216" s="30" t="inlineStr">
        <is>
          <t>KV</t>
        </is>
      </c>
      <c r="F216" s="30" t="inlineStr">
        <is>
          <t>STL</t>
        </is>
      </c>
      <c r="G216" s="30" t="inlineStr">
        <is>
          <t>STL - IR - AFIQAH</t>
        </is>
      </c>
      <c r="H216" s="30" t="inlineStr">
        <is>
          <t>LM</t>
        </is>
      </c>
      <c r="I216" s="30" t="inlineStr">
        <is>
          <t>Deliver to Wrong Address</t>
        </is>
      </c>
      <c r="J216" s="30" t="inlineStr">
        <is>
          <t xml:space="preserve">As per checked, this parcel was received by the customer’s neighbour. </t>
        </is>
      </c>
      <c r="K216" s="30" t="inlineStr">
        <is>
          <t xml:space="preserve">Izzni </t>
        </is>
      </c>
    </row>
    <row r="217">
      <c r="A217" s="30" t="inlineStr">
        <is>
          <t>23/09/2026 09:53:23</t>
        </is>
      </c>
      <c r="B217" s="30" t="inlineStr">
        <is>
          <t>ZCOS00707946827971 / ZCOS00708946728334</t>
        </is>
      </c>
      <c r="C217" s="30" t="inlineStr">
        <is>
          <t>263072656246</t>
        </is>
      </c>
      <c r="D217" s="30" t="inlineStr">
        <is>
          <t>91854873 / 91863194</t>
        </is>
      </c>
      <c r="E217" s="30" t="inlineStr">
        <is>
          <t>KV</t>
        </is>
      </c>
      <c r="F217" s="30" t="inlineStr">
        <is>
          <t>DSA</t>
        </is>
      </c>
      <c r="G217" s="30" t="inlineStr">
        <is>
          <t>OPS - DSA</t>
        </is>
      </c>
      <c r="H217" s="30" t="inlineStr">
        <is>
          <t>LM</t>
        </is>
      </c>
      <c r="I217" s="30" t="inlineStr">
        <is>
          <t>Failed pick-up</t>
        </is>
      </c>
      <c r="J217" s="30" t="inlineStr">
        <is>
          <t>POD invalid (No connected call or No 3 call attempt, No unique identifier of the location)</t>
        </is>
      </c>
      <c r="K217" s="30" t="inlineStr">
        <is>
          <t>Huzair</t>
        </is>
      </c>
    </row>
    <row r="218">
      <c r="A218" s="30" t="inlineStr">
        <is>
          <t>23/09/2026 09:55:18</t>
        </is>
      </c>
      <c r="B218" s="30" t="inlineStr">
        <is>
          <t>NVMYKAMAT000013283</t>
        </is>
      </c>
      <c r="C218" s="30" t="inlineStr">
        <is>
          <t>264322651094</t>
        </is>
      </c>
      <c r="D218" s="30" t="inlineStr">
        <is>
          <t>91841910</t>
        </is>
      </c>
      <c r="E218" s="30" t="inlineStr">
        <is>
          <t>Southern</t>
        </is>
      </c>
      <c r="F218" s="30" t="inlineStr">
        <is>
          <t>KEM</t>
        </is>
      </c>
      <c r="G218" s="30" t="inlineStr">
        <is>
          <t>OPS - KEM</t>
        </is>
      </c>
      <c r="H218" s="30" t="inlineStr">
        <is>
          <t>LM</t>
        </is>
      </c>
      <c r="I218" s="30" t="inlineStr">
        <is>
          <t>Fake Fail</t>
        </is>
      </c>
      <c r="J218" s="30" t="inlineStr">
        <is>
          <t>POD invalid (No 3 attempt call with different times, No connected call)</t>
        </is>
      </c>
      <c r="K218" s="30" t="inlineStr">
        <is>
          <t>Huzair</t>
        </is>
      </c>
    </row>
    <row r="219">
      <c r="A219" s="30" t="inlineStr">
        <is>
          <t>23/09/2026 09:58:01</t>
        </is>
      </c>
      <c r="B219" s="30" t="inlineStr">
        <is>
          <t>NVMYNINJA002521024</t>
        </is>
      </c>
      <c r="C219" s="30" t="inlineStr">
        <is>
          <t>261272659713</t>
        </is>
      </c>
      <c r="D219" s="30" t="inlineStr">
        <is>
          <t>91867195</t>
        </is>
      </c>
      <c r="E219" s="30" t="inlineStr">
        <is>
          <t>Northern</t>
        </is>
      </c>
      <c r="F219" s="30" t="inlineStr">
        <is>
          <t xml:space="preserve">SIM </t>
        </is>
      </c>
      <c r="G219" s="30" t="inlineStr">
        <is>
          <t>SIM - ID - IMRANNN</t>
        </is>
      </c>
      <c r="H219" s="30" t="inlineStr">
        <is>
          <t>LM</t>
        </is>
      </c>
      <c r="I219" s="30" t="inlineStr">
        <is>
          <t>Fake Fail</t>
        </is>
      </c>
      <c r="J219" s="30" t="inlineStr">
        <is>
          <t xml:space="preserve">driver proceed with RTS but customer not reject and waiting the parcel </t>
        </is>
      </c>
      <c r="K219" s="30" t="inlineStr">
        <is>
          <t>zati</t>
        </is>
      </c>
    </row>
    <row r="220">
      <c r="A220" s="30" t="inlineStr">
        <is>
          <t>23/09/2026 10:05:16</t>
        </is>
      </c>
      <c r="B220" s="30" t="inlineStr">
        <is>
          <t>NVMYQUTN0000015757</t>
        </is>
      </c>
      <c r="C220" s="30" t="inlineStr">
        <is>
          <t>269242663137</t>
        </is>
      </c>
      <c r="D220" s="30" t="inlineStr">
        <is>
          <t>91772825 &amp; 91845173</t>
        </is>
      </c>
      <c r="E220" s="30" t="inlineStr">
        <is>
          <t>Southern</t>
        </is>
      </c>
      <c r="F220" s="30" t="inlineStr">
        <is>
          <t>BTS</t>
        </is>
      </c>
      <c r="G220" s="30" t="inlineStr">
        <is>
          <t xml:space="preserve">SELF COLLECT BERTAM PUTRA / BTS - OPS - PINANG TUNGGAL
</t>
        </is>
      </c>
      <c r="H220" s="30" t="inlineStr">
        <is>
          <t>LM</t>
        </is>
      </c>
      <c r="I220" s="30" t="inlineStr">
        <is>
          <t>Fake Fail</t>
        </is>
      </c>
      <c r="J220" s="30" t="inlineStr">
        <is>
          <t>1st POD, dont show any text or call log, 2nd POD text given to cust is refer to different TN</t>
        </is>
      </c>
      <c r="K220" s="30" t="inlineStr">
        <is>
          <t>Syak</t>
        </is>
      </c>
    </row>
    <row r="221">
      <c r="A221" s="30" t="inlineStr">
        <is>
          <t>23/09/2026 10:02:33</t>
        </is>
      </c>
      <c r="B221" s="30" t="inlineStr">
        <is>
          <t>MYNJV70064585638</t>
        </is>
      </c>
      <c r="C221" s="30" t="inlineStr">
        <is>
          <t>261942653120</t>
        </is>
      </c>
      <c r="D221" s="30" t="inlineStr">
        <is>
          <t>91845156</t>
        </is>
      </c>
      <c r="E221" s="30" t="inlineStr">
        <is>
          <t>KV</t>
        </is>
      </c>
      <c r="F221" s="30" t="inlineStr">
        <is>
          <t>SEG</t>
        </is>
      </c>
      <c r="G221" s="30" t="inlineStr">
        <is>
          <t>SEG - OPS - STATION HEAD</t>
        </is>
      </c>
      <c r="H221" s="30" t="inlineStr">
        <is>
          <t>LM</t>
        </is>
      </c>
      <c r="I221" s="30" t="inlineStr">
        <is>
          <t>Fake Fail</t>
        </is>
      </c>
      <c r="J221" s="30" t="inlineStr">
        <is>
          <t>POD invalid (No connected call or No responded chat, No unique identifier of the location)</t>
        </is>
      </c>
      <c r="K221" s="30" t="inlineStr">
        <is>
          <t>Huzair</t>
        </is>
      </c>
    </row>
    <row r="222">
      <c r="A222" s="30" t="inlineStr">
        <is>
          <t>23/09/2026 10:07:50</t>
        </is>
      </c>
      <c r="B222" s="30" t="inlineStr">
        <is>
          <t>NVMYMOLBC000001942</t>
        </is>
      </c>
      <c r="C222" s="30" t="inlineStr">
        <is>
          <t>265462665950</t>
        </is>
      </c>
      <c r="D222" s="30" t="inlineStr">
        <is>
          <t>91864958</t>
        </is>
      </c>
      <c r="E222" s="30" t="inlineStr">
        <is>
          <t>Southern</t>
        </is>
      </c>
      <c r="F222" s="30" t="inlineStr">
        <is>
          <t>KLI</t>
        </is>
      </c>
      <c r="G222" s="30" t="inlineStr">
        <is>
          <t>OPS - KULAI</t>
        </is>
      </c>
      <c r="H222" s="30" t="inlineStr">
        <is>
          <t>LM</t>
        </is>
      </c>
      <c r="I222" s="30" t="inlineStr">
        <is>
          <t>Fake Fail</t>
        </is>
      </c>
      <c r="J222" s="30" t="inlineStr">
        <is>
          <t xml:space="preserve">No call log/Whatsapp provided (blank POD) </t>
        </is>
      </c>
      <c r="K222" s="30" t="inlineStr">
        <is>
          <t xml:space="preserve">Izzni </t>
        </is>
      </c>
    </row>
    <row r="223">
      <c r="A223" s="30" t="inlineStr">
        <is>
          <t>23/09/2026 10:13:25</t>
        </is>
      </c>
      <c r="B223" s="30" t="inlineStr">
        <is>
          <t>TNGDV2609076844573390</t>
        </is>
      </c>
      <c r="C223" s="30" t="inlineStr">
        <is>
          <t>263932618154</t>
        </is>
      </c>
      <c r="D223" s="30" t="inlineStr">
        <is>
          <t>91807029</t>
        </is>
      </c>
      <c r="E223" s="30" t="inlineStr">
        <is>
          <t>KV</t>
        </is>
      </c>
      <c r="F223" s="30" t="inlineStr">
        <is>
          <t xml:space="preserve">RWG </t>
        </is>
      </c>
      <c r="G223" s="30" t="inlineStr">
        <is>
          <t>RWG - ID - NIK SAIFUL</t>
        </is>
      </c>
      <c r="H223" s="30" t="inlineStr">
        <is>
          <t>LM</t>
        </is>
      </c>
      <c r="I223" s="30" t="inlineStr">
        <is>
          <t>Deliver to Wrong Address</t>
        </is>
      </c>
      <c r="J223" s="30" t="inlineStr">
        <is>
          <t>Completed 2026-09-15 but delivered to the wrong address. Done retrieve and cust received it on 22/09</t>
        </is>
      </c>
      <c r="K223" s="30" t="inlineStr">
        <is>
          <t>Syaza</t>
        </is>
      </c>
    </row>
    <row r="224">
      <c r="A224" s="30" t="inlineStr">
        <is>
          <t>23/09/2026 10:13:41</t>
        </is>
      </c>
      <c r="B224" s="30" t="inlineStr">
        <is>
          <t>NVMYNINJA002513733</t>
        </is>
      </c>
      <c r="C224" s="30" t="inlineStr">
        <is>
          <t>264702657620</t>
        </is>
      </c>
      <c r="D224" s="30" t="inlineStr">
        <is>
          <t>91865703</t>
        </is>
      </c>
      <c r="E224" s="30" t="inlineStr">
        <is>
          <t>Southern</t>
        </is>
      </c>
      <c r="F224" s="30" t="inlineStr">
        <is>
          <t>KEM</t>
        </is>
      </c>
      <c r="G224" s="30" t="inlineStr">
        <is>
          <t>OPS - KEM</t>
        </is>
      </c>
      <c r="H224" s="30" t="inlineStr">
        <is>
          <t>LM</t>
        </is>
      </c>
      <c r="I224" s="30" t="inlineStr">
        <is>
          <t>Fake Fail</t>
        </is>
      </c>
      <c r="J224" s="30" t="inlineStr">
        <is>
          <t>POD invalid (No 3 attempt call with different times, No connected call)</t>
        </is>
      </c>
      <c r="K224" s="30" t="inlineStr">
        <is>
          <t>Huzair</t>
        </is>
      </c>
    </row>
    <row r="225">
      <c r="A225" s="30" t="inlineStr">
        <is>
          <t>23/09/2026 10:14:43</t>
        </is>
      </c>
      <c r="B225" s="30" t="inlineStr">
        <is>
          <t>RYTDBYP63YO4WN0</t>
        </is>
      </c>
      <c r="C225" s="30" t="inlineStr">
        <is>
          <t>265722663167</t>
        </is>
      </c>
      <c r="D225" s="30" t="inlineStr">
        <is>
          <t>91826821
91859933</t>
        </is>
      </c>
      <c r="E225" s="30" t="inlineStr">
        <is>
          <t>KV</t>
        </is>
      </c>
      <c r="F225" s="30" t="inlineStr">
        <is>
          <t>SHA</t>
        </is>
      </c>
      <c r="G225" s="30" t="inlineStr">
        <is>
          <t>SHA - OPS - SHA</t>
        </is>
      </c>
      <c r="H225" s="30" t="inlineStr">
        <is>
          <t>LM</t>
        </is>
      </c>
      <c r="I225" s="30" t="inlineStr">
        <is>
          <t>Fake Fail</t>
        </is>
      </c>
      <c r="J225" s="30" t="inlineStr">
        <is>
          <t xml:space="preserve">The driver contacted wrong number </t>
        </is>
      </c>
      <c r="K225" s="30" t="inlineStr">
        <is>
          <t xml:space="preserve">Izzni </t>
        </is>
      </c>
    </row>
    <row r="226">
      <c r="A226" s="30" t="inlineStr">
        <is>
          <t>23/09/2026 10:19:01</t>
        </is>
      </c>
      <c r="B226" s="30" t="inlineStr">
        <is>
          <t>NVMYTDGPP102333622</t>
        </is>
      </c>
      <c r="C226" s="30" t="inlineStr">
        <is>
          <t>268722667287</t>
        </is>
      </c>
      <c r="D226" s="30" t="inlineStr">
        <is>
          <t>91868637</t>
        </is>
      </c>
      <c r="E226" s="30" t="inlineStr">
        <is>
          <t>Southern</t>
        </is>
      </c>
      <c r="F226" s="30" t="inlineStr">
        <is>
          <t>GLG</t>
        </is>
      </c>
      <c r="G226" s="30" t="inlineStr">
        <is>
          <t>GLG - OPS - ENGKU</t>
        </is>
      </c>
      <c r="H226" s="30" t="inlineStr">
        <is>
          <t>LM</t>
        </is>
      </c>
      <c r="I226" s="30" t="inlineStr">
        <is>
          <t>Fake Fail</t>
        </is>
      </c>
      <c r="J226" s="30" t="inlineStr">
        <is>
          <t>POD invalid (No 3 attempt call with different times, No connected call)</t>
        </is>
      </c>
      <c r="K226" s="30" t="inlineStr">
        <is>
          <t>Huzair</t>
        </is>
      </c>
    </row>
    <row r="227">
      <c r="A227" s="30" t="inlineStr">
        <is>
          <t>23/09/2026 10:21:26</t>
        </is>
      </c>
      <c r="B227" s="30" t="inlineStr">
        <is>
          <t>RYTDBD29JAYW9LL</t>
        </is>
      </c>
      <c r="C227" s="30" t="inlineStr">
        <is>
          <t>267802663802</t>
        </is>
      </c>
      <c r="D227" s="30" t="inlineStr">
        <is>
          <t>91862067</t>
        </is>
      </c>
      <c r="E227" s="30" t="inlineStr">
        <is>
          <t>KV</t>
        </is>
      </c>
      <c r="F227" s="30" t="inlineStr">
        <is>
          <t>BRP</t>
        </is>
      </c>
      <c r="G227" s="30" t="inlineStr">
        <is>
          <t>BRP - ID - HAIRI</t>
        </is>
      </c>
      <c r="H227" s="30" t="inlineStr">
        <is>
          <t>LM</t>
        </is>
      </c>
      <c r="I227" s="30" t="inlineStr">
        <is>
          <t>Fake Fail</t>
        </is>
      </c>
      <c r="J227" s="30" t="inlineStr">
        <is>
          <t>The call was not connected, and there was no response via WhatsApp.</t>
        </is>
      </c>
      <c r="K227" s="30" t="inlineStr">
        <is>
          <t xml:space="preserve">Izzni </t>
        </is>
      </c>
    </row>
    <row r="228">
      <c r="A228" s="30" t="inlineStr">
        <is>
          <t>23/09/2026 10:30:47</t>
        </is>
      </c>
      <c r="B228" s="30" t="inlineStr">
        <is>
          <t>NVMYNINJA002517028</t>
        </is>
      </c>
      <c r="C228" s="30" t="inlineStr">
        <is>
          <t>263872668631</t>
        </is>
      </c>
      <c r="D228" s="30" t="inlineStr">
        <is>
          <t>91841899</t>
        </is>
      </c>
      <c r="E228" s="30" t="inlineStr">
        <is>
          <t>Southern</t>
        </is>
      </c>
      <c r="F228" s="30" t="inlineStr">
        <is>
          <t>KEM</t>
        </is>
      </c>
      <c r="G228" s="30" t="inlineStr">
        <is>
          <t>KEM - ID - CHOU</t>
        </is>
      </c>
      <c r="H228" s="30" t="inlineStr">
        <is>
          <t>LM</t>
        </is>
      </c>
      <c r="I228" s="30" t="inlineStr">
        <is>
          <t>Fake Fail</t>
        </is>
      </c>
      <c r="J228" s="30" t="inlineStr">
        <is>
          <t xml:space="preserve">POD not valid as cust not reject parcel </t>
        </is>
      </c>
      <c r="K228" s="30" t="inlineStr">
        <is>
          <t>Zakwan</t>
        </is>
      </c>
    </row>
    <row r="229">
      <c r="A229" s="30" t="inlineStr">
        <is>
          <t>23/09/2026 10:32:13</t>
        </is>
      </c>
      <c r="B229" s="30" t="inlineStr">
        <is>
          <t>NVMYNINJA002514124</t>
        </is>
      </c>
      <c r="C229" s="30" t="inlineStr">
        <is>
          <t>263872668631</t>
        </is>
      </c>
      <c r="D229" s="30" t="inlineStr">
        <is>
          <t>91841899 / 91868165</t>
        </is>
      </c>
      <c r="E229" s="30" t="inlineStr">
        <is>
          <t>Southern</t>
        </is>
      </c>
      <c r="F229" s="30" t="inlineStr">
        <is>
          <t>KEM</t>
        </is>
      </c>
      <c r="G229" s="30" t="inlineStr">
        <is>
          <t>KEM - ID - CHOU / BHU - FM - Mohammad Fahmi</t>
        </is>
      </c>
      <c r="H229" s="30" t="inlineStr">
        <is>
          <t>LM</t>
        </is>
      </c>
      <c r="I229" s="30" t="inlineStr">
        <is>
          <t>Fake Fail</t>
        </is>
      </c>
      <c r="J229" s="30" t="inlineStr">
        <is>
          <t>POD not valid as cust not reject parcel</t>
        </is>
      </c>
      <c r="K229" s="30" t="inlineStr">
        <is>
          <t>Zakwan</t>
        </is>
      </c>
    </row>
    <row r="230">
      <c r="A230" s="30" t="inlineStr">
        <is>
          <t>23/09/2026 10:33:31</t>
        </is>
      </c>
      <c r="B230" s="30" t="inlineStr">
        <is>
          <t>MYNJV70027665658</t>
        </is>
      </c>
      <c r="C230" s="30" t="inlineStr">
        <is>
          <t>262512669199</t>
        </is>
      </c>
      <c r="D230" s="30" t="inlineStr">
        <is>
          <t>91868849</t>
        </is>
      </c>
      <c r="E230" s="30" t="inlineStr">
        <is>
          <t>Southern</t>
        </is>
      </c>
      <c r="F230" s="30" t="inlineStr">
        <is>
          <t>PTN</t>
        </is>
      </c>
      <c r="G230" s="30" t="inlineStr">
        <is>
          <t>PTN - OPS - AMIRA NORFILZAH</t>
        </is>
      </c>
      <c r="H230" s="30" t="inlineStr">
        <is>
          <t>LM</t>
        </is>
      </c>
      <c r="I230" s="30" t="inlineStr">
        <is>
          <t>Fake Fail</t>
        </is>
      </c>
      <c r="J230" s="30" t="inlineStr">
        <is>
          <t>No call log was provided, and WhatsApp contact was blocked.</t>
        </is>
      </c>
      <c r="K230" s="30" t="inlineStr">
        <is>
          <t xml:space="preserve">Izzni </t>
        </is>
      </c>
    </row>
    <row r="231">
      <c r="A231" s="30" t="inlineStr">
        <is>
          <t>23/09/2026 10:37:52</t>
        </is>
      </c>
      <c r="B231" s="30" t="inlineStr">
        <is>
          <t>AEMYA000627407</t>
        </is>
      </c>
      <c r="C231" s="30" t="inlineStr">
        <is>
          <t>261382668935</t>
        </is>
      </c>
      <c r="D231" s="30" t="inlineStr">
        <is>
          <t>91865375</t>
        </is>
      </c>
      <c r="E231" s="30" t="inlineStr">
        <is>
          <t>East MY</t>
        </is>
      </c>
      <c r="F231" s="30" t="inlineStr">
        <is>
          <t>KCH</t>
        </is>
      </c>
      <c r="G231" s="30" t="inlineStr">
        <is>
          <t>KCH - ID - AFEQ DANIAL</t>
        </is>
      </c>
      <c r="H231" s="30" t="inlineStr">
        <is>
          <t>LM</t>
        </is>
      </c>
      <c r="I231" s="30" t="inlineStr">
        <is>
          <t>Fake Fail</t>
        </is>
      </c>
      <c r="J231" s="30" t="inlineStr">
        <is>
          <t xml:space="preserve">No call log and Whatsapp provided </t>
        </is>
      </c>
      <c r="K231" s="30" t="inlineStr">
        <is>
          <t xml:space="preserve">Izzni </t>
        </is>
      </c>
    </row>
    <row r="232">
      <c r="A232" s="30" t="inlineStr">
        <is>
          <t>23/09/2026 10:53:03</t>
        </is>
      </c>
      <c r="B232" s="30" t="inlineStr">
        <is>
          <t>TNGSB125966755831752000</t>
        </is>
      </c>
      <c r="C232" s="30" t="inlineStr">
        <is>
          <t>263532648023</t>
        </is>
      </c>
      <c r="D232" s="30" t="inlineStr">
        <is>
          <t>91809648</t>
        </is>
      </c>
      <c r="E232" s="30" t="inlineStr">
        <is>
          <t>KV</t>
        </is>
      </c>
      <c r="F232" s="30" t="inlineStr">
        <is>
          <t>SHA</t>
        </is>
      </c>
      <c r="G232" s="30" t="inlineStr">
        <is>
          <t>SHA - ID - AHMAD ISAH</t>
        </is>
      </c>
      <c r="H232" s="30" t="inlineStr">
        <is>
          <t>LM</t>
        </is>
      </c>
      <c r="I232" s="30" t="inlineStr">
        <is>
          <t>Deliver to Wrong Address</t>
        </is>
      </c>
      <c r="J232" s="30" t="inlineStr">
        <is>
          <t>Completed 2026-09-15 but customer not received. Customer collected the parcel from the wrong location</t>
        </is>
      </c>
      <c r="K232" s="30" t="inlineStr">
        <is>
          <t>Syaza</t>
        </is>
      </c>
    </row>
    <row r="233">
      <c r="A233" s="30" t="inlineStr">
        <is>
          <t>23/09/2026 11:00:20</t>
        </is>
      </c>
      <c r="B233" s="30" t="inlineStr">
        <is>
          <t>DEONL1549361821138235392</t>
        </is>
      </c>
      <c r="C233" s="30" t="inlineStr">
        <is>
          <t>265002657467</t>
        </is>
      </c>
      <c r="D233" s="30" t="inlineStr">
        <is>
          <t>91864733</t>
        </is>
      </c>
      <c r="E233" s="30" t="inlineStr">
        <is>
          <t>East MY</t>
        </is>
      </c>
      <c r="F233" s="30" t="inlineStr">
        <is>
          <t>SBW</t>
        </is>
      </c>
      <c r="G233" s="30" t="inlineStr">
        <is>
          <t>SBW - ID - ZULHELMI</t>
        </is>
      </c>
      <c r="H233" s="30" t="inlineStr">
        <is>
          <t>LM</t>
        </is>
      </c>
      <c r="I233" s="30" t="inlineStr">
        <is>
          <t>Fake Fail</t>
        </is>
      </c>
      <c r="J233" s="30" t="inlineStr">
        <is>
          <t>invalid call log and no image of location provided</t>
        </is>
      </c>
      <c r="K233" s="30" t="inlineStr">
        <is>
          <t>Hartini</t>
        </is>
      </c>
    </row>
    <row r="234">
      <c r="A234" s="30" t="inlineStr">
        <is>
          <t>23/09/2026 11:09:31</t>
        </is>
      </c>
      <c r="B234" s="30" t="inlineStr">
        <is>
          <t>NVMYMKLYW000NICOLE</t>
        </is>
      </c>
      <c r="C234" s="30" t="inlineStr">
        <is>
          <t>262432663934</t>
        </is>
      </c>
      <c r="D234" s="30" t="inlineStr">
        <is>
          <t>91864569 &amp; 91859700</t>
        </is>
      </c>
      <c r="E234" s="30" t="inlineStr">
        <is>
          <t>Southern</t>
        </is>
      </c>
      <c r="F234" s="30" t="inlineStr">
        <is>
          <t xml:space="preserve">GLG </t>
        </is>
      </c>
      <c r="G234" s="30" t="inlineStr">
        <is>
          <t xml:space="preserve">GLG - OPS - ENGKU &amp; GLG - ID - AHMAD ARSYHAD
</t>
        </is>
      </c>
      <c r="H234" s="30" t="inlineStr">
        <is>
          <t>LM</t>
        </is>
      </c>
      <c r="I234" s="30" t="inlineStr">
        <is>
          <t>Fake Fail</t>
        </is>
      </c>
      <c r="J234" s="30" t="inlineStr">
        <is>
          <t>1st , failed by OPS, but dont have any text and call log attached. 2nd pOD call within same time and there is no template for unreachable as per POD guideline given to the customer</t>
        </is>
      </c>
      <c r="K234" s="30" t="inlineStr">
        <is>
          <t>Syak</t>
        </is>
      </c>
    </row>
    <row r="235">
      <c r="A235" s="30" t="inlineStr">
        <is>
          <t>23/09/2026 11:10:39</t>
        </is>
      </c>
      <c r="B235" s="30" t="inlineStr">
        <is>
          <t>PARAS0017266312</t>
        </is>
      </c>
      <c r="C235" s="30" t="inlineStr">
        <is>
          <t>264922669009</t>
        </is>
      </c>
      <c r="D235" s="30" t="inlineStr">
        <is>
          <t>91865830</t>
        </is>
      </c>
      <c r="E235" s="30" t="inlineStr">
        <is>
          <t>Southern</t>
        </is>
      </c>
      <c r="F235" s="30" t="inlineStr">
        <is>
          <t>NSJ</t>
        </is>
      </c>
      <c r="G235" s="30" t="inlineStr">
        <is>
          <t>OPS - NSJ</t>
        </is>
      </c>
      <c r="H235" s="30" t="inlineStr">
        <is>
          <t>LM</t>
        </is>
      </c>
      <c r="I235" s="30" t="inlineStr">
        <is>
          <t>Fake Fail</t>
        </is>
      </c>
      <c r="J235" s="30" t="inlineStr">
        <is>
          <t>POD invalid (No 3 attempt call with different times, No connected call)</t>
        </is>
      </c>
      <c r="K235" s="30" t="inlineStr">
        <is>
          <t>Huzair</t>
        </is>
      </c>
    </row>
    <row r="236">
      <c r="A236" s="30" t="inlineStr">
        <is>
          <t>23/09/2026 11:16:54</t>
        </is>
      </c>
      <c r="B236" s="30" t="inlineStr">
        <is>
          <t>NVMYDYURA050594351</t>
        </is>
      </c>
      <c r="C236" s="30" t="inlineStr">
        <is>
          <t>261942667419</t>
        </is>
      </c>
      <c r="D236" s="30" t="inlineStr">
        <is>
          <t>91866248</t>
        </is>
      </c>
      <c r="E236" s="30" t="inlineStr">
        <is>
          <t>Southern</t>
        </is>
      </c>
      <c r="F236" s="30" t="inlineStr">
        <is>
          <t>HTM</t>
        </is>
      </c>
      <c r="G236" s="30" t="inlineStr">
        <is>
          <t>HTM - ID - OPS</t>
        </is>
      </c>
      <c r="H236" s="30" t="inlineStr">
        <is>
          <t>LM</t>
        </is>
      </c>
      <c r="I236" s="30" t="inlineStr">
        <is>
          <t>Fake Fail</t>
        </is>
      </c>
      <c r="J236" s="30" t="inlineStr">
        <is>
          <t xml:space="preserve">The driver contacted wrong number </t>
        </is>
      </c>
      <c r="K236" s="30" t="inlineStr">
        <is>
          <t xml:space="preserve">Izzni </t>
        </is>
      </c>
    </row>
    <row r="237">
      <c r="A237" s="30" t="inlineStr">
        <is>
          <t>23/09/2026 11:15:39</t>
        </is>
      </c>
      <c r="B237" s="30" t="inlineStr">
        <is>
          <t>TNGE125996954640361000</t>
        </is>
      </c>
      <c r="C237" s="30" t="inlineStr">
        <is>
          <t>267462648135</t>
        </is>
      </c>
      <c r="D237" s="30" t="inlineStr">
        <is>
          <t>91821698</t>
        </is>
      </c>
      <c r="E237" s="30" t="inlineStr">
        <is>
          <t>KV</t>
        </is>
      </c>
      <c r="F237" s="30" t="inlineStr">
        <is>
          <t xml:space="preserve">BMC </t>
        </is>
      </c>
      <c r="G237" s="30" t="inlineStr">
        <is>
          <t>BMC - HD - KHAIRUL IDZWAN</t>
        </is>
      </c>
      <c r="H237" s="30" t="inlineStr">
        <is>
          <t>LM</t>
        </is>
      </c>
      <c r="I237" s="30" t="inlineStr">
        <is>
          <t>Deliver to Wrong Address</t>
        </is>
      </c>
      <c r="J237" s="30" t="inlineStr">
        <is>
          <t>Completed 2026-09-17 but delivered to the wrong location (cust address at Jenjarom but BMC hub delivered the parcel). Parcel retrieve from the wrong location and LH to the correct hub</t>
        </is>
      </c>
      <c r="K237" s="30" t="inlineStr">
        <is>
          <t>Syaza</t>
        </is>
      </c>
    </row>
    <row r="238">
      <c r="A238" s="30" t="inlineStr">
        <is>
          <t>23/09/2026 11:17:26</t>
        </is>
      </c>
      <c r="B238" s="30" t="inlineStr">
        <is>
          <t>NVMYKILATWK0077175</t>
        </is>
      </c>
      <c r="C238" s="30" t="inlineStr">
        <is>
          <t>265652662635</t>
        </is>
      </c>
      <c r="D238" s="30" t="inlineStr">
        <is>
          <t>91868502</t>
        </is>
      </c>
      <c r="E238" s="30" t="inlineStr">
        <is>
          <t>KV</t>
        </is>
      </c>
      <c r="F238" s="30" t="inlineStr">
        <is>
          <t>PJY</t>
        </is>
      </c>
      <c r="G238" s="30" t="inlineStr">
        <is>
          <t>OPS - PJY</t>
        </is>
      </c>
      <c r="H238" s="30" t="inlineStr">
        <is>
          <t>LM</t>
        </is>
      </c>
      <c r="I238" s="30" t="inlineStr">
        <is>
          <t>Fake Fail</t>
        </is>
      </c>
      <c r="J238" s="30" t="inlineStr">
        <is>
          <t>POD invalid (No connected call or No responded chat, No unique identifier of the location)</t>
        </is>
      </c>
      <c r="K238" s="30" t="inlineStr">
        <is>
          <t>Huzair</t>
        </is>
      </c>
    </row>
    <row r="239">
      <c r="A239" s="30" t="inlineStr">
        <is>
          <t>23/09/2026 11:23:37</t>
        </is>
      </c>
      <c r="B239" s="30" t="inlineStr">
        <is>
          <t>NVMYSMRTP026091313-001</t>
        </is>
      </c>
      <c r="C239" s="30" t="inlineStr">
        <is>
          <t>267072610160</t>
        </is>
      </c>
      <c r="D239" s="30" t="inlineStr">
        <is>
          <t>91826975</t>
        </is>
      </c>
      <c r="E239" s="30" t="inlineStr">
        <is>
          <t>Southern</t>
        </is>
      </c>
      <c r="F239" s="30" t="inlineStr">
        <is>
          <t xml:space="preserve">KEM </t>
        </is>
      </c>
      <c r="G239" s="30" t="inlineStr">
        <is>
          <t>KEM - ID - CHOU</t>
        </is>
      </c>
      <c r="H239" s="30" t="inlineStr">
        <is>
          <t>LM</t>
        </is>
      </c>
      <c r="I239" s="30" t="inlineStr">
        <is>
          <t>Fake Success</t>
        </is>
      </c>
      <c r="J239" s="30" t="inlineStr">
        <is>
          <t>Completed 2026-09-17 but missing one carton. Customer received the missing parcels after complaint lodge</t>
        </is>
      </c>
      <c r="K239" s="30" t="inlineStr">
        <is>
          <t>Syaza</t>
        </is>
      </c>
    </row>
    <row r="240">
      <c r="A240" s="30" t="inlineStr">
        <is>
          <t>23/09/2026 11:28:09</t>
        </is>
      </c>
      <c r="B240" s="30" t="inlineStr">
        <is>
          <t>JY200160145</t>
        </is>
      </c>
      <c r="C240" s="30" t="inlineStr">
        <is>
          <t>260542665344</t>
        </is>
      </c>
      <c r="D240" s="30" t="inlineStr">
        <is>
          <t>91868637</t>
        </is>
      </c>
      <c r="E240" s="30" t="inlineStr">
        <is>
          <t>Southern</t>
        </is>
      </c>
      <c r="F240" s="30" t="inlineStr">
        <is>
          <t>GLG</t>
        </is>
      </c>
      <c r="G240" s="30" t="inlineStr">
        <is>
          <t>GLG - OPS - ENGKU</t>
        </is>
      </c>
      <c r="H240" s="30" t="inlineStr">
        <is>
          <t>LM</t>
        </is>
      </c>
      <c r="I240" s="30" t="inlineStr">
        <is>
          <t>Fake Fail</t>
        </is>
      </c>
      <c r="J240" s="30" t="inlineStr">
        <is>
          <t>POD invalid (No 3 attempt call with different times, No connected call)</t>
        </is>
      </c>
      <c r="K240" s="30" t="inlineStr">
        <is>
          <t>Huzair</t>
        </is>
      </c>
    </row>
    <row r="241">
      <c r="A241" s="30" t="inlineStr">
        <is>
          <t>23/09/2026 11:30:32</t>
        </is>
      </c>
      <c r="B241" s="30" t="inlineStr">
        <is>
          <t>CHVIN000010433</t>
        </is>
      </c>
      <c r="C241" s="30" t="inlineStr">
        <is>
          <t>265432641982</t>
        </is>
      </c>
      <c r="D241" s="30" t="inlineStr">
        <is>
          <t>91836323</t>
        </is>
      </c>
      <c r="E241" s="30" t="inlineStr">
        <is>
          <t>Southern</t>
        </is>
      </c>
      <c r="F241" s="30" t="inlineStr">
        <is>
          <t xml:space="preserve">KEM </t>
        </is>
      </c>
      <c r="G241" s="30" t="inlineStr">
        <is>
          <t>KEM - ID - CHOU</t>
        </is>
      </c>
      <c r="H241" s="30" t="inlineStr">
        <is>
          <t>LM</t>
        </is>
      </c>
      <c r="I241" s="30" t="inlineStr">
        <is>
          <t>Deliver to Wrong Address</t>
        </is>
      </c>
      <c r="J241" s="30" t="inlineStr">
        <is>
          <t xml:space="preserve">Completed 2026-09-18 but delivered to the wrong house. Done retrieve and customer received after complaint lodge </t>
        </is>
      </c>
      <c r="K241" s="30" t="inlineStr">
        <is>
          <t>Syaza</t>
        </is>
      </c>
    </row>
    <row r="242">
      <c r="A242" s="30" t="inlineStr">
        <is>
          <t>23/09/2026 11:34:51</t>
        </is>
      </c>
      <c r="B242" s="30" t="inlineStr">
        <is>
          <t>FARCM24693436-1</t>
        </is>
      </c>
      <c r="C242" s="30" t="inlineStr">
        <is>
          <t>266132661221</t>
        </is>
      </c>
      <c r="D242" s="30" t="inlineStr">
        <is>
          <t>91858919</t>
        </is>
      </c>
      <c r="E242" s="30" t="inlineStr">
        <is>
          <t>Northern</t>
        </is>
      </c>
      <c r="F242" s="30" t="inlineStr">
        <is>
          <t>PDG</t>
        </is>
      </c>
      <c r="G242" s="30" t="inlineStr">
        <is>
          <t>PDG - OPS - PDG HUB</t>
        </is>
      </c>
      <c r="H242" s="30" t="inlineStr">
        <is>
          <t>LM</t>
        </is>
      </c>
      <c r="I242" s="30" t="inlineStr">
        <is>
          <t>Fake Fail</t>
        </is>
      </c>
      <c r="J242" s="30" t="inlineStr">
        <is>
          <t>POD invalid (Call log does not belong to the customer or No responded chat)</t>
        </is>
      </c>
      <c r="K242" s="30" t="inlineStr">
        <is>
          <t>Huzair</t>
        </is>
      </c>
    </row>
    <row r="243">
      <c r="A243" s="30" t="inlineStr">
        <is>
          <t>23/09/2026 11:38:58</t>
        </is>
      </c>
      <c r="B243" s="30" t="inlineStr">
        <is>
          <t>TNGDV2609126917953110</t>
        </is>
      </c>
      <c r="C243" s="30" t="inlineStr">
        <is>
          <t>269102619609</t>
        </is>
      </c>
      <c r="D243" s="30" t="inlineStr">
        <is>
          <t>91827173</t>
        </is>
      </c>
      <c r="E243" s="30" t="inlineStr">
        <is>
          <t>Southern</t>
        </is>
      </c>
      <c r="F243" s="30" t="inlineStr">
        <is>
          <t xml:space="preserve">LKN </t>
        </is>
      </c>
      <c r="G243" s="30" t="inlineStr">
        <is>
          <t>LKN - ID - RAMADAN</t>
        </is>
      </c>
      <c r="H243" s="30" t="inlineStr">
        <is>
          <t>LM</t>
        </is>
      </c>
      <c r="I243" s="30" t="inlineStr">
        <is>
          <t>Fake Success</t>
        </is>
      </c>
      <c r="J243" s="30" t="inlineStr">
        <is>
          <t>Completed 2026-09-17 but not received. Done retrieve and customer received it the parcel yesterday night (22/9)</t>
        </is>
      </c>
      <c r="K243" s="30" t="inlineStr">
        <is>
          <t>Syaza</t>
        </is>
      </c>
    </row>
    <row r="244">
      <c r="A244" s="30" t="inlineStr">
        <is>
          <t>23/09/2026 11:45:37</t>
        </is>
      </c>
      <c r="B244" s="30" t="inlineStr">
        <is>
          <t>NVMYDDTSE00013757A</t>
        </is>
      </c>
      <c r="C244" s="30" t="inlineStr">
        <is>
          <t>263632602599</t>
        </is>
      </c>
      <c r="D244" s="30" t="inlineStr">
        <is>
          <t>91806211</t>
        </is>
      </c>
      <c r="E244" s="30" t="inlineStr">
        <is>
          <t>Southern</t>
        </is>
      </c>
      <c r="F244" s="30" t="inlineStr">
        <is>
          <t xml:space="preserve">AUS </t>
        </is>
      </c>
      <c r="G244" s="30" t="inlineStr">
        <is>
          <t>AUS - ID - TAUFIK</t>
        </is>
      </c>
      <c r="H244" s="30" t="inlineStr">
        <is>
          <t>LM</t>
        </is>
      </c>
      <c r="I244" s="30" t="inlineStr">
        <is>
          <t>Fake Success</t>
        </is>
      </c>
      <c r="J244" s="30" t="inlineStr">
        <is>
          <t xml:space="preserve">Completed 2026-09-15 but cust not received. Done retrieved and customer received it on 18/9 </t>
        </is>
      </c>
      <c r="K244" s="30" t="inlineStr">
        <is>
          <t>Syaza</t>
        </is>
      </c>
    </row>
    <row r="245">
      <c r="A245" s="30" t="inlineStr">
        <is>
          <t>23/09/2026 11:50:23</t>
        </is>
      </c>
      <c r="B245" s="30" t="inlineStr">
        <is>
          <t>NVMYMYNTW000HOVIS1-001</t>
        </is>
      </c>
      <c r="C245" s="30" t="inlineStr">
        <is>
          <t>268482664805</t>
        </is>
      </c>
      <c r="D245" s="30" t="inlineStr">
        <is>
          <t>91859625
91864220</t>
        </is>
      </c>
      <c r="E245" s="30" t="inlineStr">
        <is>
          <t>Southern</t>
        </is>
      </c>
      <c r="F245" s="30" t="inlineStr">
        <is>
          <t>MUA</t>
        </is>
      </c>
      <c r="G245" s="30" t="inlineStr">
        <is>
          <t>MUA - OPS
MUA - ID - HAFEZ HARON</t>
        </is>
      </c>
      <c r="H245" s="30" t="inlineStr">
        <is>
          <t>LM</t>
        </is>
      </c>
      <c r="I245" s="30" t="inlineStr">
        <is>
          <t>Fake Fail</t>
        </is>
      </c>
      <c r="J245" s="30" t="inlineStr">
        <is>
          <t>Failed by ops, invalid location
Call log same minute, no location</t>
        </is>
      </c>
      <c r="K245" s="30" t="inlineStr">
        <is>
          <t>Ninja Hadif</t>
        </is>
      </c>
    </row>
    <row r="246">
      <c r="A246" s="30" t="inlineStr">
        <is>
          <t>23/09/2026 12:00:32</t>
        </is>
      </c>
      <c r="B246" s="30" t="inlineStr">
        <is>
          <t>LLABO01150A</t>
        </is>
      </c>
      <c r="C246" s="30" t="inlineStr">
        <is>
          <t>268052658153</t>
        </is>
      </c>
      <c r="D246" s="30" t="inlineStr">
        <is>
          <t>91854769</t>
        </is>
      </c>
      <c r="E246" s="30" t="inlineStr">
        <is>
          <t>East MY</t>
        </is>
      </c>
      <c r="F246" s="30" t="inlineStr">
        <is>
          <t xml:space="preserve">MYY </t>
        </is>
      </c>
      <c r="G246" s="30" t="inlineStr">
        <is>
          <t>MYY - ID - LEE YEW FOOK</t>
        </is>
      </c>
      <c r="H246" s="30" t="inlineStr">
        <is>
          <t>LM</t>
        </is>
      </c>
      <c r="I246" s="30" t="inlineStr">
        <is>
          <t>Fake Success</t>
        </is>
      </c>
      <c r="J246" s="30" t="inlineStr">
        <is>
          <t xml:space="preserve">parcel delivered on 21/9 but customer only receive back the parcel on 22/9 after shipper made complaint </t>
        </is>
      </c>
      <c r="K246" s="30" t="inlineStr">
        <is>
          <t>zati</t>
        </is>
      </c>
    </row>
    <row r="247">
      <c r="A247" s="30" t="inlineStr">
        <is>
          <t>23/09/2026 12:05:11</t>
        </is>
      </c>
      <c r="B247" s="30" t="inlineStr">
        <is>
          <t>NVMYGCHEN000000483</t>
        </is>
      </c>
      <c r="C247" s="30" t="inlineStr">
        <is>
          <t>260782669253</t>
        </is>
      </c>
      <c r="D247" s="30" t="inlineStr">
        <is>
          <t>91855197</t>
        </is>
      </c>
      <c r="E247" s="30" t="inlineStr">
        <is>
          <t>North West</t>
        </is>
      </c>
      <c r="F247" s="30" t="inlineStr">
        <is>
          <t>BAG</t>
        </is>
      </c>
      <c r="G247" s="30" t="inlineStr">
        <is>
          <t>Bagan Serai</t>
        </is>
      </c>
      <c r="H247" s="30" t="inlineStr">
        <is>
          <t>LM</t>
        </is>
      </c>
      <c r="I247" s="30" t="inlineStr">
        <is>
          <t>Fake Fail</t>
        </is>
      </c>
      <c r="J247" s="30" t="inlineStr">
        <is>
          <t xml:space="preserve">POD invalid Location not customer address </t>
        </is>
      </c>
      <c r="K247" s="30" t="inlineStr">
        <is>
          <t>Ninja Hadif</t>
        </is>
      </c>
    </row>
    <row r="248">
      <c r="A248" s="30" t="inlineStr">
        <is>
          <t>23/09/2026 12:05:57</t>
        </is>
      </c>
      <c r="B248" s="30" t="inlineStr">
        <is>
          <t>MYNJV70042015878</t>
        </is>
      </c>
      <c r="C248" s="30" t="inlineStr">
        <is>
          <t>266422665692</t>
        </is>
      </c>
      <c r="D248" s="30" t="inlineStr">
        <is>
          <t>91868637</t>
        </is>
      </c>
      <c r="E248" s="30" t="inlineStr">
        <is>
          <t>Southern</t>
        </is>
      </c>
      <c r="F248" s="30" t="inlineStr">
        <is>
          <t>GLG</t>
        </is>
      </c>
      <c r="G248" s="30" t="inlineStr">
        <is>
          <t>GLG - OPS - ENGKU</t>
        </is>
      </c>
      <c r="H248" s="30" t="inlineStr">
        <is>
          <t>LM</t>
        </is>
      </c>
      <c r="I248" s="30" t="inlineStr">
        <is>
          <t>Fake Fail</t>
        </is>
      </c>
      <c r="J248" s="30" t="inlineStr">
        <is>
          <t xml:space="preserve">Call log is not connected and no Whatsapp provided </t>
        </is>
      </c>
      <c r="K248" s="30" t="inlineStr">
        <is>
          <t xml:space="preserve">Izzni </t>
        </is>
      </c>
    </row>
    <row r="249">
      <c r="A249" s="30" t="inlineStr">
        <is>
          <t>23/09/2026 12:08:02</t>
        </is>
      </c>
      <c r="B249" s="30" t="inlineStr">
        <is>
          <t>TNGE126006994822516000</t>
        </is>
      </c>
      <c r="C249" s="30" t="inlineStr">
        <is>
          <t>260842640542</t>
        </is>
      </c>
      <c r="D249" s="30" t="inlineStr">
        <is>
          <t>91820577</t>
        </is>
      </c>
      <c r="E249" s="30" t="inlineStr">
        <is>
          <t>KV</t>
        </is>
      </c>
      <c r="F249" s="30" t="inlineStr">
        <is>
          <t xml:space="preserve">BGI </t>
        </is>
      </c>
      <c r="G249" s="30" t="inlineStr">
        <is>
          <t>BGI - ID - SHAFIQ HAIQAL</t>
        </is>
      </c>
      <c r="H249" s="30" t="inlineStr">
        <is>
          <t>LM</t>
        </is>
      </c>
      <c r="I249" s="30" t="inlineStr">
        <is>
          <t>Fake Success</t>
        </is>
      </c>
      <c r="J249" s="30" t="inlineStr">
        <is>
          <t>Completed 2026-09-17 but cust not received. Done retrieve and customer received after the complaint lodge</t>
        </is>
      </c>
      <c r="K249" s="30" t="inlineStr">
        <is>
          <t>Syaza</t>
        </is>
      </c>
    </row>
    <row r="250">
      <c r="A250" s="30" t="inlineStr">
        <is>
          <t>23/09/2026 12:09:24</t>
        </is>
      </c>
      <c r="B250" s="30" t="inlineStr">
        <is>
          <t>NVMYADI00000422148</t>
        </is>
      </c>
      <c r="C250" s="30" t="inlineStr">
        <is>
          <t>261742667569</t>
        </is>
      </c>
      <c r="D250" s="30" t="inlineStr">
        <is>
          <t>91868506</t>
        </is>
      </c>
      <c r="E250" s="30" t="inlineStr">
        <is>
          <t>KV</t>
        </is>
      </c>
      <c r="F250" s="30" t="inlineStr">
        <is>
          <t>OUG</t>
        </is>
      </c>
      <c r="G250" s="30" t="inlineStr">
        <is>
          <t>OPS - OUG</t>
        </is>
      </c>
      <c r="H250" s="30" t="inlineStr">
        <is>
          <t>LM</t>
        </is>
      </c>
      <c r="I250" s="30" t="inlineStr">
        <is>
          <t>Fake Fail</t>
        </is>
      </c>
      <c r="J250" s="30" t="inlineStr">
        <is>
          <t xml:space="preserve">The call log is not connected and no Whatsapp provided </t>
        </is>
      </c>
      <c r="K250" s="30" t="inlineStr">
        <is>
          <t xml:space="preserve">Izzni </t>
        </is>
      </c>
    </row>
    <row r="251">
      <c r="A251" s="30" t="inlineStr">
        <is>
          <t>23/09/2026 12:10:10</t>
        </is>
      </c>
      <c r="B251" s="30" t="inlineStr">
        <is>
          <t>NVMYNINJA002501647</t>
        </is>
      </c>
      <c r="C251" s="30" t="inlineStr">
        <is>
          <t>261532662986</t>
        </is>
      </c>
      <c r="D251" s="30" t="inlineStr">
        <is>
          <t>91794903</t>
        </is>
      </c>
      <c r="E251" s="30" t="inlineStr">
        <is>
          <t>Northern</t>
        </is>
      </c>
      <c r="F251" s="30" t="inlineStr">
        <is>
          <t xml:space="preserve">PSN </t>
        </is>
      </c>
      <c r="G251" s="30" t="inlineStr">
        <is>
          <t>PSN - OPS - PSN HUB</t>
        </is>
      </c>
      <c r="H251" s="30" t="inlineStr">
        <is>
          <t>LM</t>
        </is>
      </c>
      <c r="I251" s="30" t="inlineStr">
        <is>
          <t>Fake Fail</t>
        </is>
      </c>
      <c r="J251" s="30" t="inlineStr">
        <is>
          <t>invalid call log provided</t>
        </is>
      </c>
      <c r="K251" s="30" t="inlineStr">
        <is>
          <t>Hartini</t>
        </is>
      </c>
    </row>
    <row r="252">
      <c r="A252" s="30" t="inlineStr">
        <is>
          <t>23/09/2026 12:11:40</t>
        </is>
      </c>
      <c r="B252" s="30" t="inlineStr">
        <is>
          <t>SPDRT1550468303319040000</t>
        </is>
      </c>
      <c r="C252" s="30" t="inlineStr">
        <is>
          <t>261742667569</t>
        </is>
      </c>
      <c r="D252" s="30" t="inlineStr">
        <is>
          <t>91851660</t>
        </is>
      </c>
      <c r="E252" s="30" t="inlineStr">
        <is>
          <t>KV</t>
        </is>
      </c>
      <c r="F252" s="30" t="inlineStr">
        <is>
          <t>OUG</t>
        </is>
      </c>
      <c r="G252" s="30" t="inlineStr">
        <is>
          <t>OPS - OUG</t>
        </is>
      </c>
      <c r="H252" s="30" t="inlineStr">
        <is>
          <t>LM</t>
        </is>
      </c>
      <c r="I252" s="30" t="inlineStr">
        <is>
          <t>Fake Fail</t>
        </is>
      </c>
      <c r="J252" s="30" t="inlineStr">
        <is>
          <t xml:space="preserve">Call log is not connected and no Whatsapp provided </t>
        </is>
      </c>
      <c r="K252" s="30" t="inlineStr">
        <is>
          <t xml:space="preserve">Izzni </t>
        </is>
      </c>
    </row>
    <row r="253">
      <c r="A253" s="30" t="inlineStr">
        <is>
          <t>23/09/2026 12:12:39</t>
        </is>
      </c>
      <c r="B253" s="30" t="inlineStr">
        <is>
          <t>NVMYWLDAN000015808</t>
        </is>
      </c>
      <c r="C253" s="30" t="inlineStr">
        <is>
          <t>264832652657</t>
        </is>
      </c>
      <c r="D253" s="30" t="inlineStr">
        <is>
          <t>91846612</t>
        </is>
      </c>
      <c r="E253" s="30" t="inlineStr">
        <is>
          <t>KV</t>
        </is>
      </c>
      <c r="F253" s="30" t="inlineStr">
        <is>
          <t xml:space="preserve">STG </t>
        </is>
      </c>
      <c r="G253" s="30" t="inlineStr">
        <is>
          <t>STG - ID - IZZATI</t>
        </is>
      </c>
      <c r="H253" s="30" t="inlineStr">
        <is>
          <t>LM</t>
        </is>
      </c>
      <c r="I253" s="30" t="inlineStr">
        <is>
          <t>Deliver to Wrong Address</t>
        </is>
      </c>
      <c r="J253" s="30" t="inlineStr">
        <is>
          <t xml:space="preserve">driver deliver to wrong address, cust receives after made a complaint </t>
        </is>
      </c>
      <c r="K253" s="30" t="inlineStr">
        <is>
          <t xml:space="preserve">Yana </t>
        </is>
      </c>
    </row>
    <row r="254">
      <c r="A254" s="30" t="inlineStr">
        <is>
          <t>23/09/2026 12:15:24</t>
        </is>
      </c>
      <c r="B254" s="30" t="inlineStr">
        <is>
          <t xml:space="preserve">NVMYSFPRO000001025-001
NVMYSFPRO000001025-002 </t>
        </is>
      </c>
      <c r="C254" s="30" t="inlineStr">
        <is>
          <t>260142665512</t>
        </is>
      </c>
      <c r="D254" s="30" t="inlineStr">
        <is>
          <t>91836497</t>
        </is>
      </c>
      <c r="E254" s="30" t="inlineStr">
        <is>
          <t>KV</t>
        </is>
      </c>
      <c r="F254" s="30" t="inlineStr">
        <is>
          <t xml:space="preserve">RWG </t>
        </is>
      </c>
      <c r="G254" s="30" t="inlineStr">
        <is>
          <t>OPS - RWG</t>
        </is>
      </c>
      <c r="H254" s="30" t="inlineStr">
        <is>
          <t>LM</t>
        </is>
      </c>
      <c r="I254" s="30" t="inlineStr">
        <is>
          <t>Fake Fail</t>
        </is>
      </c>
      <c r="J254" s="30" t="inlineStr">
        <is>
          <t xml:space="preserve">Call log is not connected and no Whatsapp provided </t>
        </is>
      </c>
      <c r="K254" s="30" t="inlineStr">
        <is>
          <t xml:space="preserve">Izzni </t>
        </is>
      </c>
    </row>
    <row r="255">
      <c r="A255" s="30" t="inlineStr">
        <is>
          <t>23/09/2026 12:17:36</t>
        </is>
      </c>
      <c r="B255" s="30" t="inlineStr">
        <is>
          <t>AEMYA000627864</t>
        </is>
      </c>
      <c r="C255" s="30" t="inlineStr">
        <is>
          <t>266302663171</t>
        </is>
      </c>
      <c r="D255" s="30" t="inlineStr">
        <is>
          <t>91867444</t>
        </is>
      </c>
      <c r="E255" s="30" t="inlineStr">
        <is>
          <t>Southern</t>
        </is>
      </c>
      <c r="F255" s="30" t="inlineStr">
        <is>
          <t xml:space="preserve">PTN </t>
        </is>
      </c>
      <c r="G255" s="30" t="inlineStr">
        <is>
          <t>PTN - ID - AFIZAH</t>
        </is>
      </c>
      <c r="H255" s="30" t="inlineStr">
        <is>
          <t>LM</t>
        </is>
      </c>
      <c r="I255" s="30" t="inlineStr">
        <is>
          <t>Fake Fail</t>
        </is>
      </c>
      <c r="J255" s="30" t="inlineStr">
        <is>
          <t xml:space="preserve">Call log is not connected and no Whatsapp provided </t>
        </is>
      </c>
      <c r="K255" s="30" t="inlineStr">
        <is>
          <t xml:space="preserve">Izzni </t>
        </is>
      </c>
    </row>
    <row r="256">
      <c r="A256" s="30" t="inlineStr">
        <is>
          <t>23/09/2026 12:20:41</t>
        </is>
      </c>
      <c r="B256" s="30" t="inlineStr">
        <is>
          <t>STLMY1550782677370200064</t>
        </is>
      </c>
      <c r="C256" s="30" t="inlineStr">
        <is>
          <t>263542655174</t>
        </is>
      </c>
      <c r="D256" s="30" t="inlineStr">
        <is>
          <t>91856405</t>
        </is>
      </c>
      <c r="E256" s="30" t="inlineStr">
        <is>
          <t>Southern</t>
        </is>
      </c>
      <c r="F256" s="30" t="inlineStr">
        <is>
          <t xml:space="preserve">LKN </t>
        </is>
      </c>
      <c r="G256" s="30" t="inlineStr">
        <is>
          <t>LKN - HD - ROSAZMIZARINIE</t>
        </is>
      </c>
      <c r="H256" s="30" t="inlineStr">
        <is>
          <t>LM</t>
        </is>
      </c>
      <c r="I256" s="30" t="inlineStr">
        <is>
          <t>Fake Success</t>
        </is>
      </c>
      <c r="J256" s="30" t="inlineStr">
        <is>
          <t xml:space="preserve">cust receives parcel after made a complaint </t>
        </is>
      </c>
      <c r="K256" s="30" t="inlineStr">
        <is>
          <t xml:space="preserve">Yana </t>
        </is>
      </c>
    </row>
    <row r="257">
      <c r="A257" s="30" t="inlineStr">
        <is>
          <t>23/09/2026 12:24:39</t>
        </is>
      </c>
      <c r="B257" s="30" t="inlineStr">
        <is>
          <t>LIVHU1550696753238847488</t>
        </is>
      </c>
      <c r="C257" s="30" t="inlineStr">
        <is>
          <t>268822654417</t>
        </is>
      </c>
      <c r="D257" s="30" t="inlineStr">
        <is>
          <t>91854199</t>
        </is>
      </c>
      <c r="E257" s="30" t="inlineStr">
        <is>
          <t>KV</t>
        </is>
      </c>
      <c r="F257" s="30" t="inlineStr">
        <is>
          <t xml:space="preserve">PUDO-KV-DEL - CC-GLE </t>
        </is>
      </c>
      <c r="G257" s="30" t="inlineStr">
        <is>
          <t>KV4 - FM - Tarmizi Abdul Aziz</t>
        </is>
      </c>
      <c r="H257" s="30" t="inlineStr">
        <is>
          <t>Cold Chain (CC)</t>
        </is>
      </c>
      <c r="I257" s="30" t="inlineStr">
        <is>
          <t>Fake Success</t>
        </is>
      </c>
      <c r="J257" s="30" t="inlineStr">
        <is>
          <t>driver fake success 
REVERT COMPLETED on 2026-09-22 15:41:20</t>
        </is>
      </c>
      <c r="K257" s="30" t="inlineStr">
        <is>
          <t xml:space="preserve">Ysna </t>
        </is>
      </c>
    </row>
    <row r="258">
      <c r="A258" s="30" t="inlineStr">
        <is>
          <t>23/09/2026 12:35:57</t>
        </is>
      </c>
      <c r="B258" s="30" t="inlineStr">
        <is>
          <t>NVMYNINJA002509548</t>
        </is>
      </c>
      <c r="C258" s="30" t="inlineStr">
        <is>
          <t>261272642560</t>
        </is>
      </c>
      <c r="D258" s="30" t="inlineStr">
        <is>
          <t>91829908</t>
        </is>
      </c>
      <c r="E258" s="30" t="inlineStr">
        <is>
          <t>KV</t>
        </is>
      </c>
      <c r="F258" s="30" t="inlineStr">
        <is>
          <t>DAM</t>
        </is>
      </c>
      <c r="G258" s="30" t="inlineStr">
        <is>
          <t>DAM - ID - EDDY HERMAN</t>
        </is>
      </c>
      <c r="H258" s="30" t="inlineStr">
        <is>
          <t>LM</t>
        </is>
      </c>
      <c r="I258" s="30" t="inlineStr">
        <is>
          <t>Fake Success</t>
        </is>
      </c>
      <c r="J258" s="30" t="inlineStr">
        <is>
          <t>System shoe parcel completed on 18.09.2026 but customer received on 21.09.2026</t>
        </is>
      </c>
      <c r="K258" s="30" t="inlineStr">
        <is>
          <t>Adid</t>
        </is>
      </c>
    </row>
    <row r="259">
      <c r="A259" s="30" t="inlineStr">
        <is>
          <t>23/09/2026 12:39:45</t>
        </is>
      </c>
      <c r="B259" s="30" t="inlineStr">
        <is>
          <t>NVMYYAMOW000003004</t>
        </is>
      </c>
      <c r="C259" s="30" t="inlineStr">
        <is>
          <t>267112668863</t>
        </is>
      </c>
      <c r="D259" s="30" t="inlineStr">
        <is>
          <t>91864291</t>
        </is>
      </c>
      <c r="E259" s="30" t="inlineStr">
        <is>
          <t>KV</t>
        </is>
      </c>
      <c r="F259" s="30" t="inlineStr">
        <is>
          <t>KSR</t>
        </is>
      </c>
      <c r="G259" s="30" t="inlineStr">
        <is>
          <t xml:space="preserve">KSR - ID - AZRI
</t>
        </is>
      </c>
      <c r="H259" s="30" t="inlineStr">
        <is>
          <t>LM</t>
        </is>
      </c>
      <c r="I259" s="30" t="inlineStr">
        <is>
          <t>Fake Fail</t>
        </is>
      </c>
      <c r="J259" s="30" t="inlineStr">
        <is>
          <t xml:space="preserve">POD invalid (house) instead the correct location was restaurant. </t>
        </is>
      </c>
      <c r="K259" s="30" t="inlineStr">
        <is>
          <t>Syak</t>
        </is>
      </c>
    </row>
    <row r="260">
      <c r="A260" s="30" t="inlineStr">
        <is>
          <t>23/09/2026 12:43:21</t>
        </is>
      </c>
      <c r="B260" s="30" t="inlineStr">
        <is>
          <t>TWMY00SM26035579-002</t>
        </is>
      </c>
      <c r="C260" s="30" t="inlineStr">
        <is>
          <t>260482669413</t>
        </is>
      </c>
      <c r="D260" s="30" t="inlineStr">
        <is>
          <t>91868612</t>
        </is>
      </c>
      <c r="E260" s="30" t="inlineStr">
        <is>
          <t>KV</t>
        </is>
      </c>
      <c r="F260" s="30" t="inlineStr">
        <is>
          <t>PUC</t>
        </is>
      </c>
      <c r="G260" s="30" t="inlineStr">
        <is>
          <t>PUC - ID - MUHAMMAD SUBADRULL</t>
        </is>
      </c>
      <c r="H260" s="30" t="inlineStr">
        <is>
          <t>LM</t>
        </is>
      </c>
      <c r="I260" s="30" t="inlineStr">
        <is>
          <t>Parcel Dumping</t>
        </is>
      </c>
      <c r="J260" s="30" t="inlineStr">
        <is>
          <t>The driver did not notify the customer before dropping the parcel at the customer’s porch.</t>
        </is>
      </c>
      <c r="K260" s="30" t="inlineStr">
        <is>
          <t xml:space="preserve">Izzni </t>
        </is>
      </c>
    </row>
    <row r="261">
      <c r="A261" s="30" t="inlineStr">
        <is>
          <t>23/09/2026 12:50:06</t>
        </is>
      </c>
      <c r="B261" s="30" t="inlineStr">
        <is>
          <t>NVMYRAHOL050469063</t>
        </is>
      </c>
      <c r="C261" s="30" t="inlineStr">
        <is>
          <t>265712627875</t>
        </is>
      </c>
      <c r="D261" s="30" t="inlineStr">
        <is>
          <t>91829980</t>
        </is>
      </c>
      <c r="E261" s="30" t="inlineStr">
        <is>
          <t>KV</t>
        </is>
      </c>
      <c r="F261" s="30" t="inlineStr">
        <is>
          <t xml:space="preserve">BRP </t>
        </is>
      </c>
      <c r="G261" s="30" t="inlineStr">
        <is>
          <t>BRP - ID - HAIRI</t>
        </is>
      </c>
      <c r="H261" s="30" t="inlineStr">
        <is>
          <t>LM</t>
        </is>
      </c>
      <c r="I261" s="30" t="inlineStr">
        <is>
          <t>Deliver to Wrong Address</t>
        </is>
      </c>
      <c r="J261" s="30" t="inlineStr">
        <is>
          <t>Completed 2026-09-18 but cust not received as the driver deliver  to the wrong location. Done retrieve and cust received it after complaint lodge</t>
        </is>
      </c>
      <c r="K261" s="30" t="inlineStr">
        <is>
          <t>Syaza</t>
        </is>
      </c>
    </row>
    <row r="262">
      <c r="A262" s="30" t="inlineStr">
        <is>
          <t>23/09/2026 12:56:38</t>
        </is>
      </c>
      <c r="B262" s="30" t="inlineStr">
        <is>
          <t>NVMYZAFES000476028</t>
        </is>
      </c>
      <c r="C262" s="30" t="inlineStr">
        <is>
          <t>261912669510</t>
        </is>
      </c>
      <c r="D262" s="30" t="inlineStr">
        <is>
          <t>91765015
91852430
91861216</t>
        </is>
      </c>
      <c r="E262" s="30" t="inlineStr">
        <is>
          <t>Southern</t>
        </is>
      </c>
      <c r="F262" s="30" t="inlineStr">
        <is>
          <t xml:space="preserve">AUS </t>
        </is>
      </c>
      <c r="G262" s="30" t="inlineStr">
        <is>
          <t>OPSAUS
AUS - ID - TEY KOK HOW</t>
        </is>
      </c>
      <c r="H262" s="30" t="inlineStr">
        <is>
          <t>LM</t>
        </is>
      </c>
      <c r="I262" s="30" t="inlineStr">
        <is>
          <t>Fake Fail</t>
        </is>
      </c>
      <c r="J262" s="30" t="inlineStr">
        <is>
          <t xml:space="preserve">No POD has been provided </t>
        </is>
      </c>
      <c r="K262" s="30" t="inlineStr">
        <is>
          <t xml:space="preserve">Izzni </t>
        </is>
      </c>
    </row>
    <row r="263">
      <c r="A263" s="30" t="inlineStr">
        <is>
          <t>23/09/2026 13:10:36</t>
        </is>
      </c>
      <c r="B263" s="30" t="inlineStr">
        <is>
          <t>NVMYMZ0N3000028442</t>
        </is>
      </c>
      <c r="C263" s="30" t="inlineStr">
        <is>
          <t>267222668084</t>
        </is>
      </c>
      <c r="D263" s="30" t="inlineStr">
        <is>
          <t>91863085</t>
        </is>
      </c>
      <c r="E263" s="30" t="inlineStr">
        <is>
          <t>KV</t>
        </is>
      </c>
      <c r="F263" s="30" t="inlineStr">
        <is>
          <t>BTR</t>
        </is>
      </c>
      <c r="G263" s="30" t="inlineStr">
        <is>
          <t>OPS - BTR</t>
        </is>
      </c>
      <c r="H263" s="30" t="inlineStr">
        <is>
          <t>LM</t>
        </is>
      </c>
      <c r="I263" s="30" t="inlineStr">
        <is>
          <t>Fake Fail</t>
        </is>
      </c>
      <c r="J263" s="30" t="inlineStr">
        <is>
          <t xml:space="preserve">failed by ops no contact no location </t>
        </is>
      </c>
      <c r="K263" s="30" t="inlineStr">
        <is>
          <t>Ninja Hadif</t>
        </is>
      </c>
    </row>
    <row r="264">
      <c r="A264" s="30" t="inlineStr">
        <is>
          <t>23/09/2026 13:26:29</t>
        </is>
      </c>
      <c r="B264" s="30" t="inlineStr">
        <is>
          <t>AEMYA000634021</t>
        </is>
      </c>
      <c r="C264" s="30" t="inlineStr">
        <is>
          <t>267372660709</t>
        </is>
      </c>
      <c r="D264" s="30" t="inlineStr">
        <is>
          <t>91865830</t>
        </is>
      </c>
      <c r="E264" s="30" t="inlineStr">
        <is>
          <t>Southern</t>
        </is>
      </c>
      <c r="F264" s="30" t="inlineStr">
        <is>
          <t xml:space="preserve">NSJ </t>
        </is>
      </c>
      <c r="G264" s="30" t="inlineStr">
        <is>
          <t>OPS - NSJ</t>
        </is>
      </c>
      <c r="H264" s="30" t="inlineStr">
        <is>
          <t>LM</t>
        </is>
      </c>
      <c r="I264" s="30" t="inlineStr">
        <is>
          <t>Fake Fail</t>
        </is>
      </c>
      <c r="J264" s="30" t="inlineStr">
        <is>
          <t xml:space="preserve">Blank POD has been provided (no call log/no whatsapp) </t>
        </is>
      </c>
      <c r="K264" s="30" t="inlineStr">
        <is>
          <t xml:space="preserve">Izzni </t>
        </is>
      </c>
    </row>
    <row r="265">
      <c r="A265" s="30" t="inlineStr">
        <is>
          <t>23/09/2026 13:32:25</t>
        </is>
      </c>
      <c r="B265" s="30" t="inlineStr">
        <is>
          <t>TYARA18799A</t>
        </is>
      </c>
      <c r="C265" s="30" t="inlineStr">
        <is>
          <t>268872662765</t>
        </is>
      </c>
      <c r="D265" s="30" t="inlineStr">
        <is>
          <t>91861025</t>
        </is>
      </c>
      <c r="E265" s="30" t="inlineStr">
        <is>
          <t>KV</t>
        </is>
      </c>
      <c r="F265" s="30" t="inlineStr">
        <is>
          <t>PJY</t>
        </is>
      </c>
      <c r="G265" s="30" t="inlineStr">
        <is>
          <t>OPS - PJY</t>
        </is>
      </c>
      <c r="H265" s="30" t="inlineStr">
        <is>
          <t>LM</t>
        </is>
      </c>
      <c r="I265" s="30" t="inlineStr">
        <is>
          <t>Fake Fail</t>
        </is>
      </c>
      <c r="J265" s="30" t="inlineStr">
        <is>
          <t xml:space="preserve">No call log provided </t>
        </is>
      </c>
      <c r="K265" s="30" t="inlineStr">
        <is>
          <t xml:space="preserve">Izzni </t>
        </is>
      </c>
    </row>
    <row r="266">
      <c r="A266" s="30" t="inlineStr">
        <is>
          <t>23/09/2026 13:32:30</t>
        </is>
      </c>
      <c r="B266" s="30" t="inlineStr">
        <is>
          <t>NVMYWP00000GRACE10</t>
        </is>
      </c>
      <c r="C266" s="30" t="inlineStr">
        <is>
          <t>268482666230</t>
        </is>
      </c>
      <c r="D266" s="30" t="inlineStr">
        <is>
          <t>91843016 / 91860071</t>
        </is>
      </c>
      <c r="E266" s="30" t="inlineStr">
        <is>
          <t>Northern</t>
        </is>
      </c>
      <c r="F266" s="30" t="inlineStr">
        <is>
          <t>GEO</t>
        </is>
      </c>
      <c r="G266" s="30" t="inlineStr">
        <is>
          <t>GEO - OPS - MACALISTER</t>
        </is>
      </c>
      <c r="H266" s="30" t="inlineStr">
        <is>
          <t>LM</t>
        </is>
      </c>
      <c r="I266" s="30" t="inlineStr">
        <is>
          <t>Fake Fail</t>
        </is>
      </c>
      <c r="J266" s="30" t="inlineStr">
        <is>
          <t>POD invalid (No connected call or No responded chat, No unique identifier of the location)</t>
        </is>
      </c>
      <c r="K266" s="30" t="inlineStr">
        <is>
          <t>Huzair</t>
        </is>
      </c>
    </row>
    <row r="267">
      <c r="A267" s="30" t="inlineStr">
        <is>
          <t>23/09/2026 13:35:47</t>
        </is>
      </c>
      <c r="B267" s="30" t="inlineStr">
        <is>
          <t>STLMY1550348916931018752</t>
        </is>
      </c>
      <c r="C267" s="30" t="inlineStr">
        <is>
          <t>263472661002</t>
        </is>
      </c>
      <c r="D267" s="30" t="inlineStr">
        <is>
          <t>91868252</t>
        </is>
      </c>
      <c r="E267" s="30" t="inlineStr">
        <is>
          <t>Southern</t>
        </is>
      </c>
      <c r="F267" s="30" t="inlineStr">
        <is>
          <t>LKN</t>
        </is>
      </c>
      <c r="G267" s="30" t="inlineStr">
        <is>
          <t>MUA - HR - SYUKRIAHEZAN</t>
        </is>
      </c>
      <c r="H267" s="30" t="inlineStr">
        <is>
          <t>LM</t>
        </is>
      </c>
      <c r="I267" s="30" t="inlineStr">
        <is>
          <t>Fake Fail</t>
        </is>
      </c>
      <c r="J267" s="30" t="inlineStr">
        <is>
          <t>POD invalid (Call log not customer number or No responded chat, Not customer location)</t>
        </is>
      </c>
      <c r="K267" s="30" t="inlineStr">
        <is>
          <t>Huzair</t>
        </is>
      </c>
    </row>
    <row r="268">
      <c r="A268" s="30" t="inlineStr">
        <is>
          <t>23/09/2026 13:36:16</t>
        </is>
      </c>
      <c r="B268" s="30" t="inlineStr">
        <is>
          <t>RYTDB8P4QYWC16W</t>
        </is>
      </c>
      <c r="C268" s="30" t="inlineStr">
        <is>
          <t>267442662669</t>
        </is>
      </c>
      <c r="D268" s="30" t="inlineStr">
        <is>
          <t>91868502</t>
        </is>
      </c>
      <c r="E268" s="30" t="inlineStr">
        <is>
          <t>KV</t>
        </is>
      </c>
      <c r="F268" s="30" t="inlineStr">
        <is>
          <t>PJY</t>
        </is>
      </c>
      <c r="G268" s="30" t="inlineStr">
        <is>
          <t>OPS - PJY</t>
        </is>
      </c>
      <c r="H268" s="30" t="inlineStr">
        <is>
          <t>LM</t>
        </is>
      </c>
      <c r="I268" s="30" t="inlineStr">
        <is>
          <t>Fake Fail</t>
        </is>
      </c>
      <c r="J268" s="30" t="inlineStr">
        <is>
          <t xml:space="preserve">No call log provided </t>
        </is>
      </c>
      <c r="K268" s="30" t="inlineStr">
        <is>
          <t xml:space="preserve">Izzni </t>
        </is>
      </c>
    </row>
    <row r="269">
      <c r="A269" s="30" t="inlineStr">
        <is>
          <t>23/09/2026 13:38:21</t>
        </is>
      </c>
      <c r="B269" s="30" t="inlineStr">
        <is>
          <t>ZNV217543945-1255</t>
        </is>
      </c>
      <c r="C269" s="30" t="inlineStr">
        <is>
          <t>266082663227</t>
        </is>
      </c>
      <c r="D269" s="30" t="inlineStr">
        <is>
          <t>91869243</t>
        </is>
      </c>
      <c r="E269" s="30" t="inlineStr">
        <is>
          <t>Northern</t>
        </is>
      </c>
      <c r="F269" s="30" t="inlineStr">
        <is>
          <t>SIM</t>
        </is>
      </c>
      <c r="G269" s="30" t="inlineStr">
        <is>
          <t>SIM - ID - ISMAIL</t>
        </is>
      </c>
      <c r="H269" s="30" t="inlineStr">
        <is>
          <t>LM</t>
        </is>
      </c>
      <c r="I269" s="30" t="inlineStr">
        <is>
          <t>Fake Fail</t>
        </is>
      </c>
      <c r="J269" s="30" t="inlineStr">
        <is>
          <t>POD invalid (No connected call or No responded chat, Not customer location)</t>
        </is>
      </c>
      <c r="K269" s="30" t="inlineStr">
        <is>
          <t>Huzair</t>
        </is>
      </c>
    </row>
    <row r="270">
      <c r="A270" s="30" t="inlineStr">
        <is>
          <t>23/09/2026 13:39:29</t>
        </is>
      </c>
      <c r="B270" s="30" t="inlineStr">
        <is>
          <t>NVMYONEGA000042873</t>
        </is>
      </c>
      <c r="C270" s="30" t="inlineStr">
        <is>
          <t>268322661086</t>
        </is>
      </c>
      <c r="D270" s="30" t="inlineStr">
        <is>
          <t>91852430</t>
        </is>
      </c>
      <c r="E270" s="30" t="inlineStr">
        <is>
          <t>Southern</t>
        </is>
      </c>
      <c r="F270" s="30" t="inlineStr">
        <is>
          <t>AUS</t>
        </is>
      </c>
      <c r="G270" s="30" t="inlineStr">
        <is>
          <t>OPSAUS</t>
        </is>
      </c>
      <c r="H270" s="30" t="inlineStr">
        <is>
          <t>LM</t>
        </is>
      </c>
      <c r="I270" s="30" t="inlineStr">
        <is>
          <t>Fake Fail</t>
        </is>
      </c>
      <c r="J270" s="30" t="inlineStr">
        <is>
          <t>failed by OPS. Invalid POD no call log attached</t>
        </is>
      </c>
      <c r="K270" s="30" t="inlineStr">
        <is>
          <t>AIMENN AIYAD</t>
        </is>
      </c>
    </row>
    <row r="271">
      <c r="A271" s="30" t="inlineStr">
        <is>
          <t>23/09/2026 13:43:01</t>
        </is>
      </c>
      <c r="B271" s="30" t="inlineStr">
        <is>
          <t>ZNV946826890-4877</t>
        </is>
      </c>
      <c r="C271" s="30" t="inlineStr">
        <is>
          <t>260172646705</t>
        </is>
      </c>
      <c r="D271" s="30" t="inlineStr">
        <is>
          <t>91844749</t>
        </is>
      </c>
      <c r="E271" s="30" t="inlineStr">
        <is>
          <t>KV</t>
        </is>
      </c>
      <c r="F271" s="30" t="inlineStr">
        <is>
          <t>PUC</t>
        </is>
      </c>
      <c r="G271" s="30" t="inlineStr">
        <is>
          <t>PUC - ID - HAIROL</t>
        </is>
      </c>
      <c r="H271" s="30" t="inlineStr">
        <is>
          <t>LM</t>
        </is>
      </c>
      <c r="I271" s="30" t="inlineStr">
        <is>
          <t>Fake Success</t>
        </is>
      </c>
      <c r="J271" s="30" t="inlineStr">
        <is>
          <t xml:space="preserve">The parcel has just been received by the cust once the complaint has been raised </t>
        </is>
      </c>
      <c r="K271" s="30" t="inlineStr">
        <is>
          <t xml:space="preserve">Izzni </t>
        </is>
      </c>
    </row>
    <row r="272">
      <c r="A272" s="30" t="inlineStr">
        <is>
          <t>23/09/2026 13:59:13</t>
        </is>
      </c>
      <c r="B272" s="30" t="inlineStr">
        <is>
          <t xml:space="preserve">NVMYNINJA002524047 </t>
        </is>
      </c>
      <c r="C272" s="30" t="inlineStr">
        <is>
          <t>267972661818</t>
        </is>
      </c>
      <c r="D272" s="30" t="inlineStr">
        <is>
          <t>91871576</t>
        </is>
      </c>
      <c r="E272" s="30" t="inlineStr">
        <is>
          <t>KV</t>
        </is>
      </c>
      <c r="F272" s="30" t="inlineStr">
        <is>
          <t>RBY</t>
        </is>
      </c>
      <c r="G272" s="30" t="inlineStr">
        <is>
          <t>RBY - ID - AMIRUL AMRI</t>
        </is>
      </c>
      <c r="H272" s="30" t="inlineStr">
        <is>
          <t>LM</t>
        </is>
      </c>
      <c r="I272" s="30" t="inlineStr">
        <is>
          <t>Fake Fail</t>
        </is>
      </c>
      <c r="J272" s="30" t="inlineStr">
        <is>
          <t xml:space="preserve">No call log provided </t>
        </is>
      </c>
      <c r="K272" s="30" t="inlineStr">
        <is>
          <t xml:space="preserve">Izzni </t>
        </is>
      </c>
    </row>
    <row r="273">
      <c r="A273" s="30" t="inlineStr">
        <is>
          <t>23/09/2026 14:48:55</t>
        </is>
      </c>
      <c r="B273" s="30" t="inlineStr">
        <is>
          <t>TNGDV2609096877053600</t>
        </is>
      </c>
      <c r="C273" s="30" t="inlineStr">
        <is>
          <t>260812660785</t>
        </is>
      </c>
      <c r="D273" s="30" t="inlineStr">
        <is>
          <t>91827415</t>
        </is>
      </c>
      <c r="E273" s="30" t="inlineStr">
        <is>
          <t>Northern</t>
        </is>
      </c>
      <c r="F273" s="30" t="inlineStr">
        <is>
          <t>GEO</t>
        </is>
      </c>
      <c r="G273" s="30" t="inlineStr">
        <is>
          <t>GEO - OPS - MACALISTER</t>
        </is>
      </c>
      <c r="H273" s="30" t="inlineStr">
        <is>
          <t>LM</t>
        </is>
      </c>
      <c r="I273" s="30" t="inlineStr">
        <is>
          <t>Fake Fail</t>
        </is>
      </c>
      <c r="J273" s="30" t="inlineStr">
        <is>
          <t>POD invalid (No connected call or No responded chat)</t>
        </is>
      </c>
      <c r="K273" s="30" t="inlineStr">
        <is>
          <t>Huzair</t>
        </is>
      </c>
    </row>
    <row r="274">
      <c r="A274" s="30" t="inlineStr">
        <is>
          <t>23/09/2026 15:04:01</t>
        </is>
      </c>
      <c r="B274" s="30" t="inlineStr">
        <is>
          <t>NVMYNINJA002510812</t>
        </is>
      </c>
      <c r="C274" s="30" t="inlineStr">
        <is>
          <t>264172624613</t>
        </is>
      </c>
      <c r="D274" s="30" t="inlineStr">
        <is>
          <t>91843813</t>
        </is>
      </c>
      <c r="E274" s="30" t="inlineStr">
        <is>
          <t>South West</t>
        </is>
      </c>
      <c r="F274" s="30" t="inlineStr">
        <is>
          <t>SBN</t>
        </is>
      </c>
      <c r="G274" s="30" t="inlineStr">
        <is>
          <t>SBN - ID - NAZMI</t>
        </is>
      </c>
      <c r="H274" s="30" t="inlineStr">
        <is>
          <t>LM</t>
        </is>
      </c>
      <c r="I274" s="30" t="inlineStr">
        <is>
          <t>Fake Success</t>
        </is>
      </c>
      <c r="J274" s="30" t="inlineStr">
        <is>
          <t>Invalid POD wrong TN</t>
        </is>
      </c>
      <c r="K274" s="30" t="inlineStr">
        <is>
          <t>Adid</t>
        </is>
      </c>
    </row>
    <row r="275">
      <c r="A275" s="30" t="inlineStr">
        <is>
          <t>23/09/2026 15:05:12</t>
        </is>
      </c>
      <c r="B275" s="30" t="inlineStr">
        <is>
          <t>NVMYTRADE014223243</t>
        </is>
      </c>
      <c r="C275" s="30" t="inlineStr">
        <is>
          <t>260242666931</t>
        </is>
      </c>
      <c r="D275" s="30" t="inlineStr">
        <is>
          <t>91864958</t>
        </is>
      </c>
      <c r="E275" s="30" t="inlineStr">
        <is>
          <t>Southern</t>
        </is>
      </c>
      <c r="F275" s="30" t="inlineStr">
        <is>
          <t>KLI</t>
        </is>
      </c>
      <c r="G275" s="30" t="inlineStr">
        <is>
          <t>OPS - KULAI</t>
        </is>
      </c>
      <c r="H275" s="30" t="inlineStr">
        <is>
          <t>LM</t>
        </is>
      </c>
      <c r="I275" s="30" t="inlineStr">
        <is>
          <t>Fake Fail</t>
        </is>
      </c>
      <c r="J275" s="30" t="inlineStr">
        <is>
          <t>POD invalid (No connected call or No responded chat)</t>
        </is>
      </c>
      <c r="K275" s="30" t="inlineStr">
        <is>
          <t>Huzair</t>
        </is>
      </c>
    </row>
    <row r="276">
      <c r="A276" s="30" t="inlineStr">
        <is>
          <t>23/09/2026 15:12:33</t>
        </is>
      </c>
      <c r="B276" s="30" t="inlineStr">
        <is>
          <t>NVMYPZXMS000048159</t>
        </is>
      </c>
      <c r="C276" s="30" t="inlineStr">
        <is>
          <t>269002662089</t>
        </is>
      </c>
      <c r="D276" s="30" t="inlineStr">
        <is>
          <t>91849516</t>
        </is>
      </c>
      <c r="E276" s="30" t="inlineStr">
        <is>
          <t>KV</t>
        </is>
      </c>
      <c r="F276" s="30" t="inlineStr">
        <is>
          <t>PJY</t>
        </is>
      </c>
      <c r="G276" s="30" t="inlineStr">
        <is>
          <t>OPS - PJY</t>
        </is>
      </c>
      <c r="H276" s="30" t="inlineStr">
        <is>
          <t>LM</t>
        </is>
      </c>
      <c r="I276" s="30" t="inlineStr">
        <is>
          <t>Fake Fail</t>
        </is>
      </c>
      <c r="J276" s="30" t="inlineStr">
        <is>
          <t>POD invalid (No connected call or No responded chat)</t>
        </is>
      </c>
      <c r="K276" s="30" t="inlineStr">
        <is>
          <t>Huzair</t>
        </is>
      </c>
    </row>
    <row r="277">
      <c r="A277" s="30" t="inlineStr">
        <is>
          <t>23/09/2026 15:13:07</t>
        </is>
      </c>
      <c r="B277" s="30" t="inlineStr">
        <is>
          <t>NVMYPZXMS000048159</t>
        </is>
      </c>
      <c r="C277" s="30" t="inlineStr">
        <is>
          <t>269002662089</t>
        </is>
      </c>
      <c r="D277" s="30" t="inlineStr">
        <is>
          <t>91859575 / 91868411</t>
        </is>
      </c>
      <c r="E277" s="30" t="inlineStr">
        <is>
          <t>KV</t>
        </is>
      </c>
      <c r="F277" s="30" t="inlineStr">
        <is>
          <t>PJY</t>
        </is>
      </c>
      <c r="G277" s="30" t="inlineStr">
        <is>
          <t>PJY - HD - RAZIQIN</t>
        </is>
      </c>
      <c r="H277" s="30" t="inlineStr">
        <is>
          <t>LM</t>
        </is>
      </c>
      <c r="I277" s="30" t="inlineStr">
        <is>
          <t>Fake Fail</t>
        </is>
      </c>
      <c r="J277" s="30" t="inlineStr">
        <is>
          <t>POD invalid (No connected call or No responded chat, No unique identifier of the location)</t>
        </is>
      </c>
      <c r="K277" s="30" t="inlineStr">
        <is>
          <t>Huzair</t>
        </is>
      </c>
    </row>
    <row r="278">
      <c r="A278" s="30" t="inlineStr">
        <is>
          <t>23/09/2026 15:30:39</t>
        </is>
      </c>
      <c r="B278" s="30" t="inlineStr">
        <is>
          <t>LSGMY5908395</t>
        </is>
      </c>
      <c r="C278" s="30" t="inlineStr">
        <is>
          <t>268622662354</t>
        </is>
      </c>
      <c r="D278" s="30" t="inlineStr">
        <is>
          <t>91868502</t>
        </is>
      </c>
      <c r="E278" s="30" t="inlineStr">
        <is>
          <t>KV</t>
        </is>
      </c>
      <c r="F278" s="30" t="inlineStr">
        <is>
          <t>PJY</t>
        </is>
      </c>
      <c r="G278" s="30" t="inlineStr">
        <is>
          <t>OPS - PJY</t>
        </is>
      </c>
      <c r="H278" s="30" t="inlineStr">
        <is>
          <t>LM</t>
        </is>
      </c>
      <c r="I278" s="30" t="inlineStr">
        <is>
          <t>Fake Fail</t>
        </is>
      </c>
      <c r="J278" s="30" t="inlineStr">
        <is>
          <t>POD invalid (No connected call or No responded chat)</t>
        </is>
      </c>
      <c r="K278" s="30" t="inlineStr">
        <is>
          <t>Huzair</t>
        </is>
      </c>
    </row>
    <row r="279">
      <c r="A279" s="30" t="inlineStr">
        <is>
          <t>23/09/2026 15:35:14</t>
        </is>
      </c>
      <c r="B279" s="30" t="inlineStr">
        <is>
          <t>TNGEO202609131001256129</t>
        </is>
      </c>
      <c r="C279" s="30" t="inlineStr">
        <is>
          <t>264562667867</t>
        </is>
      </c>
      <c r="D279" s="30" t="inlineStr">
        <is>
          <t>91864569</t>
        </is>
      </c>
      <c r="E279" s="30" t="inlineStr">
        <is>
          <t>Southern</t>
        </is>
      </c>
      <c r="F279" s="30" t="inlineStr">
        <is>
          <t>GLG</t>
        </is>
      </c>
      <c r="G279" s="30" t="inlineStr">
        <is>
          <t>GLG - ID - AHMAD ARSYHAD</t>
        </is>
      </c>
      <c r="H279" s="30" t="inlineStr">
        <is>
          <t>LM</t>
        </is>
      </c>
      <c r="I279" s="30" t="inlineStr">
        <is>
          <t>Fake Fail</t>
        </is>
      </c>
      <c r="J279" s="30" t="inlineStr">
        <is>
          <t>POD invalid (No 3 attempt call with different times, No connected call)</t>
        </is>
      </c>
      <c r="K279" s="30" t="inlineStr">
        <is>
          <t>Huzair</t>
        </is>
      </c>
    </row>
    <row r="280">
      <c r="A280" s="30" t="inlineStr">
        <is>
          <t>23/09/2026 15:36:10</t>
        </is>
      </c>
      <c r="B280" s="30" t="inlineStr">
        <is>
          <t>NVMYSMR88SM6855765</t>
        </is>
      </c>
      <c r="C280" s="30" t="inlineStr">
        <is>
          <t>267312664779</t>
        </is>
      </c>
      <c r="D280" s="30" t="inlineStr">
        <is>
          <t>91860734</t>
        </is>
      </c>
      <c r="E280" s="30" t="inlineStr">
        <is>
          <t>Northern</t>
        </is>
      </c>
      <c r="F280" s="30" t="inlineStr">
        <is>
          <t>AOR</t>
        </is>
      </c>
      <c r="G280" s="30" t="inlineStr">
        <is>
          <t>AOR - OPS - HAFIZ</t>
        </is>
      </c>
      <c r="H280" s="30" t="inlineStr">
        <is>
          <t>LM</t>
        </is>
      </c>
      <c r="I280" s="30" t="inlineStr">
        <is>
          <t>Fake Fail</t>
        </is>
      </c>
      <c r="J280" s="30" t="inlineStr">
        <is>
          <t xml:space="preserve">Call log provided is not connected </t>
        </is>
      </c>
      <c r="K280" s="30" t="inlineStr">
        <is>
          <t xml:space="preserve">Izzni </t>
        </is>
      </c>
    </row>
    <row r="281">
      <c r="A281" s="30" t="inlineStr">
        <is>
          <t>23/09/2026 15:36:11</t>
        </is>
      </c>
      <c r="B281" s="30" t="inlineStr">
        <is>
          <t>TNGSB126037180372543000</t>
        </is>
      </c>
      <c r="C281" s="30" t="inlineStr">
        <is>
          <t>264562667867</t>
        </is>
      </c>
      <c r="D281" s="30" t="inlineStr">
        <is>
          <t>91865830</t>
        </is>
      </c>
      <c r="E281" s="30" t="inlineStr">
        <is>
          <t>Southern</t>
        </is>
      </c>
      <c r="F281" s="30" t="inlineStr">
        <is>
          <t>GLG</t>
        </is>
      </c>
      <c r="G281" s="30" t="inlineStr">
        <is>
          <t>OPS - NSJ</t>
        </is>
      </c>
      <c r="H281" s="30" t="inlineStr">
        <is>
          <t>LM</t>
        </is>
      </c>
      <c r="I281" s="30" t="inlineStr">
        <is>
          <t>Fake Fail</t>
        </is>
      </c>
      <c r="J281" s="30" t="inlineStr">
        <is>
          <t>POD invalid (No 3 attempt call with different times, No connected call)</t>
        </is>
      </c>
      <c r="K281" s="30" t="inlineStr">
        <is>
          <t>Huzair</t>
        </is>
      </c>
    </row>
    <row r="282">
      <c r="A282" s="30" t="inlineStr">
        <is>
          <t>23/09/2026 15:37:03</t>
        </is>
      </c>
      <c r="B282" s="30" t="inlineStr">
        <is>
          <t>TNGEO202609161001258530</t>
        </is>
      </c>
      <c r="C282" s="30" t="inlineStr">
        <is>
          <t>268172663091</t>
        </is>
      </c>
      <c r="D282" s="30" t="inlineStr">
        <is>
          <t>91868502</t>
        </is>
      </c>
      <c r="E282" s="30" t="inlineStr">
        <is>
          <t>KV</t>
        </is>
      </c>
      <c r="F282" s="30" t="inlineStr">
        <is>
          <t>PJY</t>
        </is>
      </c>
      <c r="G282" s="30" t="inlineStr">
        <is>
          <t>OPS - PJY</t>
        </is>
      </c>
      <c r="H282" s="30" t="inlineStr">
        <is>
          <t>LM</t>
        </is>
      </c>
      <c r="I282" s="30" t="inlineStr">
        <is>
          <t>Fake Fail</t>
        </is>
      </c>
      <c r="J282" s="30" t="inlineStr">
        <is>
          <t xml:space="preserve">No call log/Whatsapp provided </t>
        </is>
      </c>
      <c r="K282" s="30" t="inlineStr">
        <is>
          <t xml:space="preserve">Izzni </t>
        </is>
      </c>
    </row>
    <row r="283">
      <c r="A283" s="30" t="inlineStr">
        <is>
          <t>23/09/2026 16:20:14</t>
        </is>
      </c>
      <c r="B283" s="30" t="inlineStr">
        <is>
          <t>ZNV217481945-2866</t>
        </is>
      </c>
      <c r="C283" s="30" t="inlineStr">
        <is>
          <t>262802668596</t>
        </is>
      </c>
      <c r="D283" s="30" t="inlineStr">
        <is>
          <t>91868637</t>
        </is>
      </c>
      <c r="E283" s="30" t="inlineStr">
        <is>
          <t>Southern</t>
        </is>
      </c>
      <c r="F283" s="30" t="inlineStr">
        <is>
          <t>GLG</t>
        </is>
      </c>
      <c r="G283" s="30" t="inlineStr">
        <is>
          <t>GLG - OPS - ENGKU</t>
        </is>
      </c>
      <c r="H283" s="30" t="inlineStr">
        <is>
          <t>LM</t>
        </is>
      </c>
      <c r="I283" s="30" t="inlineStr">
        <is>
          <t>Fake Fail</t>
        </is>
      </c>
      <c r="J283" s="30" t="inlineStr">
        <is>
          <t xml:space="preserve">Call log is not connected and no Whatsapp provided </t>
        </is>
      </c>
      <c r="K283" s="30" t="inlineStr">
        <is>
          <t xml:space="preserve">Izzni </t>
        </is>
      </c>
    </row>
    <row r="284">
      <c r="A284" s="30" t="inlineStr">
        <is>
          <t>23/09/2026 16:21:09</t>
        </is>
      </c>
      <c r="B284" s="30" t="inlineStr">
        <is>
          <t>NVMYLAYFO000002120q</t>
        </is>
      </c>
      <c r="C284" s="30" t="inlineStr">
        <is>
          <t>268772664200</t>
        </is>
      </c>
      <c r="D284" s="30" t="inlineStr">
        <is>
          <t>91857895</t>
        </is>
      </c>
      <c r="E284" s="30" t="inlineStr">
        <is>
          <t>Southern</t>
        </is>
      </c>
      <c r="F284" s="30" t="inlineStr">
        <is>
          <t>NSJ</t>
        </is>
      </c>
      <c r="G284" s="30" t="inlineStr">
        <is>
          <t>OPS - NSJ</t>
        </is>
      </c>
      <c r="H284" s="30" t="inlineStr">
        <is>
          <t>LM</t>
        </is>
      </c>
      <c r="I284" s="30" t="inlineStr">
        <is>
          <t>Fake Fail</t>
        </is>
      </c>
      <c r="J284" s="30" t="inlineStr">
        <is>
          <t>POD invalid (No 3 attempt call with different times, No connected call)</t>
        </is>
      </c>
      <c r="K284" s="30" t="inlineStr">
        <is>
          <t>Huzair</t>
        </is>
      </c>
    </row>
    <row r="285">
      <c r="A285" s="30" t="inlineStr">
        <is>
          <t>23/09/2026 17:17:50</t>
        </is>
      </c>
      <c r="B285" s="30" t="inlineStr">
        <is>
          <t>NVMYNEUTR0UP143771</t>
        </is>
      </c>
      <c r="C285" s="30" t="inlineStr">
        <is>
          <t>260832664742</t>
        </is>
      </c>
      <c r="D285" s="30" t="inlineStr">
        <is>
          <t>91877251</t>
        </is>
      </c>
      <c r="E285" s="30" t="inlineStr">
        <is>
          <t>KV</t>
        </is>
      </c>
      <c r="F285" s="30" t="inlineStr">
        <is>
          <t>SLG</t>
        </is>
      </c>
      <c r="G285" s="30" t="inlineStr">
        <is>
          <t>OPS - SELAYANG</t>
        </is>
      </c>
      <c r="H285" s="30" t="inlineStr">
        <is>
          <t>LM</t>
        </is>
      </c>
      <c r="I285" s="30" t="inlineStr">
        <is>
          <t>Fake Fail</t>
        </is>
      </c>
      <c r="J285" s="30" t="inlineStr">
        <is>
          <t>POD invalid (No connected call or No responded chat)</t>
        </is>
      </c>
      <c r="K285" s="30" t="inlineStr">
        <is>
          <t>Huzair</t>
        </is>
      </c>
    </row>
    <row r="286">
      <c r="A286" s="30" t="inlineStr">
        <is>
          <t>23/09/2026 17:23:15</t>
        </is>
      </c>
      <c r="B286" s="30" t="inlineStr">
        <is>
          <t>HBMY1551483304300576768</t>
        </is>
      </c>
      <c r="C286" s="30" t="inlineStr">
        <is>
          <t>263362667077</t>
        </is>
      </c>
      <c r="D286" s="30" t="inlineStr">
        <is>
          <t>91861025</t>
        </is>
      </c>
      <c r="E286" s="30" t="inlineStr">
        <is>
          <t>KV</t>
        </is>
      </c>
      <c r="F286" s="30" t="inlineStr">
        <is>
          <t>PJY</t>
        </is>
      </c>
      <c r="G286" s="30" t="inlineStr">
        <is>
          <t>OPS - PJY</t>
        </is>
      </c>
      <c r="H286" s="30" t="inlineStr">
        <is>
          <t>LM</t>
        </is>
      </c>
      <c r="I286" s="30" t="inlineStr">
        <is>
          <t>Fake Fail</t>
        </is>
      </c>
      <c r="J286" s="30" t="inlineStr">
        <is>
          <t>POD invalid (No connected call or No responded chat)</t>
        </is>
      </c>
      <c r="K286" s="30" t="inlineStr">
        <is>
          <t>Huzair</t>
        </is>
      </c>
    </row>
    <row r="287">
      <c r="A287" s="30" t="inlineStr">
        <is>
          <t>23/09/2026 17:35:11</t>
        </is>
      </c>
      <c r="B287" s="30" t="inlineStr">
        <is>
          <t>NVMYNINJA002522007</t>
        </is>
      </c>
      <c r="C287" s="30" t="inlineStr">
        <is>
          <t>262302668906</t>
        </is>
      </c>
      <c r="D287" s="30" t="inlineStr">
        <is>
          <t>91866381</t>
        </is>
      </c>
      <c r="E287" s="30" t="inlineStr">
        <is>
          <t>Southern</t>
        </is>
      </c>
      <c r="F287" s="30" t="inlineStr">
        <is>
          <t>MAS</t>
        </is>
      </c>
      <c r="G287" s="30" t="inlineStr">
        <is>
          <t>MAS - ID - SALMA</t>
        </is>
      </c>
      <c r="H287" s="30" t="inlineStr">
        <is>
          <t>LM</t>
        </is>
      </c>
      <c r="I287" s="30" t="inlineStr">
        <is>
          <t>Fake Fail</t>
        </is>
      </c>
      <c r="J287" s="30" t="inlineStr">
        <is>
          <t>Driver did not call and invalid POD</t>
        </is>
      </c>
      <c r="K287" s="30" t="inlineStr">
        <is>
          <t>Amir</t>
        </is>
      </c>
    </row>
    <row r="288">
      <c r="A288" s="30" t="inlineStr">
        <is>
          <t>23/09/2026 17:43:19</t>
        </is>
      </c>
      <c r="B288" s="30" t="inlineStr">
        <is>
          <t>MAILB1547537792528531456</t>
        </is>
      </c>
      <c r="C288" s="30" t="inlineStr">
        <is>
          <t>260892585779</t>
        </is>
      </c>
      <c r="D288" s="30" t="inlineStr">
        <is>
          <t>91783718</t>
        </is>
      </c>
      <c r="E288" s="30" t="inlineStr">
        <is>
          <t>KV</t>
        </is>
      </c>
      <c r="F288" s="30" t="inlineStr">
        <is>
          <t>BRP</t>
        </is>
      </c>
      <c r="G288" s="30" t="inlineStr">
        <is>
          <t>SYED HILMAN</t>
        </is>
      </c>
      <c r="H288" s="30" t="inlineStr">
        <is>
          <t>LM</t>
        </is>
      </c>
      <c r="I288" s="30" t="inlineStr">
        <is>
          <t>Fake Success</t>
        </is>
      </c>
      <c r="J288" s="30" t="inlineStr">
        <is>
          <t>Completed 2026-09-12 but cust not received and invalid POD. Status reverted and parcel currently OVFD</t>
        </is>
      </c>
      <c r="K288" s="30" t="inlineStr">
        <is>
          <t>Syaza</t>
        </is>
      </c>
    </row>
    <row r="289">
      <c r="A289" s="30" t="inlineStr">
        <is>
          <t>23/09/2026 17:55:33</t>
        </is>
      </c>
      <c r="B289" s="30" t="inlineStr">
        <is>
          <t>JSXPR1550351336619966464</t>
        </is>
      </c>
      <c r="C289" s="30" t="inlineStr">
        <is>
          <t>262392664161</t>
        </is>
      </c>
      <c r="D289" s="30" t="inlineStr">
        <is>
          <t>91848956</t>
        </is>
      </c>
      <c r="E289" s="30" t="inlineStr">
        <is>
          <t>North West</t>
        </is>
      </c>
      <c r="F289" s="30" t="inlineStr">
        <is>
          <t>TIN</t>
        </is>
      </c>
      <c r="G289" s="30" t="inlineStr">
        <is>
          <t>TIN - ID - MUNIRA</t>
        </is>
      </c>
      <c r="H289" s="30" t="inlineStr">
        <is>
          <t>LM</t>
        </is>
      </c>
      <c r="I289" s="30" t="inlineStr">
        <is>
          <t>Deliver to Wrong Address</t>
        </is>
      </c>
      <c r="J289" s="30" t="inlineStr">
        <is>
          <t>shipper claimed cust already collect the parcel at the wrong address</t>
        </is>
      </c>
      <c r="K289" s="30" t="inlineStr">
        <is>
          <t>Hartini</t>
        </is>
      </c>
    </row>
    <row r="290">
      <c r="A290" s="30" t="inlineStr">
        <is>
          <t>23/09/2026 17:54:17</t>
        </is>
      </c>
      <c r="B290" s="30" t="inlineStr">
        <is>
          <t>NVMYPZXMS000047676</t>
        </is>
      </c>
      <c r="C290" s="30" t="inlineStr">
        <is>
          <t>263772663708</t>
        </is>
      </c>
      <c r="D290" s="30" t="inlineStr">
        <is>
          <t>91777637</t>
        </is>
      </c>
      <c r="E290" s="30" t="inlineStr">
        <is>
          <t>Southern</t>
        </is>
      </c>
      <c r="F290" s="30" t="inlineStr">
        <is>
          <t>GMR</t>
        </is>
      </c>
      <c r="G290" s="30" t="inlineStr">
        <is>
          <t>GMR</t>
        </is>
      </c>
      <c r="H290" s="30" t="inlineStr">
        <is>
          <t>LM</t>
        </is>
      </c>
      <c r="I290" s="30" t="inlineStr">
        <is>
          <t>Fake Fail</t>
        </is>
      </c>
      <c r="J290" s="30" t="inlineStr">
        <is>
          <t xml:space="preserve">No call log provided </t>
        </is>
      </c>
      <c r="K290" s="30" t="inlineStr">
        <is>
          <t xml:space="preserve">Izzni </t>
        </is>
      </c>
    </row>
    <row r="291">
      <c r="A291" s="30" t="inlineStr">
        <is>
          <t>23/09/2026 18:00:21</t>
        </is>
      </c>
      <c r="B291" s="30" t="inlineStr">
        <is>
          <t>NVMYNRLIL050614937</t>
        </is>
      </c>
      <c r="C291" s="30" t="inlineStr">
        <is>
          <t>267632660770</t>
        </is>
      </c>
      <c r="D291" s="30" t="inlineStr">
        <is>
          <t>91863052</t>
        </is>
      </c>
      <c r="E291" s="30" t="inlineStr">
        <is>
          <t>KV</t>
        </is>
      </c>
      <c r="F291" s="30" t="inlineStr">
        <is>
          <t>BTR</t>
        </is>
      </c>
      <c r="G291" s="30" t="inlineStr">
        <is>
          <t>OPS - BTR</t>
        </is>
      </c>
      <c r="H291" s="30" t="inlineStr">
        <is>
          <t>LM</t>
        </is>
      </c>
      <c r="I291" s="30" t="inlineStr">
        <is>
          <t>Fake Fail</t>
        </is>
      </c>
      <c r="J291" s="30" t="inlineStr">
        <is>
          <t>POD invalid (No connected call or No responded chat)</t>
        </is>
      </c>
      <c r="K291" s="30" t="inlineStr">
        <is>
          <t>Huzair</t>
        </is>
      </c>
    </row>
    <row r="292">
      <c r="A292" s="30" t="inlineStr">
        <is>
          <t>23/09/2026 18:04:37</t>
        </is>
      </c>
      <c r="B292" s="30" t="inlineStr">
        <is>
          <t>NVMYPZXMS000047975</t>
        </is>
      </c>
      <c r="C292" s="30" t="inlineStr">
        <is>
          <t>262172669588</t>
        </is>
      </c>
      <c r="D292" s="30" t="inlineStr">
        <is>
          <t>91826068
91842527
91866381</t>
        </is>
      </c>
      <c r="E292" s="30" t="inlineStr">
        <is>
          <t>Southern</t>
        </is>
      </c>
      <c r="F292" s="30" t="inlineStr">
        <is>
          <t>MAS</t>
        </is>
      </c>
      <c r="G292" s="30" t="inlineStr">
        <is>
          <t>MAS - ID - EZLYANA
MAS - ID - SALMA</t>
        </is>
      </c>
      <c r="H292" s="30" t="inlineStr">
        <is>
          <t>LM</t>
        </is>
      </c>
      <c r="I292" s="30" t="inlineStr">
        <is>
          <t>Fake Fail</t>
        </is>
      </c>
      <c r="J292" s="30" t="inlineStr">
        <is>
          <t xml:space="preserve">Call log is not connected/no picture of location provided </t>
        </is>
      </c>
      <c r="K292" s="30" t="inlineStr">
        <is>
          <t xml:space="preserve">Izzni </t>
        </is>
      </c>
    </row>
    <row r="293">
      <c r="A293" s="30" t="inlineStr">
        <is>
          <t>24/09/2026 08:56:28</t>
        </is>
      </c>
      <c r="B293" s="30" t="inlineStr">
        <is>
          <t>TNGE326040017388104080</t>
        </is>
      </c>
      <c r="C293" s="30" t="inlineStr">
        <is>
          <t>266642664566</t>
        </is>
      </c>
      <c r="D293" s="30" t="inlineStr">
        <is>
          <t>91847380</t>
        </is>
      </c>
      <c r="E293" s="30" t="inlineStr">
        <is>
          <t>KV</t>
        </is>
      </c>
      <c r="F293" s="30" t="inlineStr">
        <is>
          <t>BTR</t>
        </is>
      </c>
      <c r="G293" s="30" t="inlineStr">
        <is>
          <t>OPS - BTR</t>
        </is>
      </c>
      <c r="H293" s="30" t="inlineStr">
        <is>
          <t>LM</t>
        </is>
      </c>
      <c r="I293" s="30" t="inlineStr">
        <is>
          <t>Fake Fail</t>
        </is>
      </c>
      <c r="J293" s="30" t="inlineStr">
        <is>
          <t xml:space="preserve">invalid POD,failed under ops </t>
        </is>
      </c>
      <c r="K293" s="30" t="inlineStr">
        <is>
          <t xml:space="preserve">Yana </t>
        </is>
      </c>
    </row>
    <row r="294">
      <c r="A294" s="30" t="inlineStr">
        <is>
          <t>24/09/2026 08:58:01</t>
        </is>
      </c>
      <c r="B294" s="30" t="inlineStr">
        <is>
          <t>TNGE326040017388104080</t>
        </is>
      </c>
      <c r="C294" s="30" t="inlineStr">
        <is>
          <t>266642664566</t>
        </is>
      </c>
      <c r="D294" s="30" t="inlineStr">
        <is>
          <t>91863080</t>
        </is>
      </c>
      <c r="E294" s="30" t="inlineStr">
        <is>
          <t>KV</t>
        </is>
      </c>
      <c r="F294" s="30" t="inlineStr">
        <is>
          <t>BTR</t>
        </is>
      </c>
      <c r="G294" s="30" t="inlineStr">
        <is>
          <t>Ameer Jasni</t>
        </is>
      </c>
      <c r="H294" s="30" t="inlineStr">
        <is>
          <t>LM</t>
        </is>
      </c>
      <c r="I294" s="30" t="inlineStr">
        <is>
          <t>Fake Fail</t>
        </is>
      </c>
      <c r="J294" s="30" t="inlineStr">
        <is>
          <t>PULL OUT OF ROUTE by Norman Razak on 2026-09-23 00:01:44</t>
        </is>
      </c>
      <c r="K294" s="30" t="inlineStr">
        <is>
          <t xml:space="preserve">Yana </t>
        </is>
      </c>
    </row>
    <row r="295">
      <c r="A295" s="30" t="inlineStr">
        <is>
          <t>24/09/2026 09:13:33</t>
        </is>
      </c>
      <c r="B295" s="30" t="inlineStr">
        <is>
          <t>HAWAS1547446975398883328</t>
        </is>
      </c>
      <c r="C295" s="30" t="inlineStr">
        <is>
          <t>265802677459</t>
        </is>
      </c>
      <c r="D295" s="30" t="inlineStr">
        <is>
          <t>91794903</t>
        </is>
      </c>
      <c r="E295" s="30" t="inlineStr">
        <is>
          <t>Northern</t>
        </is>
      </c>
      <c r="F295" s="30" t="inlineStr">
        <is>
          <t>PSN</t>
        </is>
      </c>
      <c r="G295" s="30" t="inlineStr">
        <is>
          <t>PSN - OPS - PSN HUB</t>
        </is>
      </c>
      <c r="H295" s="30" t="inlineStr">
        <is>
          <t>LM</t>
        </is>
      </c>
      <c r="I295" s="30" t="inlineStr">
        <is>
          <t>Fake Fail</t>
        </is>
      </c>
      <c r="J295" s="30" t="inlineStr">
        <is>
          <t>invalid call log</t>
        </is>
      </c>
      <c r="K295" s="30" t="inlineStr">
        <is>
          <t>Abdul</t>
        </is>
      </c>
    </row>
    <row r="296">
      <c r="A296" s="30" t="inlineStr">
        <is>
          <t>24/09/2026 09:27:32</t>
        </is>
      </c>
      <c r="B296" s="30" t="inlineStr">
        <is>
          <t>TNGE126067384604826000</t>
        </is>
      </c>
      <c r="C296" s="30" t="inlineStr">
        <is>
          <t>268482669093</t>
        </is>
      </c>
      <c r="D296" s="30" t="inlineStr">
        <is>
          <t>91874344</t>
        </is>
      </c>
      <c r="E296" s="30" t="inlineStr">
        <is>
          <t>Northern</t>
        </is>
      </c>
      <c r="F296" s="30" t="inlineStr">
        <is>
          <t>KGR</t>
        </is>
      </c>
      <c r="G296" s="30" t="inlineStr">
        <is>
          <t>KGR - OPS - ROUTED</t>
        </is>
      </c>
      <c r="H296" s="30" t="inlineStr">
        <is>
          <t>LM</t>
        </is>
      </c>
      <c r="I296" s="30" t="inlineStr">
        <is>
          <t>Fake Fail</t>
        </is>
      </c>
      <c r="J296" s="30" t="inlineStr">
        <is>
          <t>Invalid POD for failed by OPS no call log</t>
        </is>
      </c>
      <c r="K296" s="30" t="inlineStr">
        <is>
          <t>Ninja Hadif</t>
        </is>
      </c>
    </row>
    <row r="297">
      <c r="A297" s="30" t="inlineStr">
        <is>
          <t>24/09/2026 09:38:01</t>
        </is>
      </c>
      <c r="B297" s="30" t="inlineStr">
        <is>
          <t>SIASG1544997664729550848</t>
        </is>
      </c>
      <c r="C297" s="30" t="inlineStr">
        <is>
          <t>265872661508</t>
        </is>
      </c>
      <c r="D297" s="30" t="inlineStr">
        <is>
          <t>91763969</t>
        </is>
      </c>
      <c r="E297" s="30" t="inlineStr">
        <is>
          <t>Northern</t>
        </is>
      </c>
      <c r="F297" s="30" t="inlineStr">
        <is>
          <t>GEO</t>
        </is>
      </c>
      <c r="G297" s="30" t="inlineStr">
        <is>
          <t>GEO - OPS - PULAU TIKUS</t>
        </is>
      </c>
      <c r="H297" s="30" t="inlineStr">
        <is>
          <t>LM</t>
        </is>
      </c>
      <c r="I297" s="30" t="inlineStr">
        <is>
          <t>Fake Fail</t>
        </is>
      </c>
      <c r="J297" s="30" t="inlineStr">
        <is>
          <t>Driver did not call and invalid POD</t>
        </is>
      </c>
      <c r="K297" s="30" t="inlineStr">
        <is>
          <t>Amir</t>
        </is>
      </c>
    </row>
    <row r="298">
      <c r="A298" s="30" t="inlineStr">
        <is>
          <t>24/09/2026 09:43:40</t>
        </is>
      </c>
      <c r="B298" s="30" t="inlineStr">
        <is>
          <t>NVMY45537000029927</t>
        </is>
      </c>
      <c r="C298" s="30" t="inlineStr">
        <is>
          <t>264732669819</t>
        </is>
      </c>
      <c r="D298" s="30" t="inlineStr">
        <is>
          <t>91863956</t>
        </is>
      </c>
      <c r="E298" s="30" t="inlineStr">
        <is>
          <t>South West</t>
        </is>
      </c>
      <c r="F298" s="30" t="inlineStr">
        <is>
          <t xml:space="preserve">MYK </t>
        </is>
      </c>
      <c r="G298" s="30" t="inlineStr">
        <is>
          <t>MYK - ID - SAARI</t>
        </is>
      </c>
      <c r="H298" s="30" t="inlineStr">
        <is>
          <t>LM</t>
        </is>
      </c>
      <c r="I298" s="30" t="inlineStr">
        <is>
          <t>Deliver to Wrong Address</t>
        </is>
      </c>
      <c r="J298" s="30" t="inlineStr">
        <is>
          <t>The driver delivered the parcel to wrong address instead of customers address</t>
        </is>
      </c>
      <c r="K298" s="30" t="inlineStr">
        <is>
          <t>Naveen</t>
        </is>
      </c>
    </row>
    <row r="299">
      <c r="A299" s="30" t="inlineStr">
        <is>
          <t>24/09/2026 09:52:28</t>
        </is>
      </c>
      <c r="B299" s="30" t="inlineStr">
        <is>
          <t>TNGDV2609156907420100</t>
        </is>
      </c>
      <c r="C299" s="30" t="inlineStr">
        <is>
          <t>268642666310</t>
        </is>
      </c>
      <c r="D299" s="30" t="inlineStr">
        <is>
          <t>91859984</t>
        </is>
      </c>
      <c r="E299" s="30" t="inlineStr">
        <is>
          <t>East MY</t>
        </is>
      </c>
      <c r="F299" s="30" t="inlineStr">
        <is>
          <t>BKW</t>
        </is>
      </c>
      <c r="G299" s="30" t="inlineStr">
        <is>
          <t>BKW - ID - KENNETH</t>
        </is>
      </c>
      <c r="H299" s="30" t="inlineStr">
        <is>
          <t>LM</t>
        </is>
      </c>
      <c r="I299" s="30" t="inlineStr">
        <is>
          <t>Fake Fail</t>
        </is>
      </c>
      <c r="J299" s="30" t="inlineStr">
        <is>
          <t>POD invalid call log same minute, invalid location</t>
        </is>
      </c>
      <c r="K299" s="30" t="inlineStr">
        <is>
          <t>Ninja Hadif</t>
        </is>
      </c>
    </row>
    <row r="300">
      <c r="A300" s="30" t="inlineStr">
        <is>
          <t>24/09/2026 09:53:08</t>
        </is>
      </c>
      <c r="B300" s="30" t="inlineStr">
        <is>
          <t>RYTDB1ZPYOXLUYJ</t>
        </is>
      </c>
      <c r="C300" s="30" t="inlineStr">
        <is>
          <t>262142662325</t>
        </is>
      </c>
      <c r="D300" s="30" t="inlineStr">
        <is>
          <t>91870653</t>
        </is>
      </c>
      <c r="E300" s="30" t="inlineStr">
        <is>
          <t>KV</t>
        </is>
      </c>
      <c r="F300" s="30" t="inlineStr">
        <is>
          <t xml:space="preserve">DAM </t>
        </is>
      </c>
      <c r="G300" s="30" t="inlineStr">
        <is>
          <t>DAM - HD - HAZROL EFFENDEE BIN NORSHAM</t>
        </is>
      </c>
      <c r="H300" s="30" t="inlineStr">
        <is>
          <t>LM</t>
        </is>
      </c>
      <c r="I300" s="30" t="inlineStr">
        <is>
          <t>Deliver to Wrong Address</t>
        </is>
      </c>
      <c r="J300" s="30" t="inlineStr">
        <is>
          <t>The driver delivered the parcel to wrong address instead of cust address</t>
        </is>
      </c>
      <c r="K300" s="30" t="inlineStr">
        <is>
          <t>Naveen</t>
        </is>
      </c>
    </row>
    <row r="301">
      <c r="A301" s="30" t="inlineStr">
        <is>
          <t>24/09/2026 10:03:28</t>
        </is>
      </c>
      <c r="B301" s="30" t="inlineStr">
        <is>
          <t xml:space="preserve">PGMLL0004629322-1-1-51
</t>
        </is>
      </c>
      <c r="C301" s="30" t="inlineStr">
        <is>
          <t>269162660733</t>
        </is>
      </c>
      <c r="D301" s="30" t="inlineStr">
        <is>
          <t>91875752</t>
        </is>
      </c>
      <c r="E301" s="30" t="inlineStr">
        <is>
          <t>Southern</t>
        </is>
      </c>
      <c r="F301" s="30" t="inlineStr">
        <is>
          <t xml:space="preserve">PSG </t>
        </is>
      </c>
      <c r="G301" s="30" t="inlineStr">
        <is>
          <t>PSG - ID - HAFIFI NAWAWI</t>
        </is>
      </c>
      <c r="H301" s="30" t="inlineStr">
        <is>
          <t>LM</t>
        </is>
      </c>
      <c r="I301" s="30" t="inlineStr">
        <is>
          <t>Deliver to Wrong Address</t>
        </is>
      </c>
      <c r="J301" s="30" t="inlineStr">
        <is>
          <t>The driver delivered the parcel to wrong address instead of cust address</t>
        </is>
      </c>
      <c r="K301" s="30" t="inlineStr">
        <is>
          <t>Naveen</t>
        </is>
      </c>
    </row>
    <row r="302">
      <c r="A302" s="30" t="inlineStr">
        <is>
          <t>24/09/2026 10:08:45</t>
        </is>
      </c>
      <c r="B302" s="30" t="inlineStr">
        <is>
          <t xml:space="preserve">RIDZL1551442465070960640
</t>
        </is>
      </c>
      <c r="C302" s="30" t="inlineStr">
        <is>
          <t>260872672118</t>
        </is>
      </c>
      <c r="D302" s="30" t="inlineStr">
        <is>
          <t>91864958</t>
        </is>
      </c>
      <c r="E302" s="30" t="inlineStr">
        <is>
          <t>Southern</t>
        </is>
      </c>
      <c r="F302" s="30" t="inlineStr">
        <is>
          <t>KLI</t>
        </is>
      </c>
      <c r="G302" s="30" t="inlineStr">
        <is>
          <t xml:space="preserve">OPS - KULAI
</t>
        </is>
      </c>
      <c r="H302" s="30" t="inlineStr">
        <is>
          <t>LM</t>
        </is>
      </c>
      <c r="I302" s="30" t="inlineStr">
        <is>
          <t>Fake Fail</t>
        </is>
      </c>
      <c r="J302" s="30" t="inlineStr">
        <is>
          <t>Blank POD by OPS</t>
        </is>
      </c>
      <c r="K302" s="30" t="inlineStr">
        <is>
          <t>Syak</t>
        </is>
      </c>
    </row>
    <row r="303">
      <c r="A303" s="30" t="inlineStr">
        <is>
          <t>24/09/2026 10:18:08</t>
        </is>
      </c>
      <c r="B303" s="30" t="inlineStr">
        <is>
          <t>NVMYPOPLKIF1220375</t>
        </is>
      </c>
      <c r="C303" s="30" t="inlineStr">
        <is>
          <t>266722670921</t>
        </is>
      </c>
      <c r="D303" s="30" t="inlineStr">
        <is>
          <t>91865711</t>
        </is>
      </c>
      <c r="E303" s="30" t="inlineStr">
        <is>
          <t>Southern</t>
        </is>
      </c>
      <c r="F303" s="30" t="inlineStr">
        <is>
          <t>LKN</t>
        </is>
      </c>
      <c r="G303" s="30" t="inlineStr">
        <is>
          <t>LKN - ID - SYED ALI</t>
        </is>
      </c>
      <c r="H303" s="30" t="inlineStr">
        <is>
          <t>LM</t>
        </is>
      </c>
      <c r="I303" s="30" t="inlineStr">
        <is>
          <t>Fake Fail</t>
        </is>
      </c>
      <c r="J303" s="30" t="inlineStr">
        <is>
          <t>Call log invalid &amp; no WhatsApp with response attached</t>
        </is>
      </c>
      <c r="K303" s="30" t="inlineStr">
        <is>
          <t>Wani</t>
        </is>
      </c>
    </row>
    <row r="304">
      <c r="A304" s="30" t="inlineStr">
        <is>
          <t>24/09/2026 10:32:26</t>
        </is>
      </c>
      <c r="B304" s="30" t="inlineStr">
        <is>
          <t>NFRSH1012526</t>
        </is>
      </c>
      <c r="C304" s="30" t="inlineStr">
        <is>
          <t>260452675473</t>
        </is>
      </c>
      <c r="D304" s="30" t="inlineStr">
        <is>
          <t>91865703</t>
        </is>
      </c>
      <c r="E304" s="30" t="inlineStr">
        <is>
          <t>Southern</t>
        </is>
      </c>
      <c r="F304" s="30" t="inlineStr">
        <is>
          <t>KEM</t>
        </is>
      </c>
      <c r="G304" s="30" t="inlineStr">
        <is>
          <t xml:space="preserve">
OPS - KEM
</t>
        </is>
      </c>
      <c r="H304" s="30" t="inlineStr">
        <is>
          <t>LM</t>
        </is>
      </c>
      <c r="I304" s="30" t="inlineStr">
        <is>
          <t>Fake Fail</t>
        </is>
      </c>
      <c r="J304" s="30" t="inlineStr">
        <is>
          <t>no call log</t>
        </is>
      </c>
      <c r="K304" s="30" t="inlineStr">
        <is>
          <t>Abdul</t>
        </is>
      </c>
    </row>
    <row r="305">
      <c r="A305" s="30" t="inlineStr">
        <is>
          <t>24/09/2026 10:32:39</t>
        </is>
      </c>
      <c r="B305" s="30" t="inlineStr">
        <is>
          <t>TNGEO202609171001259197</t>
        </is>
      </c>
      <c r="C305" s="30" t="inlineStr">
        <is>
          <t>266502676346</t>
        </is>
      </c>
      <c r="D305" s="30" t="inlineStr">
        <is>
          <t>91873412</t>
        </is>
      </c>
      <c r="E305" s="30" t="inlineStr">
        <is>
          <t>Northern</t>
        </is>
      </c>
      <c r="F305" s="30" t="inlineStr">
        <is>
          <t>BWH</t>
        </is>
      </c>
      <c r="G305" s="30" t="inlineStr">
        <is>
          <t xml:space="preserve">BWH - OPS - SELF COLLECT
</t>
        </is>
      </c>
      <c r="H305" s="30" t="inlineStr">
        <is>
          <t>LM</t>
        </is>
      </c>
      <c r="I305" s="30" t="inlineStr">
        <is>
          <t>Fake Fail</t>
        </is>
      </c>
      <c r="J305" s="30" t="inlineStr">
        <is>
          <t>There is no call log attached and cust complaint no call</t>
        </is>
      </c>
      <c r="K305" s="30" t="inlineStr">
        <is>
          <t>Syak</t>
        </is>
      </c>
    </row>
    <row r="306">
      <c r="A306" s="30" t="inlineStr">
        <is>
          <t>24/09/2026 10:38:13</t>
        </is>
      </c>
      <c r="B306" s="30" t="inlineStr">
        <is>
          <t>SYI1551481379977601024</t>
        </is>
      </c>
      <c r="C306" s="30" t="inlineStr">
        <is>
          <t>262212674747</t>
        </is>
      </c>
      <c r="D306" s="30" t="inlineStr">
        <is>
          <t>91874449</t>
        </is>
      </c>
      <c r="E306" s="30" t="inlineStr">
        <is>
          <t>Southern</t>
        </is>
      </c>
      <c r="F306" s="30" t="inlineStr">
        <is>
          <t>NSJ</t>
        </is>
      </c>
      <c r="G306" s="30" t="inlineStr">
        <is>
          <t xml:space="preserve">OPS - NSJ
</t>
        </is>
      </c>
      <c r="H306" s="30" t="inlineStr">
        <is>
          <t>LM</t>
        </is>
      </c>
      <c r="I306" s="30" t="inlineStr">
        <is>
          <t>Fake Fail</t>
        </is>
      </c>
      <c r="J306" s="30" t="inlineStr">
        <is>
          <t xml:space="preserve">There is no valid text and call log attached by OPS. No call recvd by cust </t>
        </is>
      </c>
      <c r="K306" s="30" t="inlineStr">
        <is>
          <t>Syak</t>
        </is>
      </c>
    </row>
    <row r="307">
      <c r="A307" s="30" t="inlineStr">
        <is>
          <t>24/09/2026 11:04:10</t>
        </is>
      </c>
      <c r="B307" s="30" t="inlineStr">
        <is>
          <t>NVMYNINJA002523519</t>
        </is>
      </c>
      <c r="C307" s="30" t="inlineStr">
        <is>
          <t>268782671468</t>
        </is>
      </c>
      <c r="D307" s="30" t="inlineStr">
        <is>
          <t>91874919</t>
        </is>
      </c>
      <c r="E307" s="30" t="inlineStr">
        <is>
          <t>Northern</t>
        </is>
      </c>
      <c r="F307" s="30" t="inlineStr">
        <is>
          <t xml:space="preserve">KLM </t>
        </is>
      </c>
      <c r="G307" s="30" t="inlineStr">
        <is>
          <t xml:space="preserve">KLM - IR - ZAKWAN ILMAN
</t>
        </is>
      </c>
      <c r="H307" s="30" t="inlineStr">
        <is>
          <t>LM</t>
        </is>
      </c>
      <c r="I307" s="30" t="inlineStr">
        <is>
          <t>Fake Fail</t>
        </is>
      </c>
      <c r="J307" s="30" t="inlineStr">
        <is>
          <t>Driver went to the wrong location</t>
        </is>
      </c>
      <c r="K307" s="30" t="inlineStr">
        <is>
          <t>Syak</t>
        </is>
      </c>
    </row>
    <row r="308">
      <c r="A308" s="30" t="inlineStr">
        <is>
          <t>24/09/2026 11:06:15</t>
        </is>
      </c>
      <c r="B308" s="30" t="inlineStr">
        <is>
          <t>MJCPE1549037237451567104</t>
        </is>
      </c>
      <c r="C308" s="30" t="inlineStr">
        <is>
          <t>262052664204</t>
        </is>
      </c>
      <c r="D308" s="30" t="inlineStr">
        <is>
          <t>91847852</t>
        </is>
      </c>
      <c r="E308" s="30" t="inlineStr">
        <is>
          <t>East MY</t>
        </is>
      </c>
      <c r="F308" s="30" t="inlineStr">
        <is>
          <t>MYY</t>
        </is>
      </c>
      <c r="G308" s="30" t="inlineStr">
        <is>
          <t>MYY - ID - LEE YEW FOOK</t>
        </is>
      </c>
      <c r="H308" s="30" t="inlineStr">
        <is>
          <t>LM</t>
        </is>
      </c>
      <c r="I308" s="30" t="inlineStr">
        <is>
          <t>Deliver to Wrong Address</t>
        </is>
      </c>
      <c r="J308" s="30" t="inlineStr">
        <is>
          <t>Parcel completed 2026-09-20 but cust not received. Done investigate and customer already received it (parcel delivered to the opposite cust house)</t>
        </is>
      </c>
      <c r="K308" s="30" t="inlineStr">
        <is>
          <t>Syaza</t>
        </is>
      </c>
    </row>
    <row r="309">
      <c r="A309" s="30" t="inlineStr">
        <is>
          <t>24/09/2026 11:09:42</t>
        </is>
      </c>
      <c r="B309" s="30" t="inlineStr">
        <is>
          <t>NVMYASTCH000011456</t>
        </is>
      </c>
      <c r="C309" s="30" t="inlineStr">
        <is>
          <t>268992642077</t>
        </is>
      </c>
      <c r="D309" s="30" t="inlineStr">
        <is>
          <t>91808952</t>
        </is>
      </c>
      <c r="E309" s="30" t="inlineStr">
        <is>
          <t>Northern</t>
        </is>
      </c>
      <c r="F309" s="30" t="inlineStr">
        <is>
          <t xml:space="preserve">YPG </t>
        </is>
      </c>
      <c r="G309" s="30" t="inlineStr">
        <is>
          <t>CC - YPG - ID - Hashar Sapuan</t>
        </is>
      </c>
      <c r="H309" s="30" t="inlineStr">
        <is>
          <t>Cold Chain (CC)</t>
        </is>
      </c>
      <c r="I309" s="30" t="inlineStr">
        <is>
          <t>Deliver to Wrong Address</t>
        </is>
      </c>
      <c r="J309" s="30" t="inlineStr">
        <is>
          <t>The driver delivered the parcel to wrong address instead of cust address</t>
        </is>
      </c>
      <c r="K309" s="30" t="inlineStr">
        <is>
          <t>Naveen</t>
        </is>
      </c>
    </row>
    <row r="310">
      <c r="A310" s="30" t="inlineStr">
        <is>
          <t>24/09/2026 11:14:08</t>
        </is>
      </c>
      <c r="B310" s="30" t="inlineStr">
        <is>
          <t>AEMYA000630852</t>
        </is>
      </c>
      <c r="C310" s="30" t="inlineStr">
        <is>
          <t>269282665760</t>
        </is>
      </c>
      <c r="D310" s="30" t="inlineStr">
        <is>
          <t>91849137</t>
        </is>
      </c>
      <c r="E310" s="30" t="inlineStr">
        <is>
          <t>Southern</t>
        </is>
      </c>
      <c r="F310" s="30" t="inlineStr">
        <is>
          <t>PSG</t>
        </is>
      </c>
      <c r="G310" s="30" t="inlineStr">
        <is>
          <t>PSG - ID - PUTERI AMLI</t>
        </is>
      </c>
      <c r="H310" s="30" t="inlineStr">
        <is>
          <t>LM</t>
        </is>
      </c>
      <c r="I310" s="30" t="inlineStr">
        <is>
          <t>Deliver to Wrong Address</t>
        </is>
      </c>
      <c r="J310" s="30" t="inlineStr">
        <is>
          <t xml:space="preserve">Completed 2026-09-20 but delivered to the wrong address. Done retrieve and customer received it parcel on 23/9 </t>
        </is>
      </c>
      <c r="K310" s="30" t="inlineStr">
        <is>
          <t>Syaza</t>
        </is>
      </c>
    </row>
    <row r="311">
      <c r="A311" s="30" t="inlineStr">
        <is>
          <t>24/09/2026 11:20:09</t>
        </is>
      </c>
      <c r="B311" s="30" t="inlineStr">
        <is>
          <t>SHINE1551872275179208704</t>
        </is>
      </c>
      <c r="C311" s="30" t="inlineStr">
        <is>
          <t>262142678503</t>
        </is>
      </c>
      <c r="D311" s="30" t="inlineStr">
        <is>
          <t>91874835</t>
        </is>
      </c>
      <c r="E311" s="30" t="inlineStr">
        <is>
          <t>Northern</t>
        </is>
      </c>
      <c r="F311" s="30" t="inlineStr">
        <is>
          <t xml:space="preserve">GEO </t>
        </is>
      </c>
      <c r="G311" s="30" t="inlineStr">
        <is>
          <t>GEO - ID - AFI</t>
        </is>
      </c>
      <c r="H311" s="30" t="inlineStr">
        <is>
          <t>LM</t>
        </is>
      </c>
      <c r="I311" s="30" t="inlineStr">
        <is>
          <t>Fake Fail</t>
        </is>
      </c>
      <c r="J311" s="30" t="inlineStr">
        <is>
          <t xml:space="preserve">driver attach wrong call log and not belong to customer, </t>
        </is>
      </c>
      <c r="K311" s="30" t="inlineStr">
        <is>
          <t>zati</t>
        </is>
      </c>
    </row>
    <row r="312">
      <c r="A312" s="30" t="inlineStr">
        <is>
          <t>24/09/2026 11:21:56</t>
        </is>
      </c>
      <c r="B312" s="30" t="inlineStr">
        <is>
          <t>MUMPL1551622217028452352</t>
        </is>
      </c>
      <c r="C312" s="30" t="inlineStr">
        <is>
          <t>269942665663</t>
        </is>
      </c>
      <c r="D312" s="30" t="inlineStr">
        <is>
          <t>91872147</t>
        </is>
      </c>
      <c r="E312" s="30" t="inlineStr">
        <is>
          <t>Southern</t>
        </is>
      </c>
      <c r="F312" s="30" t="inlineStr">
        <is>
          <t xml:space="preserve">JHB </t>
        </is>
      </c>
      <c r="G312" s="30" t="inlineStr">
        <is>
          <t>CC - JHB - ID - Mohd Edzam</t>
        </is>
      </c>
      <c r="H312" s="30" t="inlineStr">
        <is>
          <t>Cold Chain (CC)</t>
        </is>
      </c>
      <c r="I312" s="30" t="inlineStr">
        <is>
          <t>Rude Behavior</t>
        </is>
      </c>
      <c r="J312" s="30" t="inlineStr">
        <is>
          <t>Shipper claimed driver should be reschedule the parcel not inform the customer delivery now and risk the goods thawing, or the customer self‑collect from the warehouse</t>
        </is>
      </c>
      <c r="K312" s="30" t="inlineStr">
        <is>
          <t>AIMENN AIYAD</t>
        </is>
      </c>
    </row>
    <row r="313">
      <c r="A313" s="30" t="inlineStr">
        <is>
          <t>24/09/2026 11:30:24</t>
        </is>
      </c>
      <c r="B313" s="30" t="inlineStr">
        <is>
          <t>TNGE126017056518403000</t>
        </is>
      </c>
      <c r="C313" s="30" t="inlineStr">
        <is>
          <t>262582619801</t>
        </is>
      </c>
      <c r="D313" s="30" t="inlineStr">
        <is>
          <t>91833593</t>
        </is>
      </c>
      <c r="E313" s="30" t="inlineStr">
        <is>
          <t>KV</t>
        </is>
      </c>
      <c r="F313" s="30" t="inlineStr">
        <is>
          <t>DSA</t>
        </is>
      </c>
      <c r="G313" s="30" t="inlineStr">
        <is>
          <t>DSA - ID - NUR MAIZATUL</t>
        </is>
      </c>
      <c r="H313" s="30" t="inlineStr">
        <is>
          <t>LM</t>
        </is>
      </c>
      <c r="I313" s="30" t="inlineStr">
        <is>
          <t>Fake Success</t>
        </is>
      </c>
      <c r="J313" s="30" t="inlineStr">
        <is>
          <t>Invalid POD, system show delivered on 18.09.2026 but customer received on 22.09.2026</t>
        </is>
      </c>
      <c r="K313" s="30" t="inlineStr">
        <is>
          <t>Adid</t>
        </is>
      </c>
    </row>
    <row r="314">
      <c r="A314" s="30" t="inlineStr">
        <is>
          <t>24/09/2026 11:30:33</t>
        </is>
      </c>
      <c r="B314" s="30" t="inlineStr">
        <is>
          <t>NVMYONEGA000042873</t>
        </is>
      </c>
      <c r="C314" s="30" t="inlineStr">
        <is>
          <t>268322661086</t>
        </is>
      </c>
      <c r="D314" s="30" t="inlineStr">
        <is>
          <t>91869838</t>
        </is>
      </c>
      <c r="E314" s="30" t="inlineStr">
        <is>
          <t>Southern</t>
        </is>
      </c>
      <c r="F314" s="30" t="inlineStr">
        <is>
          <t xml:space="preserve">AUS </t>
        </is>
      </c>
      <c r="G314" s="30" t="inlineStr">
        <is>
          <t>AUS - ID - NAZRULHADY</t>
        </is>
      </c>
      <c r="H314" s="30" t="inlineStr">
        <is>
          <t>LM</t>
        </is>
      </c>
      <c r="I314" s="30" t="inlineStr">
        <is>
          <t>Fake Fail</t>
        </is>
      </c>
      <c r="J314" s="30" t="inlineStr">
        <is>
          <t xml:space="preserve">Call log same time line and not connected. Message also invalid </t>
        </is>
      </c>
      <c r="K314" s="30" t="inlineStr">
        <is>
          <t>Daus</t>
        </is>
      </c>
    </row>
    <row r="315">
      <c r="A315" s="30" t="inlineStr">
        <is>
          <t>24/09/2026 11:36:29</t>
        </is>
      </c>
      <c r="B315" s="30" t="inlineStr">
        <is>
          <t>MYNJV70059945668</t>
        </is>
      </c>
      <c r="C315" s="30" t="inlineStr">
        <is>
          <t>263452679594</t>
        </is>
      </c>
      <c r="D315" s="30" t="inlineStr">
        <is>
          <t>91876591</t>
        </is>
      </c>
      <c r="E315" s="30" t="inlineStr">
        <is>
          <t>KV</t>
        </is>
      </c>
      <c r="F315" s="30" t="inlineStr">
        <is>
          <t>KLG</t>
        </is>
      </c>
      <c r="G315" s="30" t="inlineStr">
        <is>
          <t xml:space="preserve">KLG -OPS -MUZAFFAR
</t>
        </is>
      </c>
      <c r="H315" s="30" t="inlineStr">
        <is>
          <t>LM</t>
        </is>
      </c>
      <c r="I315" s="30" t="inlineStr">
        <is>
          <t>Fake Fail</t>
        </is>
      </c>
      <c r="J315" s="30" t="inlineStr">
        <is>
          <t>Failure by OPS with invalid POD as call log not valid since got no number showed, Text not show any number and cust also claim not rcvd any call or Wss</t>
        </is>
      </c>
      <c r="K315" s="30" t="inlineStr">
        <is>
          <t>Syak</t>
        </is>
      </c>
    </row>
    <row r="316">
      <c r="A316" s="30" t="inlineStr">
        <is>
          <t>24/09/2026 11:37:27</t>
        </is>
      </c>
      <c r="B316" s="30" t="inlineStr">
        <is>
          <t>TNGDV2609136913811870</t>
        </is>
      </c>
      <c r="C316" s="30" t="inlineStr">
        <is>
          <t>268222642954</t>
        </is>
      </c>
      <c r="D316" s="30" t="inlineStr">
        <is>
          <t>91833586</t>
        </is>
      </c>
      <c r="E316" s="30" t="inlineStr">
        <is>
          <t>KV</t>
        </is>
      </c>
      <c r="F316" s="30" t="inlineStr">
        <is>
          <t>DSA</t>
        </is>
      </c>
      <c r="G316" s="30" t="inlineStr">
        <is>
          <t>DSA - ID - WONG KAR MING</t>
        </is>
      </c>
      <c r="H316" s="30" t="inlineStr">
        <is>
          <t>LM</t>
        </is>
      </c>
      <c r="I316" s="30" t="inlineStr">
        <is>
          <t>Fake Success</t>
        </is>
      </c>
      <c r="J316" s="30" t="inlineStr">
        <is>
          <t>Invalid POD, system show deliver on 18.09.2026 but customer received on 22.09.2026</t>
        </is>
      </c>
      <c r="K316" s="30" t="inlineStr">
        <is>
          <t>Adid</t>
        </is>
      </c>
    </row>
    <row r="317">
      <c r="A317" s="30" t="inlineStr">
        <is>
          <t>24/09/2026 11:40:13</t>
        </is>
      </c>
      <c r="B317" s="30" t="inlineStr">
        <is>
          <t>AEMYA000635657</t>
        </is>
      </c>
      <c r="C317" s="30" t="inlineStr">
        <is>
          <t>267742670107</t>
        </is>
      </c>
      <c r="D317" s="30" t="inlineStr">
        <is>
          <t>91877402</t>
        </is>
      </c>
      <c r="E317" s="30" t="inlineStr">
        <is>
          <t>Northern</t>
        </is>
      </c>
      <c r="F317" s="30" t="inlineStr">
        <is>
          <t>JIT</t>
        </is>
      </c>
      <c r="G317" s="30" t="inlineStr">
        <is>
          <t>JIT - OPS - HUBJITRA</t>
        </is>
      </c>
      <c r="H317" s="30" t="inlineStr">
        <is>
          <t>LM</t>
        </is>
      </c>
      <c r="I317" s="30" t="inlineStr">
        <is>
          <t>Fake Fail</t>
        </is>
      </c>
      <c r="J317" s="30" t="inlineStr">
        <is>
          <t xml:space="preserve">Call log is not connected and Whatsapp is blocked </t>
        </is>
      </c>
      <c r="K317" s="30" t="inlineStr">
        <is>
          <t xml:space="preserve">Izzni </t>
        </is>
      </c>
    </row>
    <row r="318">
      <c r="A318" s="30" t="inlineStr">
        <is>
          <t>24/09/2026 11:41:40</t>
        </is>
      </c>
      <c r="B318" s="30" t="inlineStr">
        <is>
          <t>MAILB1550738280369963008</t>
        </is>
      </c>
      <c r="C318" s="30" t="inlineStr">
        <is>
          <t>267022655026</t>
        </is>
      </c>
      <c r="D318" s="30" t="inlineStr">
        <is>
          <t>91849057</t>
        </is>
      </c>
      <c r="E318" s="30" t="inlineStr">
        <is>
          <t>Southern</t>
        </is>
      </c>
      <c r="F318" s="30" t="inlineStr">
        <is>
          <t>HTM</t>
        </is>
      </c>
      <c r="G318" s="30" t="inlineStr">
        <is>
          <t>HTM - ID - SYAIFULBAHRI</t>
        </is>
      </c>
      <c r="H318" s="30" t="inlineStr">
        <is>
          <t>LM</t>
        </is>
      </c>
      <c r="I318" s="30" t="inlineStr">
        <is>
          <t>Deliver to Wrong Address</t>
        </is>
      </c>
      <c r="J318" s="30" t="inlineStr">
        <is>
          <t>Completed 2026-09-20 but delivered to the wrong address. Sender retrieved and send back to the customer on 23/9</t>
        </is>
      </c>
      <c r="K318" s="30" t="inlineStr">
        <is>
          <t>Syaza</t>
        </is>
      </c>
    </row>
    <row r="319">
      <c r="A319" s="30" t="inlineStr">
        <is>
          <t>24/09/2026 11:48:03</t>
        </is>
      </c>
      <c r="B319" s="30" t="inlineStr">
        <is>
          <t>NVMYTHROA000000598</t>
        </is>
      </c>
      <c r="C319" s="30" t="inlineStr">
        <is>
          <t>266992678588</t>
        </is>
      </c>
      <c r="D319" s="30" t="inlineStr">
        <is>
          <t>91863051</t>
        </is>
      </c>
      <c r="E319" s="30" t="inlineStr">
        <is>
          <t>KV</t>
        </is>
      </c>
      <c r="F319" s="30" t="inlineStr">
        <is>
          <t>BTR</t>
        </is>
      </c>
      <c r="G319" s="30" t="inlineStr">
        <is>
          <t>OPS - BTR</t>
        </is>
      </c>
      <c r="H319" s="30" t="inlineStr">
        <is>
          <t>LM</t>
        </is>
      </c>
      <c r="I319" s="30" t="inlineStr">
        <is>
          <t>Fake Fail</t>
        </is>
      </c>
      <c r="J319" s="30" t="inlineStr">
        <is>
          <t>failed by OPS. Invalid POD no call log. Wrong number on whatsapp</t>
        </is>
      </c>
      <c r="K319" s="30" t="inlineStr">
        <is>
          <t>AIMENN AIYAD</t>
        </is>
      </c>
    </row>
    <row r="320">
      <c r="A320" s="30" t="inlineStr">
        <is>
          <t>24/09/2026 12:00:47</t>
        </is>
      </c>
      <c r="B320" s="30" t="inlineStr">
        <is>
          <t>LNID2609BN6UAD4K</t>
        </is>
      </c>
      <c r="C320" s="30" t="inlineStr">
        <is>
          <t>268882677175</t>
        </is>
      </c>
      <c r="D320" s="30" t="inlineStr">
        <is>
          <t>91877501</t>
        </is>
      </c>
      <c r="E320" s="30" t="inlineStr">
        <is>
          <t>Southern</t>
        </is>
      </c>
      <c r="F320" s="30" t="inlineStr">
        <is>
          <t xml:space="preserve">PTN </t>
        </is>
      </c>
      <c r="G320" s="30" t="inlineStr">
        <is>
          <t>PTN - OPS - IZZ</t>
        </is>
      </c>
      <c r="H320" s="30" t="inlineStr">
        <is>
          <t>LM</t>
        </is>
      </c>
      <c r="I320" s="30" t="inlineStr">
        <is>
          <t>Fake Fail</t>
        </is>
      </c>
      <c r="J320" s="30" t="inlineStr">
        <is>
          <t xml:space="preserve">invalid POD, fail under ops </t>
        </is>
      </c>
      <c r="K320" s="30" t="inlineStr">
        <is>
          <t xml:space="preserve">Yana </t>
        </is>
      </c>
    </row>
    <row r="321">
      <c r="A321" s="30" t="inlineStr">
        <is>
          <t>24/09/2026 12:02:28</t>
        </is>
      </c>
      <c r="B321" s="30" t="inlineStr">
        <is>
          <t>NVMYAIMIM000004143</t>
        </is>
      </c>
      <c r="C321" s="30" t="inlineStr">
        <is>
          <t>265322674572</t>
        </is>
      </c>
      <c r="D321" s="30" t="inlineStr">
        <is>
          <t>91876791</t>
        </is>
      </c>
      <c r="E321" s="30" t="inlineStr">
        <is>
          <t>KV</t>
        </is>
      </c>
      <c r="F321" s="30" t="inlineStr">
        <is>
          <t>PJY</t>
        </is>
      </c>
      <c r="G321" s="30" t="inlineStr">
        <is>
          <t>OPS - PJY</t>
        </is>
      </c>
      <c r="H321" s="30" t="inlineStr">
        <is>
          <t>LM</t>
        </is>
      </c>
      <c r="I321" s="30" t="inlineStr">
        <is>
          <t>Fake Fail</t>
        </is>
      </c>
      <c r="J321" s="30" t="inlineStr">
        <is>
          <t xml:space="preserve">No call log attached </t>
        </is>
      </c>
      <c r="K321" s="30" t="inlineStr">
        <is>
          <t>Wani</t>
        </is>
      </c>
    </row>
    <row r="322">
      <c r="A322" s="30" t="inlineStr">
        <is>
          <t>24/09/2026 12:17:52</t>
        </is>
      </c>
      <c r="B322" s="30" t="inlineStr">
        <is>
          <t>NVMYBEVLA921354189</t>
        </is>
      </c>
      <c r="C322" s="30" t="inlineStr">
        <is>
          <t>264232672651</t>
        </is>
      </c>
      <c r="D322" s="30" t="inlineStr">
        <is>
          <t>91872289</t>
        </is>
      </c>
      <c r="E322" s="30" t="inlineStr">
        <is>
          <t>KV</t>
        </is>
      </c>
      <c r="F322" s="30" t="inlineStr">
        <is>
          <t>BTR</t>
        </is>
      </c>
      <c r="G322" s="30" t="inlineStr">
        <is>
          <t xml:space="preserve">BTR - ID - KHAIRAN
</t>
        </is>
      </c>
      <c r="H322" s="30" t="inlineStr">
        <is>
          <t>LM</t>
        </is>
      </c>
      <c r="I322" s="30" t="inlineStr">
        <is>
          <t>Fake Fail</t>
        </is>
      </c>
      <c r="J322" s="30" t="inlineStr">
        <is>
          <t xml:space="preserve">There is no call and valid picture attached. </t>
        </is>
      </c>
      <c r="K322" s="30" t="inlineStr">
        <is>
          <t>Syak</t>
        </is>
      </c>
    </row>
    <row r="323">
      <c r="A323" s="30" t="inlineStr">
        <is>
          <t>24/09/2026 12:28:13</t>
        </is>
      </c>
      <c r="B323" s="30" t="inlineStr">
        <is>
          <t>NVMYSECOM000093833</t>
        </is>
      </c>
      <c r="C323" s="30" t="inlineStr">
        <is>
          <t>269882675904</t>
        </is>
      </c>
      <c r="D323" s="30" t="inlineStr">
        <is>
          <t>91873288</t>
        </is>
      </c>
      <c r="E323" s="30" t="inlineStr">
        <is>
          <t>Southern</t>
        </is>
      </c>
      <c r="F323" s="30" t="inlineStr">
        <is>
          <t>HTM</t>
        </is>
      </c>
      <c r="G323" s="30" t="inlineStr">
        <is>
          <t xml:space="preserve">HTM - ID - OPS
</t>
        </is>
      </c>
      <c r="H323" s="30" t="inlineStr">
        <is>
          <t>LM</t>
        </is>
      </c>
      <c r="I323" s="30" t="inlineStr">
        <is>
          <t>Fake Fail</t>
        </is>
      </c>
      <c r="J323" s="30" t="inlineStr">
        <is>
          <t>Call log to different number</t>
        </is>
      </c>
      <c r="K323" s="30" t="inlineStr">
        <is>
          <t>Syak</t>
        </is>
      </c>
    </row>
    <row r="324">
      <c r="A324" s="30" t="inlineStr">
        <is>
          <t>24/09/2026 12:26:47</t>
        </is>
      </c>
      <c r="B324" s="30" t="inlineStr">
        <is>
          <t>NVMYHOOHI000012204</t>
        </is>
      </c>
      <c r="C324" s="30" t="inlineStr">
        <is>
          <t>266362677368</t>
        </is>
      </c>
      <c r="D324" s="30" t="inlineStr">
        <is>
          <t>91861034</t>
        </is>
      </c>
      <c r="E324" s="30" t="inlineStr">
        <is>
          <t>KV</t>
        </is>
      </c>
      <c r="F324" s="30" t="inlineStr">
        <is>
          <t xml:space="preserve">SYH </t>
        </is>
      </c>
      <c r="G324" s="30" t="inlineStr">
        <is>
          <t>SYH - OPS - NAJMUDDIN KHALIB</t>
        </is>
      </c>
      <c r="H324" s="30" t="inlineStr">
        <is>
          <t>LM</t>
        </is>
      </c>
      <c r="I324" s="30" t="inlineStr">
        <is>
          <t>Fake Fail</t>
        </is>
      </c>
      <c r="J324" s="30" t="inlineStr">
        <is>
          <t xml:space="preserve">invalid POD, failed under ops </t>
        </is>
      </c>
      <c r="K324" s="30" t="inlineStr">
        <is>
          <t xml:space="preserve">Yana </t>
        </is>
      </c>
    </row>
    <row r="325">
      <c r="A325" s="30" t="inlineStr">
        <is>
          <t>24/09/2026 12:29:32</t>
        </is>
      </c>
      <c r="B325" s="30" t="inlineStr">
        <is>
          <t>MYNJV70096675528</t>
        </is>
      </c>
      <c r="C325" s="30" t="inlineStr">
        <is>
          <t>260992670349</t>
        </is>
      </c>
      <c r="D325" s="30" t="inlineStr">
        <is>
          <t>91877471</t>
        </is>
      </c>
      <c r="E325" s="30" t="inlineStr">
        <is>
          <t>KV</t>
        </is>
      </c>
      <c r="F325" s="30" t="inlineStr">
        <is>
          <t xml:space="preserve">SEG </t>
        </is>
      </c>
      <c r="G325" s="30" t="inlineStr">
        <is>
          <t>SEG - OPS - STATION HEAD</t>
        </is>
      </c>
      <c r="H325" s="30" t="inlineStr">
        <is>
          <t>LM</t>
        </is>
      </c>
      <c r="I325" s="30" t="inlineStr">
        <is>
          <t>Fake Fail</t>
        </is>
      </c>
      <c r="J325" s="30" t="inlineStr">
        <is>
          <t>Invalid POD</t>
        </is>
      </c>
      <c r="K325" s="30" t="inlineStr">
        <is>
          <t>Naveen</t>
        </is>
      </c>
    </row>
    <row r="326">
      <c r="A326" s="30" t="inlineStr">
        <is>
          <t>24/09/2026 12:33:23</t>
        </is>
      </c>
      <c r="B326" s="30" t="inlineStr">
        <is>
          <t>MYNJV70073295398</t>
        </is>
      </c>
      <c r="C326" s="30" t="inlineStr">
        <is>
          <t>265982670837</t>
        </is>
      </c>
      <c r="D326" s="30" t="inlineStr">
        <is>
          <t>91844628</t>
        </is>
      </c>
      <c r="E326" s="30" t="inlineStr">
        <is>
          <t>Northern</t>
        </is>
      </c>
      <c r="F326" s="30" t="inlineStr">
        <is>
          <t xml:space="preserve">AOR </t>
        </is>
      </c>
      <c r="G326" s="30" t="inlineStr">
        <is>
          <t xml:space="preserve">AOR - FM - Ihsan Rashid
</t>
        </is>
      </c>
      <c r="H326" s="30" t="inlineStr">
        <is>
          <t>LM</t>
        </is>
      </c>
      <c r="I326" s="30" t="inlineStr">
        <is>
          <t>Fake Fail</t>
        </is>
      </c>
      <c r="J326" s="30" t="inlineStr">
        <is>
          <t>Driver sent text to wrong number about CMI but, choose diff del failure</t>
        </is>
      </c>
      <c r="K326" s="30" t="inlineStr">
        <is>
          <t>Syak</t>
        </is>
      </c>
    </row>
    <row r="327">
      <c r="A327" s="30" t="inlineStr">
        <is>
          <t>24/09/2026 12:39:40</t>
        </is>
      </c>
      <c r="B327" s="30" t="inlineStr">
        <is>
          <t>LYCHN1550143940582481920</t>
        </is>
      </c>
      <c r="C327" s="30" t="inlineStr">
        <is>
          <t>261012673958</t>
        </is>
      </c>
      <c r="D327" s="30" t="inlineStr">
        <is>
          <t>91844801
91859637</t>
        </is>
      </c>
      <c r="E327" s="30" t="inlineStr">
        <is>
          <t>Southern</t>
        </is>
      </c>
      <c r="F327" s="30" t="inlineStr">
        <is>
          <t xml:space="preserve">LKN </t>
        </is>
      </c>
      <c r="G327" s="30" t="inlineStr">
        <is>
          <t>LKN - ID - MUZLIA
MTG - FM - Shazwan Saupi</t>
        </is>
      </c>
      <c r="H327" s="30" t="inlineStr">
        <is>
          <t>LM</t>
        </is>
      </c>
      <c r="I327" s="30" t="inlineStr">
        <is>
          <t>Fake Fail</t>
        </is>
      </c>
      <c r="J327" s="30" t="inlineStr">
        <is>
          <t>No valid call log provided</t>
        </is>
      </c>
      <c r="K327" s="30" t="inlineStr">
        <is>
          <t>Naveen</t>
        </is>
      </c>
    </row>
    <row r="328">
      <c r="A328" s="30" t="inlineStr">
        <is>
          <t>24/09/2026 12:55:07</t>
        </is>
      </c>
      <c r="B328" s="30" t="inlineStr">
        <is>
          <t>NVMYADI00000422746</t>
        </is>
      </c>
      <c r="C328" s="30" t="inlineStr">
        <is>
          <t>266862679260</t>
        </is>
      </c>
      <c r="D328" s="30" t="inlineStr">
        <is>
          <t>91872286</t>
        </is>
      </c>
      <c r="E328" s="30" t="inlineStr">
        <is>
          <t>KV</t>
        </is>
      </c>
      <c r="F328" s="30" t="inlineStr">
        <is>
          <t>BTR</t>
        </is>
      </c>
      <c r="G328" s="30" t="inlineStr">
        <is>
          <t xml:space="preserve">OPS - BTR
</t>
        </is>
      </c>
      <c r="H328" s="30" t="inlineStr">
        <is>
          <t>LM</t>
        </is>
      </c>
      <c r="I328" s="30" t="inlineStr">
        <is>
          <t>Fake Fail</t>
        </is>
      </c>
      <c r="J328" s="30" t="inlineStr">
        <is>
          <t>There is no call log attched by OPS</t>
        </is>
      </c>
      <c r="K328" s="30" t="inlineStr">
        <is>
          <t>Syak</t>
        </is>
      </c>
    </row>
    <row r="329">
      <c r="A329" s="30" t="inlineStr">
        <is>
          <t>24/09/2026 13:00:44</t>
        </is>
      </c>
      <c r="B329" s="30" t="inlineStr">
        <is>
          <t>NVMYAXVEL000112120</t>
        </is>
      </c>
      <c r="C329" s="30" t="inlineStr">
        <is>
          <t>266402679994</t>
        </is>
      </c>
      <c r="D329" s="30" t="inlineStr">
        <is>
          <t>91869504</t>
        </is>
      </c>
      <c r="E329" s="30" t="inlineStr">
        <is>
          <t>Southern</t>
        </is>
      </c>
      <c r="F329" s="30" t="inlineStr">
        <is>
          <t>AUS</t>
        </is>
      </c>
      <c r="G329" s="30" t="inlineStr">
        <is>
          <t xml:space="preserve">IZRAFIL KADIR
</t>
        </is>
      </c>
      <c r="H329" s="30" t="inlineStr">
        <is>
          <t>LM</t>
        </is>
      </c>
      <c r="I329" s="30" t="inlineStr">
        <is>
          <t>CMI (Can't Make It)</t>
        </is>
      </c>
      <c r="J329" s="30" t="inlineStr">
        <is>
          <t>Forced Failure by FA</t>
        </is>
      </c>
      <c r="K329" s="30" t="inlineStr">
        <is>
          <t>Syak</t>
        </is>
      </c>
    </row>
    <row r="330">
      <c r="A330" s="30" t="inlineStr">
        <is>
          <t>24/09/2026 13:31:48</t>
        </is>
      </c>
      <c r="B330" s="30" t="inlineStr">
        <is>
          <t>MYNJV70008945938</t>
        </is>
      </c>
      <c r="C330" s="30" t="inlineStr">
        <is>
          <t>269512670465</t>
        </is>
      </c>
      <c r="D330" s="30" t="inlineStr">
        <is>
          <t>91872288</t>
        </is>
      </c>
      <c r="E330" s="30" t="inlineStr">
        <is>
          <t>KV</t>
        </is>
      </c>
      <c r="F330" s="30" t="inlineStr">
        <is>
          <t>BTR</t>
        </is>
      </c>
      <c r="G330" s="30" t="inlineStr">
        <is>
          <t xml:space="preserve">BTR - ID - KHAIRAN
</t>
        </is>
      </c>
      <c r="H330" s="30" t="inlineStr">
        <is>
          <t>LM</t>
        </is>
      </c>
      <c r="I330" s="30" t="inlineStr">
        <is>
          <t>Fake Fail</t>
        </is>
      </c>
      <c r="J330" s="30" t="inlineStr">
        <is>
          <t>Text to wrong number and there is no valid call log attached by OPS</t>
        </is>
      </c>
      <c r="K330" s="30" t="inlineStr">
        <is>
          <t>Syak</t>
        </is>
      </c>
    </row>
    <row r="331">
      <c r="A331" s="30" t="inlineStr">
        <is>
          <t>24/09/2026 13:32:40</t>
        </is>
      </c>
      <c r="B331" s="30" t="inlineStr">
        <is>
          <t>NLMYWA04658968</t>
        </is>
      </c>
      <c r="C331" s="30" t="inlineStr">
        <is>
          <t>267702679999</t>
        </is>
      </c>
      <c r="D331" s="30" t="inlineStr">
        <is>
          <t>91825698</t>
        </is>
      </c>
      <c r="E331" s="30" t="inlineStr">
        <is>
          <t>North West</t>
        </is>
      </c>
      <c r="F331" s="30" t="inlineStr">
        <is>
          <t>BAG</t>
        </is>
      </c>
      <c r="G331" s="30" t="inlineStr">
        <is>
          <t>BAG - OPS - ADAM</t>
        </is>
      </c>
      <c r="H331" s="30" t="inlineStr">
        <is>
          <t>LM</t>
        </is>
      </c>
      <c r="I331" s="30" t="inlineStr">
        <is>
          <t>Fake Fail</t>
        </is>
      </c>
      <c r="J331" s="30" t="inlineStr">
        <is>
          <t xml:space="preserve">The driver contacted wrong number </t>
        </is>
      </c>
      <c r="K331" s="30" t="inlineStr">
        <is>
          <t xml:space="preserve">Izzni </t>
        </is>
      </c>
    </row>
    <row r="332">
      <c r="A332" s="30" t="inlineStr">
        <is>
          <t>24/09/2026 13:39:08</t>
        </is>
      </c>
      <c r="B332" s="30" t="inlineStr">
        <is>
          <t>NVMYNINJA002518185</t>
        </is>
      </c>
      <c r="C332" s="30" t="inlineStr">
        <is>
          <t>263462671029</t>
        </is>
      </c>
      <c r="D332" s="30" t="inlineStr">
        <is>
          <t>91871598</t>
        </is>
      </c>
      <c r="E332" s="30" t="inlineStr">
        <is>
          <t>KV</t>
        </is>
      </c>
      <c r="F332" s="30" t="inlineStr">
        <is>
          <t>PJY</t>
        </is>
      </c>
      <c r="G332" s="30" t="inlineStr">
        <is>
          <t xml:space="preserve">PJY - HD - RAZIQIN
</t>
        </is>
      </c>
      <c r="H332" s="30" t="inlineStr">
        <is>
          <t>LM</t>
        </is>
      </c>
      <c r="I332" s="30" t="inlineStr">
        <is>
          <t>Fake Fail</t>
        </is>
      </c>
      <c r="J332" s="30" t="inlineStr">
        <is>
          <t>2nd attempt was invalid since call to wrong number</t>
        </is>
      </c>
      <c r="K332" s="30" t="inlineStr">
        <is>
          <t>Syak</t>
        </is>
      </c>
    </row>
    <row r="333">
      <c r="A333" s="30" t="inlineStr">
        <is>
          <t>24/09/2026 13:55:47</t>
        </is>
      </c>
      <c r="B333" s="30" t="inlineStr">
        <is>
          <t xml:space="preserve">PGMLL0004629950-1-1-27
</t>
        </is>
      </c>
      <c r="C333" s="30" t="inlineStr">
        <is>
          <t>268812674433</t>
        </is>
      </c>
      <c r="D333" s="30" t="inlineStr">
        <is>
          <t>91873959</t>
        </is>
      </c>
      <c r="E333" s="30" t="inlineStr">
        <is>
          <t>Southern</t>
        </is>
      </c>
      <c r="F333" s="30" t="inlineStr">
        <is>
          <t>KEM</t>
        </is>
      </c>
      <c r="G333" s="30" t="inlineStr">
        <is>
          <t xml:space="preserve">OPS - KEM
</t>
        </is>
      </c>
      <c r="H333" s="30" t="inlineStr">
        <is>
          <t>LM</t>
        </is>
      </c>
      <c r="I333" s="30" t="inlineStr">
        <is>
          <t>Fake Fail</t>
        </is>
      </c>
      <c r="J333" s="30" t="inlineStr">
        <is>
          <t xml:space="preserve">There is no call to the customer and call log not attached </t>
        </is>
      </c>
      <c r="K333" s="30" t="inlineStr">
        <is>
          <t>Syak</t>
        </is>
      </c>
    </row>
    <row r="334">
      <c r="A334" s="30" t="inlineStr">
        <is>
          <t>24/09/2026 14:14:27</t>
        </is>
      </c>
      <c r="B334" s="30" t="inlineStr">
        <is>
          <t>TNGE126007000501702000</t>
        </is>
      </c>
      <c r="C334" s="30" t="inlineStr">
        <is>
          <t>264012648046</t>
        </is>
      </c>
      <c r="D334" s="30" t="inlineStr">
        <is>
          <t>91824551</t>
        </is>
      </c>
      <c r="E334" s="30" t="inlineStr">
        <is>
          <t>North East</t>
        </is>
      </c>
      <c r="F334" s="30" t="inlineStr">
        <is>
          <t>MAC</t>
        </is>
      </c>
      <c r="G334" s="30" t="inlineStr">
        <is>
          <t>MAC - ID - RIZALMAN</t>
        </is>
      </c>
      <c r="H334" s="30" t="inlineStr">
        <is>
          <t>LM</t>
        </is>
      </c>
      <c r="I334" s="30" t="inlineStr">
        <is>
          <t>Deliver to Wrong Address</t>
        </is>
      </c>
      <c r="J334" s="30" t="inlineStr">
        <is>
          <t>Driver delivered the parcel to the wrong address. After the complaint was raised, the driver retrieved it and redelivered it to the correct address.</t>
        </is>
      </c>
      <c r="K334" s="30" t="inlineStr">
        <is>
          <t>Huzair</t>
        </is>
      </c>
    </row>
    <row r="335">
      <c r="A335" s="30" t="inlineStr">
        <is>
          <t>24/09/2026 14:23:06</t>
        </is>
      </c>
      <c r="B335" s="30" t="inlineStr">
        <is>
          <t>ESHP003314995</t>
        </is>
      </c>
      <c r="C335" s="30" t="inlineStr">
        <is>
          <t>269202670965</t>
        </is>
      </c>
      <c r="D335" s="30" t="inlineStr">
        <is>
          <t>91871590</t>
        </is>
      </c>
      <c r="E335" s="30" t="inlineStr">
        <is>
          <t>KV</t>
        </is>
      </c>
      <c r="F335" s="30" t="inlineStr">
        <is>
          <t>RBY</t>
        </is>
      </c>
      <c r="G335" s="30" t="inlineStr">
        <is>
          <t>OPS - NAIM FIKRI</t>
        </is>
      </c>
      <c r="H335" s="30" t="inlineStr">
        <is>
          <t>LM</t>
        </is>
      </c>
      <c r="I335" s="30" t="inlineStr">
        <is>
          <t>Fake Fail</t>
        </is>
      </c>
      <c r="J335" s="30" t="inlineStr">
        <is>
          <t>invalid POD</t>
        </is>
      </c>
      <c r="K335" s="30" t="inlineStr">
        <is>
          <t>Naveen</t>
        </is>
      </c>
    </row>
    <row r="336">
      <c r="A336" s="30" t="inlineStr">
        <is>
          <t>24/09/2026 14:45:31</t>
        </is>
      </c>
      <c r="B336" s="30" t="inlineStr">
        <is>
          <t>MYNJV70093465568</t>
        </is>
      </c>
      <c r="C336" s="30" t="inlineStr">
        <is>
          <t>267442671694</t>
        </is>
      </c>
      <c r="D336" s="30" t="inlineStr">
        <is>
          <t>91863050</t>
        </is>
      </c>
      <c r="E336" s="30" t="inlineStr">
        <is>
          <t>KV</t>
        </is>
      </c>
      <c r="F336" s="30" t="inlineStr">
        <is>
          <t>BTR</t>
        </is>
      </c>
      <c r="G336" s="30" t="inlineStr">
        <is>
          <t xml:space="preserve">OPS - BTR
</t>
        </is>
      </c>
      <c r="H336" s="30" t="inlineStr">
        <is>
          <t>LM</t>
        </is>
      </c>
      <c r="I336" s="30" t="inlineStr">
        <is>
          <t>Fake Fail</t>
        </is>
      </c>
      <c r="J336" s="30" t="inlineStr">
        <is>
          <t xml:space="preserve">invalid POD
</t>
        </is>
      </c>
      <c r="K336" s="30" t="inlineStr">
        <is>
          <t>Naveen</t>
        </is>
      </c>
    </row>
    <row r="337">
      <c r="A337" s="30" t="inlineStr">
        <is>
          <t>24/09/2026 15:11:56</t>
        </is>
      </c>
      <c r="B337" s="30" t="inlineStr">
        <is>
          <t xml:space="preserve">ZNV256384945-4282
</t>
        </is>
      </c>
      <c r="C337" s="30" t="inlineStr">
        <is>
          <t>269642658331</t>
        </is>
      </c>
      <c r="D337" s="30" t="inlineStr">
        <is>
          <t>91813783</t>
        </is>
      </c>
      <c r="E337" s="30" t="inlineStr">
        <is>
          <t>East MY</t>
        </is>
      </c>
      <c r="F337" s="30" t="inlineStr">
        <is>
          <t>PTJ</t>
        </is>
      </c>
      <c r="G337" s="30" t="inlineStr">
        <is>
          <t xml:space="preserve">KAMARUL ABDULLAH
</t>
        </is>
      </c>
      <c r="H337" s="30" t="inlineStr">
        <is>
          <t>LM</t>
        </is>
      </c>
      <c r="I337" s="30" t="inlineStr">
        <is>
          <t>Deliver to Wrong Address</t>
        </is>
      </c>
      <c r="J337" s="30" t="inlineStr">
        <is>
          <t>Parcel del to wrong address, now , retrieved</t>
        </is>
      </c>
      <c r="K337" s="30" t="inlineStr">
        <is>
          <t>Syak</t>
        </is>
      </c>
    </row>
    <row r="338">
      <c r="A338" s="30" t="inlineStr">
        <is>
          <t>24/09/2026 15:43:56</t>
        </is>
      </c>
      <c r="B338" s="30" t="inlineStr">
        <is>
          <t>HFGMY12609161310007</t>
        </is>
      </c>
      <c r="C338" s="30" t="inlineStr">
        <is>
          <t>262302672866</t>
        </is>
      </c>
      <c r="D338" s="30" t="inlineStr">
        <is>
          <t>91867802</t>
        </is>
      </c>
      <c r="E338" s="30" t="inlineStr">
        <is>
          <t>KV</t>
        </is>
      </c>
      <c r="F338" s="30" t="inlineStr">
        <is>
          <t>SEG</t>
        </is>
      </c>
      <c r="G338" s="30" t="inlineStr">
        <is>
          <t xml:space="preserve">SEG - OPS - STATION HEAD
</t>
        </is>
      </c>
      <c r="H338" s="30" t="inlineStr">
        <is>
          <t>LM</t>
        </is>
      </c>
      <c r="I338" s="30" t="inlineStr">
        <is>
          <t>Fake Fail</t>
        </is>
      </c>
      <c r="J338" s="30" t="inlineStr">
        <is>
          <t>There is no valid call log attached by the OPS as no number shows</t>
        </is>
      </c>
      <c r="K338" s="30" t="inlineStr">
        <is>
          <t>Syak</t>
        </is>
      </c>
    </row>
    <row r="339">
      <c r="A339" s="30" t="inlineStr">
        <is>
          <t>24/09/2026 15:46:48</t>
        </is>
      </c>
      <c r="B339" s="30" t="inlineStr">
        <is>
          <t>NVMYNINJA002502259</t>
        </is>
      </c>
      <c r="C339" s="30" t="inlineStr">
        <is>
          <t>263052672312</t>
        </is>
      </c>
      <c r="D339" s="30" t="inlineStr">
        <is>
          <t>91820585</t>
        </is>
      </c>
      <c r="E339" s="30" t="inlineStr">
        <is>
          <t>KV</t>
        </is>
      </c>
      <c r="F339" s="30" t="inlineStr">
        <is>
          <t xml:space="preserve">BGI </t>
        </is>
      </c>
      <c r="G339" s="30" t="inlineStr">
        <is>
          <t>BGI - ID - NAZIM AHMAD</t>
        </is>
      </c>
      <c r="H339" s="30" t="inlineStr">
        <is>
          <t>LM</t>
        </is>
      </c>
      <c r="I339" s="30" t="inlineStr">
        <is>
          <t>Deliver to Wrong Address</t>
        </is>
      </c>
      <c r="J339" s="30" t="inlineStr">
        <is>
          <t xml:space="preserve">driver deliver to wrong address and never contatct the customer </t>
        </is>
      </c>
      <c r="K339" s="30" t="inlineStr">
        <is>
          <t xml:space="preserve">Yana </t>
        </is>
      </c>
    </row>
    <row r="340">
      <c r="A340" s="30" t="inlineStr">
        <is>
          <t>24/09/2026 15:48:12</t>
        </is>
      </c>
      <c r="B340" s="30" t="inlineStr">
        <is>
          <t>BEINT1546361398446215168</t>
        </is>
      </c>
      <c r="C340" s="30" t="inlineStr">
        <is>
          <t>264062653888</t>
        </is>
      </c>
      <c r="D340" s="30" t="inlineStr">
        <is>
          <t>91752118</t>
        </is>
      </c>
      <c r="E340" s="30" t="inlineStr">
        <is>
          <t>Northern</t>
        </is>
      </c>
      <c r="F340" s="30" t="inlineStr">
        <is>
          <t>JIT</t>
        </is>
      </c>
      <c r="G340" s="30" t="inlineStr">
        <is>
          <t>JIT - ID - FIRDAUS AZIZAN</t>
        </is>
      </c>
      <c r="H340" s="30" t="inlineStr">
        <is>
          <t>LM</t>
        </is>
      </c>
      <c r="I340" s="30" t="inlineStr">
        <is>
          <t>Fake Success</t>
        </is>
      </c>
      <c r="J340" s="30" t="inlineStr">
        <is>
          <t>Customer claim didnt received any notification from driver</t>
        </is>
      </c>
      <c r="K340" s="30" t="inlineStr">
        <is>
          <t>Adid</t>
        </is>
      </c>
    </row>
    <row r="341">
      <c r="A341" s="30" t="inlineStr">
        <is>
          <t>24/09/2026 16:09:32</t>
        </is>
      </c>
      <c r="B341" s="30" t="inlineStr">
        <is>
          <t>MGBOO1549219794276077568</t>
        </is>
      </c>
      <c r="C341" s="30" t="inlineStr">
        <is>
          <t>264442644342</t>
        </is>
      </c>
      <c r="D341" s="30" t="inlineStr">
        <is>
          <t>91820364</t>
        </is>
      </c>
      <c r="E341" s="30" t="inlineStr">
        <is>
          <t>KV</t>
        </is>
      </c>
      <c r="F341" s="30" t="inlineStr">
        <is>
          <t xml:space="preserve">CKT </t>
        </is>
      </c>
      <c r="G341" s="30" t="inlineStr">
        <is>
          <t>ZAMAN MUHAMMAD</t>
        </is>
      </c>
      <c r="H341" s="30" t="inlineStr">
        <is>
          <t>LM</t>
        </is>
      </c>
      <c r="I341" s="30" t="inlineStr">
        <is>
          <t>Parcel Dumping</t>
        </is>
      </c>
      <c r="J341" s="30" t="inlineStr">
        <is>
          <t xml:space="preserve">Driver left the parcel unattended and customer did not receive it upon completed on 17/9/2026. After complaint was made, REC already revert the status </t>
        </is>
      </c>
      <c r="K341" s="30" t="inlineStr">
        <is>
          <t>Daus</t>
        </is>
      </c>
    </row>
    <row r="342">
      <c r="A342" s="30" t="inlineStr">
        <is>
          <t>24/09/2026 16:10:41</t>
        </is>
      </c>
      <c r="B342" s="30" t="inlineStr">
        <is>
          <t>SUMORNJ3698-001</t>
        </is>
      </c>
      <c r="C342" s="30" t="inlineStr">
        <is>
          <t>263732678689</t>
        </is>
      </c>
      <c r="D342" s="30" t="inlineStr">
        <is>
          <t>91870765</t>
        </is>
      </c>
      <c r="E342" s="30" t="inlineStr">
        <is>
          <t>KV</t>
        </is>
      </c>
      <c r="F342" s="30" t="inlineStr">
        <is>
          <t>BRP</t>
        </is>
      </c>
      <c r="G342" s="30" t="inlineStr">
        <is>
          <t>OPS - BRP</t>
        </is>
      </c>
      <c r="H342" s="30" t="inlineStr">
        <is>
          <t>LM</t>
        </is>
      </c>
      <c r="I342" s="30" t="inlineStr">
        <is>
          <t>Fake Fail</t>
        </is>
      </c>
      <c r="J342" s="30" t="inlineStr">
        <is>
          <t>Invalid POD</t>
        </is>
      </c>
      <c r="K342" s="30" t="inlineStr">
        <is>
          <t xml:space="preserve">Naveen </t>
        </is>
      </c>
    </row>
    <row r="343">
      <c r="A343" s="30" t="inlineStr">
        <is>
          <t>24/09/2026 16:13:57</t>
        </is>
      </c>
      <c r="B343" s="30" t="inlineStr">
        <is>
          <t>TNGE126057319316659000</t>
        </is>
      </c>
      <c r="C343" s="30" t="inlineStr">
        <is>
          <t>260642679302</t>
        </is>
      </c>
      <c r="D343" s="30" t="inlineStr">
        <is>
          <t>91865703</t>
        </is>
      </c>
      <c r="E343" s="30" t="inlineStr">
        <is>
          <t>Southern</t>
        </is>
      </c>
      <c r="F343" s="30" t="inlineStr">
        <is>
          <t>KEM</t>
        </is>
      </c>
      <c r="G343" s="30" t="inlineStr">
        <is>
          <t>OPS - KEM</t>
        </is>
      </c>
      <c r="H343" s="30" t="inlineStr">
        <is>
          <t>LM</t>
        </is>
      </c>
      <c r="I343" s="30" t="inlineStr">
        <is>
          <t>Fake Fail</t>
        </is>
      </c>
      <c r="J343" s="30" t="inlineStr">
        <is>
          <t>invalid POD</t>
        </is>
      </c>
      <c r="K343" s="30" t="inlineStr">
        <is>
          <t>Naveen</t>
        </is>
      </c>
    </row>
    <row r="344">
      <c r="A344" s="30" t="inlineStr">
        <is>
          <t>24/09/2026 16:23:48</t>
        </is>
      </c>
      <c r="B344" s="30" t="inlineStr">
        <is>
          <t>NVMYPZXMS000048199</t>
        </is>
      </c>
      <c r="C344" s="30" t="inlineStr">
        <is>
          <t>268682676542</t>
        </is>
      </c>
      <c r="D344" s="30" t="inlineStr">
        <is>
          <t>91864428</t>
        </is>
      </c>
      <c r="E344" s="30" t="inlineStr">
        <is>
          <t>KV</t>
        </is>
      </c>
      <c r="F344" s="30" t="inlineStr">
        <is>
          <t>BTK</t>
        </is>
      </c>
      <c r="G344" s="30" t="inlineStr">
        <is>
          <t>BTK - ID - KALA</t>
        </is>
      </c>
      <c r="H344" s="30" t="inlineStr">
        <is>
          <t>LM</t>
        </is>
      </c>
      <c r="I344" s="30" t="inlineStr">
        <is>
          <t>Fake Fail</t>
        </is>
      </c>
      <c r="J344" s="30" t="inlineStr">
        <is>
          <t>invalid POD</t>
        </is>
      </c>
      <c r="K344" s="30" t="inlineStr">
        <is>
          <t>Naveen</t>
        </is>
      </c>
    </row>
    <row r="345">
      <c r="A345" s="30" t="inlineStr">
        <is>
          <t>24/09/2026 16:41:48</t>
        </is>
      </c>
      <c r="B345" s="30" t="inlineStr">
        <is>
          <t>NVMYNINJA002523907</t>
        </is>
      </c>
      <c r="C345" s="30" t="inlineStr">
        <is>
          <t>269812674597</t>
        </is>
      </c>
      <c r="D345" s="30" t="inlineStr">
        <is>
          <t>91886198</t>
        </is>
      </c>
      <c r="E345" s="30" t="inlineStr">
        <is>
          <t>Southern</t>
        </is>
      </c>
      <c r="F345" s="30" t="inlineStr">
        <is>
          <t xml:space="preserve">GLG </t>
        </is>
      </c>
      <c r="G345" s="30" t="inlineStr">
        <is>
          <t>GLG - OPS - ENGKU</t>
        </is>
      </c>
      <c r="H345" s="30" t="inlineStr">
        <is>
          <t>LM</t>
        </is>
      </c>
      <c r="I345" s="30" t="inlineStr">
        <is>
          <t>Fake Fail</t>
        </is>
      </c>
      <c r="J345" s="30" t="inlineStr">
        <is>
          <t>driver not call customer and no call log attach</t>
        </is>
      </c>
      <c r="K345" s="30" t="inlineStr">
        <is>
          <t>zati</t>
        </is>
      </c>
    </row>
    <row r="346">
      <c r="A346" s="30" t="inlineStr">
        <is>
          <t>24/09/2026 16:42:41</t>
        </is>
      </c>
      <c r="B346" s="30" t="inlineStr">
        <is>
          <t>SFDUN1551440210219233280</t>
        </is>
      </c>
      <c r="C346" s="30" t="inlineStr">
        <is>
          <t>269702674293</t>
        </is>
      </c>
      <c r="D346" s="30" t="inlineStr">
        <is>
          <t>91863698</t>
        </is>
      </c>
      <c r="E346" s="30" t="inlineStr">
        <is>
          <t>North West</t>
        </is>
      </c>
      <c r="F346" s="30" t="inlineStr">
        <is>
          <t>STW</t>
        </is>
      </c>
      <c r="G346" s="30" t="inlineStr">
        <is>
          <t xml:space="preserve">OPS - NINJAVAN SITIAWAN
</t>
        </is>
      </c>
      <c r="H346" s="30" t="inlineStr">
        <is>
          <t>LM</t>
        </is>
      </c>
      <c r="I346" s="30" t="inlineStr">
        <is>
          <t>Fake Fail</t>
        </is>
      </c>
      <c r="J346" s="30" t="inlineStr">
        <is>
          <t xml:space="preserve">Failed by OPS as call not connected and no responded text provided
</t>
        </is>
      </c>
      <c r="K346" s="30" t="inlineStr">
        <is>
          <t>Syak</t>
        </is>
      </c>
    </row>
    <row r="347">
      <c r="A347" s="30" t="inlineStr">
        <is>
          <t>24/09/2026 16:43:19</t>
        </is>
      </c>
      <c r="B347" s="30" t="inlineStr">
        <is>
          <t>ZMP274355945-2588</t>
        </is>
      </c>
      <c r="C347" s="30" t="inlineStr">
        <is>
          <t>268092675092</t>
        </is>
      </c>
      <c r="D347" s="30" t="inlineStr">
        <is>
          <t>91859281</t>
        </is>
      </c>
      <c r="E347" s="30" t="inlineStr">
        <is>
          <t>KV</t>
        </is>
      </c>
      <c r="F347" s="30" t="inlineStr">
        <is>
          <t>SEG</t>
        </is>
      </c>
      <c r="G347" s="30" t="inlineStr">
        <is>
          <t>SEG - OPS - STATION HEAD</t>
        </is>
      </c>
      <c r="H347" s="30" t="inlineStr">
        <is>
          <t>LM</t>
        </is>
      </c>
      <c r="I347" s="30" t="inlineStr">
        <is>
          <t>Fake Fail</t>
        </is>
      </c>
      <c r="J347" s="30" t="inlineStr">
        <is>
          <t>Invalid POD no location</t>
        </is>
      </c>
      <c r="K347" s="30" t="inlineStr">
        <is>
          <t>Ninja Hadif</t>
        </is>
      </c>
    </row>
    <row r="348">
      <c r="A348" s="30" t="inlineStr">
        <is>
          <t>24/09/2026 16:46:11</t>
        </is>
      </c>
      <c r="B348" s="30" t="inlineStr">
        <is>
          <t>NVMY48214000023987</t>
        </is>
      </c>
      <c r="C348" s="30" t="inlineStr">
        <is>
          <t>266442671530</t>
        </is>
      </c>
      <c r="D348" s="30" t="inlineStr">
        <is>
          <t>91801241</t>
        </is>
      </c>
      <c r="E348" s="30" t="inlineStr">
        <is>
          <t>KV</t>
        </is>
      </c>
      <c r="F348" s="30" t="inlineStr">
        <is>
          <t>SUN</t>
        </is>
      </c>
      <c r="G348" s="30" t="inlineStr">
        <is>
          <t>SUN - IR - ZULKIFLI</t>
        </is>
      </c>
      <c r="H348" s="30" t="inlineStr">
        <is>
          <t>LM</t>
        </is>
      </c>
      <c r="I348" s="30" t="inlineStr">
        <is>
          <t>Fake Fail</t>
        </is>
      </c>
      <c r="J348" s="30" t="inlineStr">
        <is>
          <t>Invalid call log/whatsapp for fail delivery</t>
        </is>
      </c>
      <c r="K348" s="30" t="inlineStr">
        <is>
          <t>Amir</t>
        </is>
      </c>
    </row>
    <row r="349">
      <c r="A349" s="30" t="inlineStr">
        <is>
          <t>24/09/2026 16:50:47</t>
        </is>
      </c>
      <c r="B349" s="30" t="inlineStr">
        <is>
          <t>NVMYTEPIS000003841</t>
        </is>
      </c>
      <c r="C349" s="30" t="inlineStr">
        <is>
          <t>265462674986</t>
        </is>
      </c>
      <c r="D349" s="30" t="inlineStr">
        <is>
          <t>91877414</t>
        </is>
      </c>
      <c r="E349" s="30" t="inlineStr">
        <is>
          <t>KV</t>
        </is>
      </c>
      <c r="F349" s="30" t="inlineStr">
        <is>
          <t>OUG</t>
        </is>
      </c>
      <c r="G349" s="30" t="inlineStr">
        <is>
          <t>OPS - OUG</t>
        </is>
      </c>
      <c r="H349" s="30" t="inlineStr">
        <is>
          <t>LM</t>
        </is>
      </c>
      <c r="I349" s="30" t="inlineStr">
        <is>
          <t>Fake Fail</t>
        </is>
      </c>
      <c r="J349" s="30" t="inlineStr">
        <is>
          <t>Invalid call log and invalid photo of location</t>
        </is>
      </c>
      <c r="K349" s="30" t="inlineStr">
        <is>
          <t>Naveen</t>
        </is>
      </c>
    </row>
    <row r="350">
      <c r="A350" s="30" t="inlineStr">
        <is>
          <t>25/09/2026 09:36:02</t>
        </is>
      </c>
      <c r="B350" s="30" t="inlineStr">
        <is>
          <t>NVMYNINJA002519071</t>
        </is>
      </c>
      <c r="C350" s="30" t="inlineStr">
        <is>
          <t>262472673389</t>
        </is>
      </c>
      <c r="D350" s="30" t="inlineStr">
        <is>
          <t>91857209</t>
        </is>
      </c>
      <c r="E350" s="30" t="inlineStr">
        <is>
          <t>Northern</t>
        </is>
      </c>
      <c r="F350" s="30" t="inlineStr">
        <is>
          <t>KGR</t>
        </is>
      </c>
      <c r="G350" s="30" t="inlineStr">
        <is>
          <t>KGR - ID - AFFENDI IBRAHIM</t>
        </is>
      </c>
      <c r="H350" s="30" t="inlineStr">
        <is>
          <t>LM</t>
        </is>
      </c>
      <c r="I350" s="30" t="inlineStr">
        <is>
          <t>Parcel Dumping</t>
        </is>
      </c>
      <c r="J350" s="30" t="inlineStr">
        <is>
          <t>driver dropped parcel at customer shop without permission 
customer got parcel after made complaint</t>
        </is>
      </c>
      <c r="K350" s="30" t="inlineStr">
        <is>
          <t>Ninja Hadif</t>
        </is>
      </c>
    </row>
    <row r="351">
      <c r="A351" s="30" t="inlineStr">
        <is>
          <t>24/09/2026 16:54:10</t>
        </is>
      </c>
      <c r="B351" s="30" t="inlineStr">
        <is>
          <t>NVMYMVBLY050581976</t>
        </is>
      </c>
      <c r="C351" s="30" t="inlineStr">
        <is>
          <t>269612679036</t>
        </is>
      </c>
      <c r="D351" s="30" t="inlineStr">
        <is>
          <t>91865576 &amp; 91874209</t>
        </is>
      </c>
      <c r="E351" s="30" t="inlineStr">
        <is>
          <t>North West</t>
        </is>
      </c>
      <c r="F351" s="30" t="inlineStr">
        <is>
          <t xml:space="preserve">TPG </t>
        </is>
      </c>
      <c r="G351" s="30" t="inlineStr">
        <is>
          <t xml:space="preserve">TPG - ID - FARID WAHIDIN
</t>
        </is>
      </c>
      <c r="H351" s="30" t="inlineStr">
        <is>
          <t>LM</t>
        </is>
      </c>
      <c r="I351" s="30" t="inlineStr">
        <is>
          <t>Fake Fail</t>
        </is>
      </c>
      <c r="J351" s="30" t="inlineStr">
        <is>
          <t xml:space="preserve">Call log did not show cust number and cust also claim no call was given. </t>
        </is>
      </c>
      <c r="K351" s="30" t="inlineStr">
        <is>
          <t>Syak</t>
        </is>
      </c>
    </row>
    <row r="352">
      <c r="A352" s="30" t="inlineStr">
        <is>
          <t>24/09/2026 16:54:34</t>
        </is>
      </c>
      <c r="B352" s="30" t="inlineStr">
        <is>
          <t>NVMYCRGMABP3888094</t>
        </is>
      </c>
      <c r="C352" s="30" t="inlineStr">
        <is>
          <t>267712671424</t>
        </is>
      </c>
      <c r="D352" s="30" t="inlineStr">
        <is>
          <t>91865703</t>
        </is>
      </c>
      <c r="E352" s="30" t="inlineStr">
        <is>
          <t>Southern</t>
        </is>
      </c>
      <c r="F352" s="30" t="inlineStr">
        <is>
          <t>KEM</t>
        </is>
      </c>
      <c r="G352" s="30" t="inlineStr">
        <is>
          <t>OPS - KEM</t>
        </is>
      </c>
      <c r="H352" s="30" t="inlineStr">
        <is>
          <t>LM</t>
        </is>
      </c>
      <c r="I352" s="30" t="inlineStr">
        <is>
          <t>Fake Fail</t>
        </is>
      </c>
      <c r="J352" s="30" t="inlineStr">
        <is>
          <t xml:space="preserve">No call log provided </t>
        </is>
      </c>
      <c r="K352" s="30" t="inlineStr">
        <is>
          <t xml:space="preserve">Izzni </t>
        </is>
      </c>
    </row>
    <row r="353">
      <c r="A353" s="30" t="inlineStr">
        <is>
          <t>24/09/2026 16:56:38</t>
        </is>
      </c>
      <c r="B353" s="30" t="inlineStr">
        <is>
          <t>TRESA372646401</t>
        </is>
      </c>
      <c r="C353" s="30" t="inlineStr">
        <is>
          <t>264062673563</t>
        </is>
      </c>
      <c r="D353" s="30" t="inlineStr">
        <is>
          <t>91876360</t>
        </is>
      </c>
      <c r="E353" s="30" t="inlineStr">
        <is>
          <t>East MY</t>
        </is>
      </c>
      <c r="F353" s="30" t="inlineStr">
        <is>
          <t>BTU</t>
        </is>
      </c>
      <c r="G353" s="30" t="inlineStr">
        <is>
          <t xml:space="preserve">OPS - NV Address BTU
</t>
        </is>
      </c>
      <c r="H353" s="30" t="inlineStr">
        <is>
          <t>LM</t>
        </is>
      </c>
      <c r="I353" s="30" t="inlineStr">
        <is>
          <t>Fake Fail</t>
        </is>
      </c>
      <c r="J353" s="30" t="inlineStr">
        <is>
          <t xml:space="preserve">Ops fails delivery without Call to cust </t>
        </is>
      </c>
      <c r="K353" s="30" t="inlineStr">
        <is>
          <t>Syak</t>
        </is>
      </c>
    </row>
    <row r="354">
      <c r="A354" s="30" t="inlineStr">
        <is>
          <t>24/09/2026 17:16:29</t>
        </is>
      </c>
      <c r="B354" s="30" t="inlineStr">
        <is>
          <t>NVMYSILKN000018213</t>
        </is>
      </c>
      <c r="C354" s="30" t="inlineStr">
        <is>
          <t>266622677430</t>
        </is>
      </c>
      <c r="D354" s="30" t="inlineStr">
        <is>
          <t>91886198</t>
        </is>
      </c>
      <c r="E354" s="30" t="inlineStr">
        <is>
          <t>Southern</t>
        </is>
      </c>
      <c r="F354" s="30" t="inlineStr">
        <is>
          <t xml:space="preserve">GLG </t>
        </is>
      </c>
      <c r="G354" s="30" t="inlineStr">
        <is>
          <t>GLG - OPS - ENGKU</t>
        </is>
      </c>
      <c r="H354" s="30" t="inlineStr">
        <is>
          <t>LM</t>
        </is>
      </c>
      <c r="I354" s="30" t="inlineStr">
        <is>
          <t>Fake Fail</t>
        </is>
      </c>
      <c r="J354" s="30" t="inlineStr">
        <is>
          <t xml:space="preserve">invalid POD, fail under ops </t>
        </is>
      </c>
      <c r="K354" s="30" t="inlineStr">
        <is>
          <t xml:space="preserve">Yana </t>
        </is>
      </c>
    </row>
    <row r="355">
      <c r="A355" s="30" t="inlineStr">
        <is>
          <t>24/09/2026 17:23:02</t>
        </is>
      </c>
      <c r="B355" s="30" t="inlineStr">
        <is>
          <t>MYNJV70043925628</t>
        </is>
      </c>
      <c r="C355" s="30" t="inlineStr">
        <is>
          <t>265922678544</t>
        </is>
      </c>
      <c r="D355" s="30" t="inlineStr">
        <is>
          <t>91844823 &amp; 91858116</t>
        </is>
      </c>
      <c r="E355" s="30" t="inlineStr">
        <is>
          <t>Southern</t>
        </is>
      </c>
      <c r="F355" s="30" t="inlineStr">
        <is>
          <t>LKN</t>
        </is>
      </c>
      <c r="G355" s="30" t="inlineStr">
        <is>
          <t xml:space="preserve">SWG - HD - NUH &amp; LKN - ID - TASYAH
</t>
        </is>
      </c>
      <c r="H355" s="30" t="inlineStr">
        <is>
          <t>LM</t>
        </is>
      </c>
      <c r="I355" s="30" t="inlineStr">
        <is>
          <t>Fake Fail</t>
        </is>
      </c>
      <c r="J355" s="30" t="inlineStr">
        <is>
          <t>Driver attach POD location not clear and showing cust location. Cust also complaint not rcvd any call</t>
        </is>
      </c>
      <c r="K355" s="30" t="inlineStr">
        <is>
          <t>Syak</t>
        </is>
      </c>
    </row>
    <row r="356">
      <c r="A356" s="30" t="inlineStr">
        <is>
          <t>24/09/2026 17:31:26</t>
        </is>
      </c>
      <c r="B356" s="30" t="inlineStr">
        <is>
          <t>SYI1551535855957438464</t>
        </is>
      </c>
      <c r="C356" s="30" t="inlineStr">
        <is>
          <t>265492679385</t>
        </is>
      </c>
      <c r="D356" s="30" t="inlineStr">
        <is>
          <t>91872289</t>
        </is>
      </c>
      <c r="E356" s="30" t="inlineStr">
        <is>
          <t>KV</t>
        </is>
      </c>
      <c r="F356" s="30" t="inlineStr">
        <is>
          <t xml:space="preserve">BTR </t>
        </is>
      </c>
      <c r="G356" s="30" t="inlineStr">
        <is>
          <t xml:space="preserve">BTR - ID - KHAIRAN
</t>
        </is>
      </c>
      <c r="H356" s="30" t="inlineStr">
        <is>
          <t>LM</t>
        </is>
      </c>
      <c r="I356" s="30" t="inlineStr">
        <is>
          <t>Fake Fail</t>
        </is>
      </c>
      <c r="J356" s="30" t="inlineStr">
        <is>
          <t>POD was invalid as no call and text given to the customer</t>
        </is>
      </c>
      <c r="K356" s="30" t="inlineStr">
        <is>
          <t>Syak</t>
        </is>
      </c>
    </row>
    <row r="357">
      <c r="A357" s="30" t="inlineStr">
        <is>
          <t>24/09/2026 17:33:46</t>
        </is>
      </c>
      <c r="B357" s="30" t="inlineStr">
        <is>
          <t>TNGEO202609041001249005</t>
        </is>
      </c>
      <c r="C357" s="30" t="inlineStr">
        <is>
          <t>263532673765</t>
        </is>
      </c>
      <c r="D357" s="30" t="inlineStr">
        <is>
          <t>91874508</t>
        </is>
      </c>
      <c r="E357" s="30" t="inlineStr">
        <is>
          <t>East MY</t>
        </is>
      </c>
      <c r="F357" s="30" t="inlineStr">
        <is>
          <t xml:space="preserve">LBN </t>
        </is>
      </c>
      <c r="G357" s="30" t="inlineStr">
        <is>
          <t>LBN - ID - AMIR</t>
        </is>
      </c>
      <c r="H357" s="30" t="inlineStr">
        <is>
          <t>LM</t>
        </is>
      </c>
      <c r="I357" s="30" t="inlineStr">
        <is>
          <t>Deliver to Wrong Address</t>
        </is>
      </c>
      <c r="J357" s="30" t="inlineStr">
        <is>
          <t>the driver delivered the parcel to wrong address instead of customers address</t>
        </is>
      </c>
      <c r="K357" s="30" t="inlineStr">
        <is>
          <t>Naveen</t>
        </is>
      </c>
    </row>
    <row r="358">
      <c r="A358" s="30" t="inlineStr">
        <is>
          <t>24/09/2026 17:43:50</t>
        </is>
      </c>
      <c r="B358" s="30" t="inlineStr">
        <is>
          <t>NVMYAJUNA093311976</t>
        </is>
      </c>
      <c r="C358" s="30" t="inlineStr">
        <is>
          <t>264852675646</t>
        </is>
      </c>
      <c r="D358" s="30" t="inlineStr">
        <is>
          <t>91874233</t>
        </is>
      </c>
      <c r="E358" s="30" t="inlineStr">
        <is>
          <t>Southern</t>
        </is>
      </c>
      <c r="F358" s="30" t="inlineStr">
        <is>
          <t>BPT</t>
        </is>
      </c>
      <c r="G358" s="30" t="inlineStr">
        <is>
          <t xml:space="preserve">OPS - BPT
</t>
        </is>
      </c>
      <c r="H358" s="30" t="inlineStr">
        <is>
          <t>LM</t>
        </is>
      </c>
      <c r="I358" s="30" t="inlineStr">
        <is>
          <t>Fake Fail</t>
        </is>
      </c>
      <c r="J358" s="30" t="inlineStr">
        <is>
          <t>There is no call connected attached</t>
        </is>
      </c>
      <c r="K358" s="30" t="inlineStr">
        <is>
          <t>Syak</t>
        </is>
      </c>
    </row>
    <row r="359">
      <c r="A359" s="30" t="inlineStr">
        <is>
          <t>24/09/2026 18:01:24</t>
        </is>
      </c>
      <c r="B359" s="30" t="inlineStr">
        <is>
          <t>NVMYHNIKJ0316706CC</t>
        </is>
      </c>
      <c r="C359" s="30" t="inlineStr">
        <is>
          <t>267662678791</t>
        </is>
      </c>
      <c r="D359" s="30" t="inlineStr">
        <is>
          <t>91877435</t>
        </is>
      </c>
      <c r="E359" s="30" t="inlineStr">
        <is>
          <t>Northern</t>
        </is>
      </c>
      <c r="F359" s="30" t="inlineStr">
        <is>
          <t xml:space="preserve">GEO </t>
        </is>
      </c>
      <c r="G359" s="30" t="inlineStr">
        <is>
          <t>GEO - OPS - PULAU TIKUS</t>
        </is>
      </c>
      <c r="H359" s="30" t="inlineStr">
        <is>
          <t>LM</t>
        </is>
      </c>
      <c r="I359" s="30" t="inlineStr">
        <is>
          <t>Fake Fail</t>
        </is>
      </c>
      <c r="J359" s="30" t="inlineStr">
        <is>
          <t>invalid call log and no photo of location provided</t>
        </is>
      </c>
      <c r="K359" s="30" t="inlineStr">
        <is>
          <t xml:space="preserve">Naveen </t>
        </is>
      </c>
    </row>
    <row r="360">
      <c r="A360" s="30" t="inlineStr">
        <is>
          <t>24/09/2026 18:02:42</t>
        </is>
      </c>
      <c r="B360" s="30" t="inlineStr">
        <is>
          <t>NVMYAR11V000137129</t>
        </is>
      </c>
      <c r="C360" s="30" t="inlineStr">
        <is>
          <t>269582678927</t>
        </is>
      </c>
      <c r="D360" s="30" t="inlineStr">
        <is>
          <t>91860988</t>
        </is>
      </c>
      <c r="E360" s="30" t="inlineStr">
        <is>
          <t>Southern</t>
        </is>
      </c>
      <c r="F360" s="30" t="inlineStr">
        <is>
          <t>AUS</t>
        </is>
      </c>
      <c r="G360" s="30" t="inlineStr">
        <is>
          <t>OPSAUS</t>
        </is>
      </c>
      <c r="H360" s="30" t="inlineStr">
        <is>
          <t>LM</t>
        </is>
      </c>
      <c r="I360" s="30" t="inlineStr">
        <is>
          <t>CMI (Can't Make It)</t>
        </is>
      </c>
      <c r="J360" s="30" t="inlineStr">
        <is>
          <t xml:space="preserve">Forced failure issue. </t>
        </is>
      </c>
      <c r="K360" s="30" t="inlineStr">
        <is>
          <t>Syak</t>
        </is>
      </c>
    </row>
    <row r="361">
      <c r="A361" s="30" t="inlineStr">
        <is>
          <t>25/09/2026 08:03:49</t>
        </is>
      </c>
      <c r="B361" s="30" t="inlineStr">
        <is>
          <t xml:space="preserve">AEMYA000633717 </t>
        </is>
      </c>
      <c r="C361" s="30" t="inlineStr">
        <is>
          <t>264622672048</t>
        </is>
      </c>
      <c r="D361" s="30" t="inlineStr">
        <is>
          <t>91886198</t>
        </is>
      </c>
      <c r="E361" s="30" t="inlineStr">
        <is>
          <t>Southern</t>
        </is>
      </c>
      <c r="F361" s="30" t="inlineStr">
        <is>
          <t xml:space="preserve">GLG </t>
        </is>
      </c>
      <c r="G361" s="30" t="inlineStr">
        <is>
          <t xml:space="preserve">GLG - OPS - ENGKU
</t>
        </is>
      </c>
      <c r="H361" s="30" t="inlineStr">
        <is>
          <t>LM</t>
        </is>
      </c>
      <c r="I361" s="30" t="inlineStr">
        <is>
          <t>Fake Fail</t>
        </is>
      </c>
      <c r="J361" s="30" t="inlineStr">
        <is>
          <t xml:space="preserve">Customer not received call </t>
        </is>
      </c>
      <c r="K361" s="30" t="inlineStr">
        <is>
          <t xml:space="preserve">Syafiq </t>
        </is>
      </c>
    </row>
    <row r="362">
      <c r="A362" s="30" t="inlineStr">
        <is>
          <t>25/09/2026 08:14:10</t>
        </is>
      </c>
      <c r="B362" s="30" t="inlineStr">
        <is>
          <t>ZMP212761945-9199</t>
        </is>
      </c>
      <c r="C362" s="30" t="inlineStr">
        <is>
          <t>263592671774</t>
        </is>
      </c>
      <c r="D362" s="30" t="inlineStr">
        <is>
          <t>91877279</t>
        </is>
      </c>
      <c r="E362" s="30" t="inlineStr">
        <is>
          <t>Southern</t>
        </is>
      </c>
      <c r="F362" s="30" t="inlineStr">
        <is>
          <t xml:space="preserve">LKN </t>
        </is>
      </c>
      <c r="G362" s="30" t="inlineStr">
        <is>
          <t>LKN - ID - HAMIZAN</t>
        </is>
      </c>
      <c r="H362" s="30" t="inlineStr">
        <is>
          <t>LM</t>
        </is>
      </c>
      <c r="I362" s="30" t="inlineStr">
        <is>
          <t>Fake Fail</t>
        </is>
      </c>
      <c r="J362" s="30" t="inlineStr">
        <is>
          <t xml:space="preserve">The call log is not connected and Whatsapp no response. Picture of location also is not provided. </t>
        </is>
      </c>
      <c r="K362" s="30" t="inlineStr">
        <is>
          <t xml:space="preserve">Izzni </t>
        </is>
      </c>
    </row>
    <row r="363">
      <c r="A363" s="30" t="inlineStr">
        <is>
          <t>25/09/2026 08:19:28</t>
        </is>
      </c>
      <c r="B363" s="30" t="inlineStr">
        <is>
          <t xml:space="preserve">MYNJV70005976008
 </t>
        </is>
      </c>
      <c r="C363" s="30" t="inlineStr">
        <is>
          <t>263402678738</t>
        </is>
      </c>
      <c r="D363" s="30" t="inlineStr">
        <is>
          <t>91885953</t>
        </is>
      </c>
      <c r="E363" s="30" t="inlineStr">
        <is>
          <t>KV</t>
        </is>
      </c>
      <c r="F363" s="30" t="inlineStr">
        <is>
          <t>BMC</t>
        </is>
      </c>
      <c r="G363" s="30" t="inlineStr">
        <is>
          <t xml:space="preserve">OPS - BMC
</t>
        </is>
      </c>
      <c r="H363" s="30" t="inlineStr">
        <is>
          <t>LM</t>
        </is>
      </c>
      <c r="I363" s="30" t="inlineStr">
        <is>
          <t>Fake Fail</t>
        </is>
      </c>
      <c r="J363" s="30" t="inlineStr">
        <is>
          <t xml:space="preserve">No call from driver </t>
        </is>
      </c>
      <c r="K363" s="30" t="inlineStr">
        <is>
          <t xml:space="preserve">Syafiq </t>
        </is>
      </c>
    </row>
    <row r="364">
      <c r="A364" s="30" t="inlineStr">
        <is>
          <t>25/09/2026 08:23:39</t>
        </is>
      </c>
      <c r="B364" s="30" t="inlineStr">
        <is>
          <t>NVMYDLRA000DL80075</t>
        </is>
      </c>
      <c r="C364" s="30" t="inlineStr">
        <is>
          <t>260932670128</t>
        </is>
      </c>
      <c r="D364" s="30" t="inlineStr">
        <is>
          <t>91865960</t>
        </is>
      </c>
      <c r="E364" s="30" t="inlineStr">
        <is>
          <t>Southern</t>
        </is>
      </c>
      <c r="F364" s="30" t="inlineStr">
        <is>
          <t>TRM</t>
        </is>
      </c>
      <c r="G364" s="30" t="inlineStr">
        <is>
          <t>TRM - OPS - ULU TIRAM</t>
        </is>
      </c>
      <c r="H364" s="30" t="inlineStr">
        <is>
          <t>LM</t>
        </is>
      </c>
      <c r="I364" s="30" t="inlineStr">
        <is>
          <t>Fake Fail</t>
        </is>
      </c>
      <c r="J364" s="30" t="inlineStr">
        <is>
          <t xml:space="preserve">Call log is not connected and Whatsapp blocked </t>
        </is>
      </c>
      <c r="K364" s="30" t="inlineStr">
        <is>
          <t xml:space="preserve">Izzni </t>
        </is>
      </c>
    </row>
    <row r="365">
      <c r="A365" s="30" t="inlineStr">
        <is>
          <t>25/09/2026 08:25:41</t>
        </is>
      </c>
      <c r="B365" s="30" t="inlineStr">
        <is>
          <t>NVMYTEPIS000003833</t>
        </is>
      </c>
      <c r="C365" s="30" t="inlineStr">
        <is>
          <t>261232671394</t>
        </is>
      </c>
      <c r="D365" s="30" t="inlineStr">
        <is>
          <t xml:space="preserve">
91856201
91883205</t>
        </is>
      </c>
      <c r="E365" s="30" t="inlineStr">
        <is>
          <t>Southern</t>
        </is>
      </c>
      <c r="F365" s="30" t="inlineStr">
        <is>
          <t xml:space="preserve">HTM </t>
        </is>
      </c>
      <c r="G365" s="30" t="inlineStr">
        <is>
          <t xml:space="preserve">HTM - HD - SAFIQAH
</t>
        </is>
      </c>
      <c r="H365" s="30" t="inlineStr">
        <is>
          <t>LM</t>
        </is>
      </c>
      <c r="I365" s="30" t="inlineStr">
        <is>
          <t>Fake Fail</t>
        </is>
      </c>
      <c r="J365" s="30" t="inlineStr">
        <is>
          <t xml:space="preserve">POD not customer address / customer did not receiver any calls from the driver  </t>
        </is>
      </c>
      <c r="K365" s="30" t="inlineStr">
        <is>
          <t xml:space="preserve">Syafiq </t>
        </is>
      </c>
    </row>
    <row r="366">
      <c r="A366" s="30" t="inlineStr">
        <is>
          <t>25/09/2026 08:27:43</t>
        </is>
      </c>
      <c r="B366" s="30" t="inlineStr">
        <is>
          <t>MOONB1548961047584903168</t>
        </is>
      </c>
      <c r="C366" s="30" t="inlineStr">
        <is>
          <t>262732672023</t>
        </is>
      </c>
      <c r="D366" s="30" t="inlineStr">
        <is>
          <t>91859984</t>
        </is>
      </c>
      <c r="E366" s="30" t="inlineStr">
        <is>
          <t>East MY</t>
        </is>
      </c>
      <c r="F366" s="30" t="inlineStr">
        <is>
          <t>BKW</t>
        </is>
      </c>
      <c r="G366" s="30" t="inlineStr">
        <is>
          <t>BKW - ID - KENNETH</t>
        </is>
      </c>
      <c r="H366" s="30" t="inlineStr">
        <is>
          <t>LM</t>
        </is>
      </c>
      <c r="I366" s="30" t="inlineStr">
        <is>
          <t>Fake Fail</t>
        </is>
      </c>
      <c r="J366" s="30" t="inlineStr">
        <is>
          <t>The call was not connected, and no WhatsApp response was provided.</t>
        </is>
      </c>
      <c r="K366" s="30" t="inlineStr">
        <is>
          <t xml:space="preserve">Izzni </t>
        </is>
      </c>
    </row>
    <row r="367">
      <c r="A367" s="30" t="inlineStr">
        <is>
          <t>25/09/2026 08:37:56</t>
        </is>
      </c>
      <c r="B367" s="30" t="inlineStr">
        <is>
          <t>TNGDV2609196953561960</t>
        </is>
      </c>
      <c r="C367" s="30" t="inlineStr">
        <is>
          <t>264032679955</t>
        </is>
      </c>
      <c r="D367" s="30" t="inlineStr">
        <is>
          <t>91876338</t>
        </is>
      </c>
      <c r="E367" s="30" t="inlineStr">
        <is>
          <t>KV</t>
        </is>
      </c>
      <c r="F367" s="30" t="inlineStr">
        <is>
          <t>CJY</t>
        </is>
      </c>
      <c r="G367" s="30" t="inlineStr">
        <is>
          <t>CJY - ID - KHAIRUL AZMIL</t>
        </is>
      </c>
      <c r="H367" s="30" t="inlineStr">
        <is>
          <t>LM</t>
        </is>
      </c>
      <c r="I367" s="30" t="inlineStr">
        <is>
          <t>Fake Success</t>
        </is>
      </c>
      <c r="J367" s="30" t="inlineStr">
        <is>
          <t xml:space="preserve">The parcel has just been received by the cust after complaint been raised </t>
        </is>
      </c>
      <c r="K367" s="30" t="inlineStr">
        <is>
          <t xml:space="preserve">Izzni </t>
        </is>
      </c>
    </row>
    <row r="368">
      <c r="A368" s="30" t="inlineStr">
        <is>
          <t>25/09/2026 08:38:49</t>
        </is>
      </c>
      <c r="B368" s="30" t="inlineStr">
        <is>
          <t>NVMYTMTSB0TH67622I</t>
        </is>
      </c>
      <c r="C368" s="30" t="inlineStr">
        <is>
          <t>264222674428</t>
        </is>
      </c>
      <c r="D368" s="30" t="inlineStr">
        <is>
          <t>91883290</t>
        </is>
      </c>
      <c r="E368" s="30" t="inlineStr">
        <is>
          <t>Southern</t>
        </is>
      </c>
      <c r="F368" s="30" t="inlineStr">
        <is>
          <t>KEM</t>
        </is>
      </c>
      <c r="G368" s="30" t="inlineStr">
        <is>
          <t xml:space="preserve">OPS - KEM
</t>
        </is>
      </c>
      <c r="H368" s="30" t="inlineStr">
        <is>
          <t>LM</t>
        </is>
      </c>
      <c r="I368" s="30" t="inlineStr">
        <is>
          <t>Fake Fail</t>
        </is>
      </c>
      <c r="J368" s="30" t="inlineStr">
        <is>
          <t xml:space="preserve">Not received call </t>
        </is>
      </c>
      <c r="K368" s="30" t="inlineStr">
        <is>
          <t xml:space="preserve">Syafiq </t>
        </is>
      </c>
    </row>
    <row r="369">
      <c r="A369" s="30" t="inlineStr">
        <is>
          <t>25/09/2026 09:15:27</t>
        </is>
      </c>
      <c r="B369" s="30" t="inlineStr">
        <is>
          <t>MYNJV70039345518</t>
        </is>
      </c>
      <c r="C369" s="30" t="inlineStr">
        <is>
          <t>5495550445060</t>
        </is>
      </c>
      <c r="D369" s="30" t="inlineStr">
        <is>
          <t>91886242</t>
        </is>
      </c>
      <c r="E369" s="30" t="inlineStr">
        <is>
          <t>KV</t>
        </is>
      </c>
      <c r="F369" s="30" t="inlineStr">
        <is>
          <t>PKL</t>
        </is>
      </c>
      <c r="G369" s="30" t="inlineStr">
        <is>
          <t>PKL - OPS - HAFIZ</t>
        </is>
      </c>
      <c r="H369" s="30" t="inlineStr">
        <is>
          <t>LM</t>
        </is>
      </c>
      <c r="I369" s="30" t="inlineStr">
        <is>
          <t>Fake Fail</t>
        </is>
      </c>
      <c r="J369" s="30" t="inlineStr">
        <is>
          <t>POD not cust phone number</t>
        </is>
      </c>
      <c r="K369" s="30" t="inlineStr">
        <is>
          <t>Zakwan</t>
        </is>
      </c>
    </row>
    <row r="370">
      <c r="A370" s="30" t="inlineStr">
        <is>
          <t>25/09/2026 09:15:36</t>
        </is>
      </c>
      <c r="B370" s="30" t="inlineStr">
        <is>
          <t>HAWAS1551423395595153408</t>
        </is>
      </c>
      <c r="C370" s="30" t="inlineStr">
        <is>
          <t>268612685233</t>
        </is>
      </c>
      <c r="D370" s="30" t="inlineStr">
        <is>
          <t>91881207</t>
        </is>
      </c>
      <c r="E370" s="30" t="inlineStr">
        <is>
          <t>Southern</t>
        </is>
      </c>
      <c r="F370" s="30" t="inlineStr">
        <is>
          <t xml:space="preserve">BPT </t>
        </is>
      </c>
      <c r="G370" s="30" t="inlineStr">
        <is>
          <t>BPT - ID - ZULHILMI S</t>
        </is>
      </c>
      <c r="H370" s="30" t="inlineStr">
        <is>
          <t>LM</t>
        </is>
      </c>
      <c r="I370" s="30" t="inlineStr">
        <is>
          <t>Fake Fail</t>
        </is>
      </c>
      <c r="J370" s="30" t="inlineStr">
        <is>
          <t xml:space="preserve">The driver attached wrong picture of location </t>
        </is>
      </c>
      <c r="K370" s="30" t="inlineStr">
        <is>
          <t xml:space="preserve">Izzni </t>
        </is>
      </c>
    </row>
    <row r="371">
      <c r="A371" s="30" t="inlineStr">
        <is>
          <t>25/09/2026 09:28:08</t>
        </is>
      </c>
      <c r="B371" s="30" t="inlineStr">
        <is>
          <t>NVMYNINJAMYRPLPV1Y</t>
        </is>
      </c>
      <c r="C371" s="30" t="inlineStr">
        <is>
          <t>261212677445</t>
        </is>
      </c>
      <c r="D371" s="30" t="inlineStr">
        <is>
          <t>91870580</t>
        </is>
      </c>
      <c r="E371" s="30" t="inlineStr">
        <is>
          <t>KV</t>
        </is>
      </c>
      <c r="F371" s="30" t="inlineStr">
        <is>
          <t>CHE</t>
        </is>
      </c>
      <c r="G371" s="30" t="inlineStr">
        <is>
          <t>CHE - ID - NAQIB</t>
        </is>
      </c>
      <c r="H371" s="30" t="inlineStr">
        <is>
          <t>LM</t>
        </is>
      </c>
      <c r="I371" s="30" t="inlineStr">
        <is>
          <t>Deliver to Wrong Address</t>
        </is>
      </c>
      <c r="J371" s="30" t="inlineStr">
        <is>
          <t>Driver delivered the parcel to the wrong address. After the complaint was raised, the driver retrieved it and redelivered it to the correct address.</t>
        </is>
      </c>
      <c r="K371" s="30" t="inlineStr">
        <is>
          <t>Huzair</t>
        </is>
      </c>
    </row>
    <row r="372">
      <c r="A372" s="30" t="inlineStr">
        <is>
          <t>25/09/2026 09:34:09</t>
        </is>
      </c>
      <c r="B372" s="30" t="inlineStr">
        <is>
          <t>TNGE126067354686503000</t>
        </is>
      </c>
      <c r="C372" s="30" t="inlineStr">
        <is>
          <t>266182687183</t>
        </is>
      </c>
      <c r="D372" s="30" t="inlineStr">
        <is>
          <t>91872286</t>
        </is>
      </c>
      <c r="E372" s="30" t="inlineStr">
        <is>
          <t>KV</t>
        </is>
      </c>
      <c r="F372" s="30" t="inlineStr">
        <is>
          <t>BTR</t>
        </is>
      </c>
      <c r="G372" s="30" t="inlineStr">
        <is>
          <t>OPS - BTR</t>
        </is>
      </c>
      <c r="H372" s="30" t="inlineStr">
        <is>
          <t>LM</t>
        </is>
      </c>
      <c r="I372" s="30" t="inlineStr">
        <is>
          <t>Fake Fail</t>
        </is>
      </c>
      <c r="J372" s="30" t="inlineStr">
        <is>
          <t>invalid photo of location and no call log provided</t>
        </is>
      </c>
      <c r="K372" s="30" t="inlineStr">
        <is>
          <t>Naveen</t>
        </is>
      </c>
    </row>
    <row r="373">
      <c r="A373" s="30" t="inlineStr">
        <is>
          <t>25/09/2026 09:59:49</t>
        </is>
      </c>
      <c r="B373" s="30" t="inlineStr">
        <is>
          <t>ESHP003314663</t>
        </is>
      </c>
      <c r="C373" s="30" t="inlineStr">
        <is>
          <t>267152672940</t>
        </is>
      </c>
      <c r="D373" s="30" t="inlineStr">
        <is>
          <t>91877325</t>
        </is>
      </c>
      <c r="E373" s="30" t="inlineStr">
        <is>
          <t>KV</t>
        </is>
      </c>
      <c r="F373" s="30" t="inlineStr">
        <is>
          <t>STL</t>
        </is>
      </c>
      <c r="G373" s="30" t="inlineStr">
        <is>
          <t>STL - IR - ROHAIZAH YAHYA</t>
        </is>
      </c>
      <c r="H373" s="30" t="inlineStr">
        <is>
          <t>LM</t>
        </is>
      </c>
      <c r="I373" s="30" t="inlineStr">
        <is>
          <t>Fake Success</t>
        </is>
      </c>
      <c r="J373" s="30" t="inlineStr">
        <is>
          <t>Customer complained about not receiving the parcel despite the status showing as completed. The customer later received the parcel after raising the complaint.</t>
        </is>
      </c>
      <c r="K373" s="30" t="inlineStr">
        <is>
          <t>Huzair</t>
        </is>
      </c>
    </row>
    <row r="374">
      <c r="A374" s="30" t="inlineStr">
        <is>
          <t>25/09/2026 10:12:32</t>
        </is>
      </c>
      <c r="B374" s="30" t="inlineStr">
        <is>
          <t>RSAPA2601402-001, RSAPA2601402-002 &amp; RSAPA2601402-003</t>
        </is>
      </c>
      <c r="C374" s="30" t="inlineStr">
        <is>
          <t>268002683038</t>
        </is>
      </c>
      <c r="D374" s="30" t="inlineStr">
        <is>
          <t>91884521</t>
        </is>
      </c>
      <c r="E374" s="30" t="inlineStr">
        <is>
          <t>Northern</t>
        </is>
      </c>
      <c r="F374" s="30" t="inlineStr">
        <is>
          <t xml:space="preserve">PSN </t>
        </is>
      </c>
      <c r="G374" s="30" t="inlineStr">
        <is>
          <t>PSN - ID - SITI KHALIJAH</t>
        </is>
      </c>
      <c r="H374" s="30" t="inlineStr">
        <is>
          <t>LM</t>
        </is>
      </c>
      <c r="I374" s="30" t="inlineStr">
        <is>
          <t>Fake Fail</t>
        </is>
      </c>
      <c r="J374" s="30" t="inlineStr">
        <is>
          <t xml:space="preserve">No confirmation from customer want to reject the parcel </t>
        </is>
      </c>
      <c r="K374" s="30" t="inlineStr">
        <is>
          <t>Daus</t>
        </is>
      </c>
    </row>
    <row r="375">
      <c r="A375" s="30" t="inlineStr">
        <is>
          <t>25/09/2026 10:14:16</t>
        </is>
      </c>
      <c r="B375" s="30" t="inlineStr">
        <is>
          <t>AMNV005965607</t>
        </is>
      </c>
      <c r="C375" s="30" t="inlineStr">
        <is>
          <t>266892688596</t>
        </is>
      </c>
      <c r="D375" s="30" t="inlineStr">
        <is>
          <t>91868772</t>
        </is>
      </c>
      <c r="E375" s="30" t="inlineStr">
        <is>
          <t>Northern</t>
        </is>
      </c>
      <c r="F375" s="30" t="inlineStr">
        <is>
          <t>JIT</t>
        </is>
      </c>
      <c r="G375" s="30" t="inlineStr">
        <is>
          <t>JIT - OPS - HUBJITRA</t>
        </is>
      </c>
      <c r="H375" s="30" t="inlineStr">
        <is>
          <t>LM</t>
        </is>
      </c>
      <c r="I375" s="30" t="inlineStr">
        <is>
          <t>Fake Fail</t>
        </is>
      </c>
      <c r="J375" s="30" t="inlineStr">
        <is>
          <t>invalid call log provided</t>
        </is>
      </c>
      <c r="K375" s="30" t="inlineStr">
        <is>
          <t>Hartini</t>
        </is>
      </c>
    </row>
    <row r="376">
      <c r="A376" s="30" t="inlineStr">
        <is>
          <t>25/09/2026 10:14:30</t>
        </is>
      </c>
      <c r="B376" s="30" t="inlineStr">
        <is>
          <t>KLNNBR004925</t>
        </is>
      </c>
      <c r="C376" s="30" t="inlineStr">
        <is>
          <t>265942682492</t>
        </is>
      </c>
      <c r="D376" s="30" t="inlineStr">
        <is>
          <t>91874827</t>
        </is>
      </c>
      <c r="E376" s="30" t="inlineStr">
        <is>
          <t>Northern</t>
        </is>
      </c>
      <c r="F376" s="30" t="inlineStr">
        <is>
          <t xml:space="preserve">GEO </t>
        </is>
      </c>
      <c r="G376" s="30" t="inlineStr">
        <is>
          <t xml:space="preserve">GEO - MES - ANWAR
</t>
        </is>
      </c>
      <c r="H376" s="30" t="inlineStr">
        <is>
          <t>LM</t>
        </is>
      </c>
      <c r="I376" s="30" t="inlineStr">
        <is>
          <t>Failed pick-up</t>
        </is>
      </c>
      <c r="J376" s="30" t="inlineStr">
        <is>
          <t xml:space="preserve">POD invalid - no call log </t>
        </is>
      </c>
      <c r="K376" s="30" t="inlineStr">
        <is>
          <t xml:space="preserve">Syafiq </t>
        </is>
      </c>
    </row>
    <row r="377">
      <c r="A377" s="30" t="inlineStr">
        <is>
          <t>25/09/2026 10:15:13</t>
        </is>
      </c>
      <c r="B377" s="30" t="inlineStr">
        <is>
          <t xml:space="preserve">NVMYDOCMY000089342 </t>
        </is>
      </c>
      <c r="C377" s="30" t="inlineStr">
        <is>
          <t>266532681084</t>
        </is>
      </c>
      <c r="D377" s="30" t="inlineStr">
        <is>
          <t>91856223</t>
        </is>
      </c>
      <c r="E377" s="30" t="inlineStr">
        <is>
          <t>KV</t>
        </is>
      </c>
      <c r="F377" s="30" t="inlineStr">
        <is>
          <t>BTR</t>
        </is>
      </c>
      <c r="G377" s="30" t="inlineStr">
        <is>
          <t xml:space="preserve">OPS - BTR
</t>
        </is>
      </c>
      <c r="H377" s="30" t="inlineStr">
        <is>
          <t>LM</t>
        </is>
      </c>
      <c r="I377" s="30" t="inlineStr">
        <is>
          <t>Fake Fail</t>
        </is>
      </c>
      <c r="J377" s="30" t="inlineStr">
        <is>
          <t xml:space="preserve">POD invalid - no call / WS </t>
        </is>
      </c>
      <c r="K377" s="30" t="inlineStr">
        <is>
          <t xml:space="preserve">Syafiq </t>
        </is>
      </c>
    </row>
    <row r="378">
      <c r="A378" s="30" t="inlineStr">
        <is>
          <t>25/09/2026 13:29:37</t>
        </is>
      </c>
      <c r="B378" s="30" t="inlineStr">
        <is>
          <t>TNGDV2609176911637730</t>
        </is>
      </c>
      <c r="C378" s="30" t="inlineStr">
        <is>
          <t>268662664989</t>
        </is>
      </c>
      <c r="D378" s="30" t="inlineStr">
        <is>
          <t>91862254</t>
        </is>
      </c>
      <c r="E378" s="30" t="inlineStr">
        <is>
          <t>KV</t>
        </is>
      </c>
      <c r="F378" s="30" t="inlineStr">
        <is>
          <t>KEP</t>
        </is>
      </c>
      <c r="G378" s="30" t="inlineStr">
        <is>
          <t>KEP - ID - RAYAN</t>
        </is>
      </c>
      <c r="H378" s="30" t="inlineStr">
        <is>
          <t>LM</t>
        </is>
      </c>
      <c r="I378" s="30" t="inlineStr">
        <is>
          <t>Deliver to Wrong Address</t>
        </is>
      </c>
      <c r="J378" s="30" t="inlineStr">
        <is>
          <t>parcel was delivered to the wrong address. status reverted - parcel will be redelivered to the correct address</t>
        </is>
      </c>
      <c r="K378" s="30" t="inlineStr">
        <is>
          <t xml:space="preserve">Putri </t>
        </is>
      </c>
    </row>
    <row r="379">
      <c r="A379" s="30" t="inlineStr">
        <is>
          <t>25/09/2026 10:20:47</t>
        </is>
      </c>
      <c r="B379" s="30" t="inlineStr">
        <is>
          <t>NVMYDRSMG000046536</t>
        </is>
      </c>
      <c r="C379" s="30" t="inlineStr">
        <is>
          <t>269742689780</t>
        </is>
      </c>
      <c r="D379" s="30" t="inlineStr">
        <is>
          <t>91883290</t>
        </is>
      </c>
      <c r="E379" s="30" t="inlineStr">
        <is>
          <t>Southern</t>
        </is>
      </c>
      <c r="F379" s="30" t="inlineStr">
        <is>
          <t xml:space="preserve">KEM </t>
        </is>
      </c>
      <c r="G379" s="30" t="inlineStr">
        <is>
          <t>OPS - KEM</t>
        </is>
      </c>
      <c r="H379" s="30" t="inlineStr">
        <is>
          <t>LM</t>
        </is>
      </c>
      <c r="I379" s="30" t="inlineStr">
        <is>
          <t>Fake Fail</t>
        </is>
      </c>
      <c r="J379" s="30" t="inlineStr">
        <is>
          <t xml:space="preserve">cust did not receive any call </t>
        </is>
      </c>
      <c r="K379" s="30" t="inlineStr">
        <is>
          <t>Hartini</t>
        </is>
      </c>
    </row>
    <row r="380">
      <c r="A380" s="30" t="inlineStr">
        <is>
          <t>25/09/2026 10:21:56</t>
        </is>
      </c>
      <c r="B380" s="30" t="inlineStr">
        <is>
          <t>NVMYN4TUP000000653-001</t>
        </is>
      </c>
      <c r="C380" s="30" t="inlineStr">
        <is>
          <t>268992678907</t>
        </is>
      </c>
      <c r="D380" s="30" t="inlineStr">
        <is>
          <t>91880791</t>
        </is>
      </c>
      <c r="E380" s="30" t="inlineStr">
        <is>
          <t>Southern</t>
        </is>
      </c>
      <c r="F380" s="30" t="inlineStr">
        <is>
          <t>CC-JHB</t>
        </is>
      </c>
      <c r="G380" s="30" t="inlineStr">
        <is>
          <t>CC - JHB - DEL - Adzmi Samad</t>
        </is>
      </c>
      <c r="H380" s="30" t="inlineStr">
        <is>
          <t>Cold Chain (CC)</t>
        </is>
      </c>
      <c r="I380" s="30" t="inlineStr">
        <is>
          <t>Deliver to Wrong Address</t>
        </is>
      </c>
      <c r="J380" s="30" t="inlineStr">
        <is>
          <t>Driver delivered the parcel to the wrong address. After the complaint was raised, the driver retrieved it and redelivered it to the correct address.</t>
        </is>
      </c>
      <c r="K380" s="30" t="inlineStr">
        <is>
          <t>Huzair</t>
        </is>
      </c>
    </row>
    <row r="381">
      <c r="A381" s="30" t="inlineStr">
        <is>
          <t>25/09/2026 10:22:47</t>
        </is>
      </c>
      <c r="B381" s="30" t="inlineStr">
        <is>
          <t xml:space="preserve">MYNJV70058725648 </t>
        </is>
      </c>
      <c r="C381" s="30" t="inlineStr">
        <is>
          <t>268842688833</t>
        </is>
      </c>
      <c r="D381" s="30" t="inlineStr">
        <is>
          <t>91881203</t>
        </is>
      </c>
      <c r="E381" s="30" t="inlineStr">
        <is>
          <t>Southern</t>
        </is>
      </c>
      <c r="F381" s="30" t="inlineStr">
        <is>
          <t>BPT</t>
        </is>
      </c>
      <c r="G381" s="30" t="inlineStr">
        <is>
          <t xml:space="preserve">OPS - BPT
</t>
        </is>
      </c>
      <c r="H381" s="30" t="inlineStr">
        <is>
          <t>LM</t>
        </is>
      </c>
      <c r="I381" s="30" t="inlineStr">
        <is>
          <t>Fake Fail</t>
        </is>
      </c>
      <c r="J381" s="30" t="inlineStr">
        <is>
          <t xml:space="preserve">POD not customer address - not receved call 
</t>
        </is>
      </c>
      <c r="K381" s="30" t="inlineStr">
        <is>
          <t xml:space="preserve">Syafiq </t>
        </is>
      </c>
    </row>
    <row r="382">
      <c r="A382" s="30" t="inlineStr">
        <is>
          <t>25/09/2026 10:31:11</t>
        </is>
      </c>
      <c r="B382" s="30" t="inlineStr">
        <is>
          <t>NVMYPKGRO000003879</t>
        </is>
      </c>
      <c r="C382" s="30" t="inlineStr">
        <is>
          <t>267602683984</t>
        </is>
      </c>
      <c r="D382" s="30" t="inlineStr">
        <is>
          <t>91875748</t>
        </is>
      </c>
      <c r="E382" s="30" t="inlineStr">
        <is>
          <t>Southern</t>
        </is>
      </c>
      <c r="F382" s="30" t="inlineStr">
        <is>
          <t xml:space="preserve">PSG </t>
        </is>
      </c>
      <c r="G382" s="30" t="inlineStr">
        <is>
          <t>PSG - OPS</t>
        </is>
      </c>
      <c r="H382" s="30" t="inlineStr">
        <is>
          <t>LM</t>
        </is>
      </c>
      <c r="I382" s="30" t="inlineStr">
        <is>
          <t>Fake Fail</t>
        </is>
      </c>
      <c r="J382" s="30" t="inlineStr">
        <is>
          <t>no valid call log and no photo of location provided</t>
        </is>
      </c>
      <c r="K382" s="30" t="inlineStr">
        <is>
          <t xml:space="preserve">Naveen </t>
        </is>
      </c>
    </row>
    <row r="383">
      <c r="A383" s="30" t="inlineStr">
        <is>
          <t>25/09/2026 10:37:10</t>
        </is>
      </c>
      <c r="B383" s="30" t="inlineStr">
        <is>
          <t>NVMYDOCMY000089617</t>
        </is>
      </c>
      <c r="C383" s="30" t="inlineStr">
        <is>
          <t>266522679650</t>
        </is>
      </c>
      <c r="D383" s="30" t="inlineStr">
        <is>
          <t>91884479</t>
        </is>
      </c>
      <c r="E383" s="30" t="inlineStr">
        <is>
          <t>South West</t>
        </is>
      </c>
      <c r="F383" s="30" t="inlineStr">
        <is>
          <t>BHU</t>
        </is>
      </c>
      <c r="G383" s="30" t="inlineStr">
        <is>
          <t>BHU - ID - RAKESH</t>
        </is>
      </c>
      <c r="H383" s="30" t="inlineStr">
        <is>
          <t>LM</t>
        </is>
      </c>
      <c r="I383" s="30" t="inlineStr">
        <is>
          <t>Fake Success</t>
        </is>
      </c>
      <c r="J383" s="30" t="inlineStr">
        <is>
          <t>Customer complained about not receiving the parcel despite the status showing as completed. The customer later received the parcel after raising the complaint.</t>
        </is>
      </c>
      <c r="K383" s="30" t="inlineStr">
        <is>
          <t>Huzair</t>
        </is>
      </c>
    </row>
    <row r="384">
      <c r="A384" s="30" t="inlineStr">
        <is>
          <t>25/09/2026 10:38:31</t>
        </is>
      </c>
      <c r="B384" s="30" t="inlineStr">
        <is>
          <t>TNGDV2609106895983080</t>
        </is>
      </c>
      <c r="C384" s="30" t="inlineStr">
        <is>
          <t>269532641538</t>
        </is>
      </c>
      <c r="D384" s="30" t="inlineStr">
        <is>
          <t>91832692</t>
        </is>
      </c>
      <c r="E384" s="30" t="inlineStr">
        <is>
          <t>East MY</t>
        </is>
      </c>
      <c r="F384" s="30" t="inlineStr">
        <is>
          <t>BKW</t>
        </is>
      </c>
      <c r="G384" s="30" t="inlineStr">
        <is>
          <t>BKW - ID - MAZUAN</t>
        </is>
      </c>
      <c r="H384" s="30" t="inlineStr">
        <is>
          <t>LM</t>
        </is>
      </c>
      <c r="I384" s="30" t="inlineStr">
        <is>
          <t>Fake Success</t>
        </is>
      </c>
      <c r="J384" s="30" t="inlineStr">
        <is>
          <t>Completed 2026-09-18 but customer not received. POD invalid, done retrieve and customer received it after complaint lodge</t>
        </is>
      </c>
      <c r="K384" s="30" t="inlineStr">
        <is>
          <t>Syaza</t>
        </is>
      </c>
    </row>
    <row r="385">
      <c r="A385" s="30" t="inlineStr">
        <is>
          <t>25/09/2026 10:51:41</t>
        </is>
      </c>
      <c r="B385" s="30" t="inlineStr">
        <is>
          <t>NVMYNINJA002526014</t>
        </is>
      </c>
      <c r="C385" s="30" t="inlineStr">
        <is>
          <t>261262684366</t>
        </is>
      </c>
      <c r="D385" s="30" t="inlineStr">
        <is>
          <t>91886123</t>
        </is>
      </c>
      <c r="E385" s="30" t="inlineStr">
        <is>
          <t>KV</t>
        </is>
      </c>
      <c r="F385" s="30" t="inlineStr">
        <is>
          <t>OUG</t>
        </is>
      </c>
      <c r="G385" s="30" t="inlineStr">
        <is>
          <t>OPS - OUG</t>
        </is>
      </c>
      <c r="H385" s="30" t="inlineStr">
        <is>
          <t>LM</t>
        </is>
      </c>
      <c r="I385" s="30" t="inlineStr">
        <is>
          <t>Fake Fail</t>
        </is>
      </c>
      <c r="J385" s="30" t="inlineStr">
        <is>
          <t>invalid call log and invalid Photo of location</t>
        </is>
      </c>
      <c r="K385" s="30" t="inlineStr">
        <is>
          <t>Naveen</t>
        </is>
      </c>
    </row>
    <row r="386">
      <c r="A386" s="30" t="inlineStr">
        <is>
          <t>25/09/2026 11:01:58</t>
        </is>
      </c>
      <c r="B386" s="30" t="inlineStr">
        <is>
          <t>NVMYHVMJB0316698CC</t>
        </is>
      </c>
      <c r="C386" s="30" t="inlineStr">
        <is>
          <t>262412681435</t>
        </is>
      </c>
      <c r="D386" s="30" t="inlineStr">
        <is>
          <t>91874449</t>
        </is>
      </c>
      <c r="E386" s="30" t="inlineStr">
        <is>
          <t>Southern</t>
        </is>
      </c>
      <c r="F386" s="30" t="inlineStr">
        <is>
          <t>NSJ</t>
        </is>
      </c>
      <c r="G386" s="30" t="inlineStr">
        <is>
          <t>OPS - NSJ</t>
        </is>
      </c>
      <c r="H386" s="30" t="inlineStr">
        <is>
          <t>LM</t>
        </is>
      </c>
      <c r="I386" s="30" t="inlineStr">
        <is>
          <t>Fake Fail</t>
        </is>
      </c>
      <c r="J386" s="30" t="inlineStr">
        <is>
          <t>No call log and photo of location provided</t>
        </is>
      </c>
      <c r="K386" s="30" t="inlineStr">
        <is>
          <t xml:space="preserve">Naveen </t>
        </is>
      </c>
    </row>
    <row r="387">
      <c r="A387" s="30" t="inlineStr">
        <is>
          <t>25/09/2026 11:15:28</t>
        </is>
      </c>
      <c r="B387" s="30" t="inlineStr">
        <is>
          <t>NVMYNINJA002503781</t>
        </is>
      </c>
      <c r="C387" s="30" t="inlineStr">
        <is>
          <t>268892682892</t>
        </is>
      </c>
      <c r="D387" s="30" t="inlineStr">
        <is>
          <t>91851116</t>
        </is>
      </c>
      <c r="E387" s="30" t="inlineStr">
        <is>
          <t>Northern</t>
        </is>
      </c>
      <c r="F387" s="30" t="inlineStr">
        <is>
          <t>BKM</t>
        </is>
      </c>
      <c r="G387" s="30" t="inlineStr">
        <is>
          <t>BKM - ID - FIKRI</t>
        </is>
      </c>
      <c r="H387" s="30" t="inlineStr">
        <is>
          <t>LM</t>
        </is>
      </c>
      <c r="I387" s="30" t="inlineStr">
        <is>
          <t>Fake Fail</t>
        </is>
      </c>
      <c r="J387" s="30" t="inlineStr">
        <is>
          <t>Driver did not properly call and invalid POD</t>
        </is>
      </c>
      <c r="K387" s="30" t="inlineStr">
        <is>
          <t>Amir</t>
        </is>
      </c>
    </row>
    <row r="388">
      <c r="A388" s="30" t="inlineStr">
        <is>
          <t>25/09/2026 11:20:36</t>
        </is>
      </c>
      <c r="B388" s="30" t="inlineStr">
        <is>
          <t>NVMYKEIMA000009699</t>
        </is>
      </c>
      <c r="C388" s="30" t="inlineStr">
        <is>
          <t>266312687939</t>
        </is>
      </c>
      <c r="D388" s="30" t="inlineStr">
        <is>
          <t>91883290</t>
        </is>
      </c>
      <c r="E388" s="30" t="inlineStr">
        <is>
          <t>Southern</t>
        </is>
      </c>
      <c r="F388" s="30" t="inlineStr">
        <is>
          <t>KEM</t>
        </is>
      </c>
      <c r="G388" s="30" t="inlineStr">
        <is>
          <t>OPS - KEM</t>
        </is>
      </c>
      <c r="H388" s="30" t="inlineStr">
        <is>
          <t>LM</t>
        </is>
      </c>
      <c r="I388" s="30" t="inlineStr">
        <is>
          <t>Fake Fail</t>
        </is>
      </c>
      <c r="J388" s="30" t="inlineStr">
        <is>
          <t xml:space="preserve">No call log attached </t>
        </is>
      </c>
      <c r="K388" s="30" t="inlineStr">
        <is>
          <t>Wani</t>
        </is>
      </c>
    </row>
    <row r="389">
      <c r="A389" s="30" t="inlineStr">
        <is>
          <t>25/09/2026 11:38:47</t>
        </is>
      </c>
      <c r="B389" s="30" t="inlineStr">
        <is>
          <t>NVMYNINJA002525652</t>
        </is>
      </c>
      <c r="C389" s="30" t="inlineStr">
        <is>
          <t>266012686660</t>
        </is>
      </c>
      <c r="D389" s="30" t="inlineStr">
        <is>
          <t>91880588</t>
        </is>
      </c>
      <c r="E389" s="30" t="inlineStr">
        <is>
          <t>KV</t>
        </is>
      </c>
      <c r="F389" s="30" t="inlineStr">
        <is>
          <t>BTR</t>
        </is>
      </c>
      <c r="G389" s="30" t="inlineStr">
        <is>
          <t>OPS - BTR</t>
        </is>
      </c>
      <c r="H389" s="30" t="inlineStr">
        <is>
          <t>LM</t>
        </is>
      </c>
      <c r="I389" s="30" t="inlineStr">
        <is>
          <t>Fake Fail</t>
        </is>
      </c>
      <c r="J389" s="30" t="inlineStr">
        <is>
          <t>no call log provided</t>
        </is>
      </c>
      <c r="K389" s="30" t="inlineStr">
        <is>
          <t>Hartini</t>
        </is>
      </c>
    </row>
    <row r="390">
      <c r="A390" s="30" t="inlineStr">
        <is>
          <t>25/09/2026 12:11:21</t>
        </is>
      </c>
      <c r="B390" s="30" t="inlineStr">
        <is>
          <t>ZMP228561945-5221</t>
        </is>
      </c>
      <c r="C390" s="30" t="inlineStr">
        <is>
          <t>266522675369</t>
        </is>
      </c>
      <c r="D390" s="30" t="inlineStr">
        <is>
          <t>91867673</t>
        </is>
      </c>
      <c r="E390" s="30" t="inlineStr">
        <is>
          <t>KV</t>
        </is>
      </c>
      <c r="F390" s="30" t="inlineStr">
        <is>
          <t xml:space="preserve">SUN </t>
        </is>
      </c>
      <c r="G390" s="30" t="inlineStr">
        <is>
          <t>SUN - IR - ZULKIFLI</t>
        </is>
      </c>
      <c r="H390" s="30" t="inlineStr">
        <is>
          <t>LM</t>
        </is>
      </c>
      <c r="I390" s="30" t="inlineStr">
        <is>
          <t>Deliver to Wrong Address</t>
        </is>
      </c>
      <c r="J390" s="30" t="inlineStr">
        <is>
          <t xml:space="preserve">Zalora claim delivered to wrong address </t>
        </is>
      </c>
      <c r="K390" s="30" t="inlineStr">
        <is>
          <t xml:space="preserve">Syafiq </t>
        </is>
      </c>
    </row>
    <row r="391">
      <c r="A391" s="30" t="inlineStr">
        <is>
          <t>25/09/2026 12:15:06</t>
        </is>
      </c>
      <c r="B391" s="30" t="inlineStr">
        <is>
          <t>WNJMY00006942908</t>
        </is>
      </c>
      <c r="C391" s="30" t="inlineStr">
        <is>
          <t>268422681109</t>
        </is>
      </c>
      <c r="D391" s="30" t="inlineStr">
        <is>
          <t xml:space="preserve">91827376
91836408
91851511
</t>
        </is>
      </c>
      <c r="E391" s="30" t="inlineStr">
        <is>
          <t>East MY</t>
        </is>
      </c>
      <c r="F391" s="30" t="inlineStr">
        <is>
          <t>BKW</t>
        </is>
      </c>
      <c r="G391" s="30" t="inlineStr">
        <is>
          <t xml:space="preserve">Muqzamir Ahmad2
aidilshazwan azamri
</t>
        </is>
      </c>
      <c r="H391" s="30" t="inlineStr">
        <is>
          <t>LM</t>
        </is>
      </c>
      <c r="I391" s="30" t="inlineStr">
        <is>
          <t>Pull Out Route (POR)</t>
        </is>
      </c>
      <c r="J391" s="30" t="inlineStr">
        <is>
          <t xml:space="preserve">POR after 3 hours driver assign </t>
        </is>
      </c>
      <c r="K391" s="30" t="inlineStr">
        <is>
          <t xml:space="preserve">Syafiq </t>
        </is>
      </c>
    </row>
    <row r="392">
      <c r="A392" s="30" t="inlineStr">
        <is>
          <t>25/09/2026 12:16:14</t>
        </is>
      </c>
      <c r="B392" s="30" t="inlineStr">
        <is>
          <t>WNJMY00006942908</t>
        </is>
      </c>
      <c r="C392" s="30" t="inlineStr">
        <is>
          <t>268422681109</t>
        </is>
      </c>
      <c r="D392" s="30" t="inlineStr">
        <is>
          <t>91859979</t>
        </is>
      </c>
      <c r="E392" s="30" t="inlineStr">
        <is>
          <t>East MY</t>
        </is>
      </c>
      <c r="F392" s="30" t="inlineStr">
        <is>
          <t xml:space="preserve">BKW </t>
        </is>
      </c>
      <c r="G392" s="30" t="inlineStr">
        <is>
          <t xml:space="preserve">BKW - OPS - SELFCOLLECT
</t>
        </is>
      </c>
      <c r="H392" s="30" t="inlineStr">
        <is>
          <t>LM</t>
        </is>
      </c>
      <c r="I392" s="30" t="inlineStr">
        <is>
          <t>Fake Fail</t>
        </is>
      </c>
      <c r="J392" s="30" t="inlineStr">
        <is>
          <t xml:space="preserve">No call log </t>
        </is>
      </c>
      <c r="K392" s="30" t="inlineStr">
        <is>
          <t xml:space="preserve">Syafiq </t>
        </is>
      </c>
    </row>
    <row r="393">
      <c r="A393" s="30" t="inlineStr">
        <is>
          <t>25/09/2026 12:19:57</t>
        </is>
      </c>
      <c r="B393" s="30" t="inlineStr">
        <is>
          <t>XHY00400946</t>
        </is>
      </c>
      <c r="C393" s="30" t="inlineStr">
        <is>
          <t>264412680326</t>
        </is>
      </c>
      <c r="D393" s="30" t="inlineStr">
        <is>
          <t>91880586</t>
        </is>
      </c>
      <c r="E393" s="30" t="inlineStr">
        <is>
          <t>KV</t>
        </is>
      </c>
      <c r="F393" s="30" t="inlineStr">
        <is>
          <t>BTR</t>
        </is>
      </c>
      <c r="G393" s="30" t="inlineStr">
        <is>
          <t xml:space="preserve">OPS - BTR
</t>
        </is>
      </c>
      <c r="H393" s="30" t="inlineStr">
        <is>
          <t>LM</t>
        </is>
      </c>
      <c r="I393" s="30" t="inlineStr">
        <is>
          <t>Fake Fail</t>
        </is>
      </c>
      <c r="J393" s="30" t="inlineStr">
        <is>
          <t xml:space="preserve">No call to customer </t>
        </is>
      </c>
      <c r="K393" s="30" t="inlineStr">
        <is>
          <t xml:space="preserve">Syafiq </t>
        </is>
      </c>
    </row>
    <row r="394">
      <c r="A394" s="30" t="inlineStr">
        <is>
          <t>25/09/2026 12:21:47</t>
        </is>
      </c>
      <c r="B394" s="30" t="inlineStr">
        <is>
          <t>MYNJV70054005568</t>
        </is>
      </c>
      <c r="C394" s="30" t="inlineStr">
        <is>
          <t>266382661632</t>
        </is>
      </c>
      <c r="D394" s="30" t="inlineStr">
        <is>
          <t>91865599</t>
        </is>
      </c>
      <c r="E394" s="30" t="inlineStr">
        <is>
          <t>KV</t>
        </is>
      </c>
      <c r="F394" s="30" t="inlineStr">
        <is>
          <t>SYH</t>
        </is>
      </c>
      <c r="G394" s="30" t="inlineStr">
        <is>
          <t>SYH - ID - MOHD EZANIE</t>
        </is>
      </c>
      <c r="H394" s="30" t="inlineStr">
        <is>
          <t>LM</t>
        </is>
      </c>
      <c r="I394" s="30" t="inlineStr">
        <is>
          <t>COD Related</t>
        </is>
      </c>
      <c r="J394" s="30" t="inlineStr">
        <is>
          <t xml:space="preserve">Customer already paid the COD to the driver (online transfer). However, when the driver arrived at customer house, he still collects the payment from her farther. Customer received the refund after raising the complaint. </t>
        </is>
      </c>
      <c r="K394" s="30" t="inlineStr">
        <is>
          <t>Huzair</t>
        </is>
      </c>
    </row>
    <row r="395">
      <c r="A395" s="30" t="inlineStr">
        <is>
          <t>25/09/2026 12:47:13</t>
        </is>
      </c>
      <c r="B395" s="30" t="inlineStr">
        <is>
          <t>NVMYJOCEL000115093</t>
        </is>
      </c>
      <c r="C395" s="30" t="inlineStr">
        <is>
          <t>266032653443</t>
        </is>
      </c>
      <c r="D395" s="30" t="inlineStr">
        <is>
          <t>91855396</t>
        </is>
      </c>
      <c r="E395" s="30" t="inlineStr">
        <is>
          <t>South West</t>
        </is>
      </c>
      <c r="F395" s="30" t="inlineStr">
        <is>
          <t>BHU</t>
        </is>
      </c>
      <c r="G395" s="30" t="inlineStr">
        <is>
          <t>BHU - ID - NUR SHAHIRAH</t>
        </is>
      </c>
      <c r="H395" s="30" t="inlineStr">
        <is>
          <t>LM</t>
        </is>
      </c>
      <c r="I395" s="30" t="inlineStr">
        <is>
          <t>Deliver to Wrong Address</t>
        </is>
      </c>
      <c r="J395" s="30" t="inlineStr">
        <is>
          <t xml:space="preserve">POD show driver drop the parcel to the wrong address. </t>
        </is>
      </c>
      <c r="K395" s="30" t="inlineStr">
        <is>
          <t>Adid</t>
        </is>
      </c>
    </row>
    <row r="396">
      <c r="A396" s="30" t="inlineStr">
        <is>
          <t>25/09/2026 12:59:33</t>
        </is>
      </c>
      <c r="B396" s="30" t="inlineStr">
        <is>
          <t xml:space="preserve">NVMYQISZR00440341A
</t>
        </is>
      </c>
      <c r="C396" s="30" t="inlineStr">
        <is>
          <t>269072687362</t>
        </is>
      </c>
      <c r="D396" s="30" t="inlineStr">
        <is>
          <t>91874449</t>
        </is>
      </c>
      <c r="E396" s="30" t="inlineStr">
        <is>
          <t>KV</t>
        </is>
      </c>
      <c r="F396" s="30" t="inlineStr">
        <is>
          <t>NSJ</t>
        </is>
      </c>
      <c r="G396" s="30" t="inlineStr">
        <is>
          <t xml:space="preserve">OPS - NSJ
</t>
        </is>
      </c>
      <c r="H396" s="30" t="inlineStr">
        <is>
          <t>LM</t>
        </is>
      </c>
      <c r="I396" s="30" t="inlineStr">
        <is>
          <t>Fake Fail</t>
        </is>
      </c>
      <c r="J396" s="30" t="inlineStr">
        <is>
          <t xml:space="preserve">No call </t>
        </is>
      </c>
      <c r="K396" s="30" t="inlineStr">
        <is>
          <t xml:space="preserve">Syafiq </t>
        </is>
      </c>
    </row>
    <row r="397">
      <c r="A397" s="30" t="inlineStr">
        <is>
          <t>25/09/2026 13:30:18</t>
        </is>
      </c>
      <c r="B397" s="30" t="inlineStr">
        <is>
          <t>NVMYAXVEL000112073</t>
        </is>
      </c>
      <c r="C397" s="30" t="inlineStr">
        <is>
          <t>261562687069</t>
        </is>
      </c>
      <c r="D397" s="30" t="inlineStr">
        <is>
          <t>91871753
91881252</t>
        </is>
      </c>
      <c r="E397" s="30" t="inlineStr">
        <is>
          <t>KV</t>
        </is>
      </c>
      <c r="F397" s="30" t="inlineStr">
        <is>
          <t>DSA</t>
        </is>
      </c>
      <c r="G397" s="30" t="inlineStr">
        <is>
          <t>OPS - DSA</t>
        </is>
      </c>
      <c r="H397" s="30" t="inlineStr">
        <is>
          <t>LM</t>
        </is>
      </c>
      <c r="I397" s="30" t="inlineStr">
        <is>
          <t>Fake Fail</t>
        </is>
      </c>
      <c r="J397" s="30" t="inlineStr">
        <is>
          <t>no call log provide</t>
        </is>
      </c>
      <c r="K397" s="30" t="inlineStr">
        <is>
          <t>Hartini</t>
        </is>
      </c>
    </row>
    <row r="398">
      <c r="A398" s="30" t="inlineStr">
        <is>
          <t>25/09/2026 13:30:19</t>
        </is>
      </c>
      <c r="B398" s="30" t="inlineStr">
        <is>
          <t>AJDHU1549235139594887168</t>
        </is>
      </c>
      <c r="C398" s="30" t="inlineStr">
        <is>
          <t>268892654941</t>
        </is>
      </c>
      <c r="D398" s="30" t="inlineStr">
        <is>
          <t>91833979</t>
        </is>
      </c>
      <c r="E398" s="30" t="inlineStr">
        <is>
          <t>North East</t>
        </is>
      </c>
      <c r="F398" s="30" t="inlineStr">
        <is>
          <t>BCK</t>
        </is>
      </c>
      <c r="G398" s="30" t="inlineStr">
        <is>
          <t>BCK - HR - AMIRUL</t>
        </is>
      </c>
      <c r="H398" s="30" t="inlineStr">
        <is>
          <t>LM</t>
        </is>
      </c>
      <c r="I398" s="30" t="inlineStr">
        <is>
          <t>Deliver to Wrong Address</t>
        </is>
      </c>
      <c r="J398" s="30" t="inlineStr">
        <is>
          <t>Completed 2026-09-18 but delivered to the wrong address. Done retrieve and cust already received after complaint lodge</t>
        </is>
      </c>
      <c r="K398" s="30" t="inlineStr">
        <is>
          <t>Syaza</t>
        </is>
      </c>
    </row>
    <row r="399">
      <c r="A399" s="30" t="inlineStr">
        <is>
          <t>25/09/2026 13:30:55</t>
        </is>
      </c>
      <c r="B399" s="30" t="inlineStr">
        <is>
          <t>NVMYMASYE000000003</t>
        </is>
      </c>
      <c r="C399" s="30" t="inlineStr">
        <is>
          <t>264212686192</t>
        </is>
      </c>
      <c r="D399" s="30" t="inlineStr">
        <is>
          <t>91885057</t>
        </is>
      </c>
      <c r="E399" s="30" t="inlineStr">
        <is>
          <t>North West</t>
        </is>
      </c>
      <c r="F399" s="30" t="inlineStr">
        <is>
          <t xml:space="preserve">SLM </t>
        </is>
      </c>
      <c r="G399" s="30" t="inlineStr">
        <is>
          <t>SLM - HD - AFIQ DANIAL</t>
        </is>
      </c>
      <c r="H399" s="30" t="inlineStr">
        <is>
          <t>LM</t>
        </is>
      </c>
      <c r="I399" s="30" t="inlineStr">
        <is>
          <t>Fake Fail</t>
        </is>
      </c>
      <c r="J399" s="30" t="inlineStr">
        <is>
          <t xml:space="preserve">Invalid delivery attempt. POD invalid: Customer did not reject </t>
        </is>
      </c>
      <c r="K399" s="30" t="inlineStr">
        <is>
          <t xml:space="preserve">Putri </t>
        </is>
      </c>
    </row>
    <row r="400">
      <c r="A400" s="30" t="inlineStr">
        <is>
          <t>25/09/2026 13:56:44</t>
        </is>
      </c>
      <c r="B400" s="30" t="inlineStr">
        <is>
          <t>WESRS1551197386171473920</t>
        </is>
      </c>
      <c r="C400" s="30" t="inlineStr">
        <is>
          <t>265312665531</t>
        </is>
      </c>
      <c r="D400" s="30" t="inlineStr">
        <is>
          <t>91862279</t>
        </is>
      </c>
      <c r="E400" s="30" t="inlineStr">
        <is>
          <t>KV</t>
        </is>
      </c>
      <c r="F400" s="30" t="inlineStr">
        <is>
          <t xml:space="preserve">RWG </t>
        </is>
      </c>
      <c r="G400" s="30" t="inlineStr">
        <is>
          <t>RWG - ID - NUR ATIQAH</t>
        </is>
      </c>
      <c r="H400" s="30" t="inlineStr">
        <is>
          <t>LM</t>
        </is>
      </c>
      <c r="I400" s="30" t="inlineStr">
        <is>
          <t>Fake Success</t>
        </is>
      </c>
      <c r="J400" s="30" t="inlineStr">
        <is>
          <t>Completed 2026-09-22 but cust not received. Done retrieve and cust received it a day after complaint raised</t>
        </is>
      </c>
      <c r="K400" s="30" t="inlineStr">
        <is>
          <t>Syaza</t>
        </is>
      </c>
    </row>
    <row r="401">
      <c r="A401" s="30" t="inlineStr">
        <is>
          <t>25/09/2026 14:04:08</t>
        </is>
      </c>
      <c r="B401" s="30" t="inlineStr">
        <is>
          <t>TNGDV2609196956179110</t>
        </is>
      </c>
      <c r="C401" s="30" t="inlineStr">
        <is>
          <t>269532688067</t>
        </is>
      </c>
      <c r="D401" s="30" t="inlineStr">
        <is>
          <t>91877170
91884056</t>
        </is>
      </c>
      <c r="E401" s="30" t="inlineStr">
        <is>
          <t>Southern</t>
        </is>
      </c>
      <c r="F401" s="30" t="inlineStr">
        <is>
          <t>GLG</t>
        </is>
      </c>
      <c r="G401" s="30" t="inlineStr">
        <is>
          <t>GLG - OPS - ENGKU
GLG - ID - AHMAD ARSYHAD</t>
        </is>
      </c>
      <c r="H401" s="30" t="inlineStr">
        <is>
          <t>LM</t>
        </is>
      </c>
      <c r="I401" s="30" t="inlineStr">
        <is>
          <t>Fake Fail</t>
        </is>
      </c>
      <c r="J401" s="30" t="inlineStr">
        <is>
          <t>cust did  not receive any call</t>
        </is>
      </c>
      <c r="K401" s="30" t="inlineStr">
        <is>
          <t>Hartini</t>
        </is>
      </c>
    </row>
    <row r="402">
      <c r="A402" s="30" t="inlineStr">
        <is>
          <t>25/09/2026 14:09:28</t>
        </is>
      </c>
      <c r="B402" s="30" t="inlineStr">
        <is>
          <t>TNGDV2609126912414340</t>
        </is>
      </c>
      <c r="C402" s="30" t="inlineStr">
        <is>
          <t>267182666888</t>
        </is>
      </c>
      <c r="D402" s="30" t="inlineStr">
        <is>
          <t>91826660</t>
        </is>
      </c>
      <c r="E402" s="30" t="inlineStr">
        <is>
          <t>KV</t>
        </is>
      </c>
      <c r="F402" s="30" t="inlineStr">
        <is>
          <t xml:space="preserve">CJY </t>
        </is>
      </c>
      <c r="G402" s="30" t="inlineStr">
        <is>
          <t>CJY - ID - RICHARD DASS</t>
        </is>
      </c>
      <c r="H402" s="30" t="inlineStr">
        <is>
          <t>LM</t>
        </is>
      </c>
      <c r="I402" s="30" t="inlineStr">
        <is>
          <t>Deliver to Wrong Address</t>
        </is>
      </c>
      <c r="J402" s="30" t="inlineStr">
        <is>
          <t>Completed 2026-09-17 but cust not received. Done retrieve, parcel with Ninja Van and resume for delivery</t>
        </is>
      </c>
      <c r="K402" s="30" t="inlineStr">
        <is>
          <t>Syaza</t>
        </is>
      </c>
    </row>
    <row r="403">
      <c r="A403" s="30" t="inlineStr">
        <is>
          <t>25/09/2026 14:09:52</t>
        </is>
      </c>
      <c r="B403" s="30" t="inlineStr">
        <is>
          <t>AEMYA000637229</t>
        </is>
      </c>
      <c r="C403" s="30" t="inlineStr">
        <is>
          <t>269172685142</t>
        </is>
      </c>
      <c r="D403" s="30" t="inlineStr">
        <is>
          <t>91879934</t>
        </is>
      </c>
      <c r="E403" s="30" t="inlineStr">
        <is>
          <t>KV</t>
        </is>
      </c>
      <c r="F403" s="30" t="inlineStr">
        <is>
          <t>SUN</t>
        </is>
      </c>
      <c r="G403" s="30" t="inlineStr">
        <is>
          <t>SUN - IR - AISYAH</t>
        </is>
      </c>
      <c r="H403" s="30" t="inlineStr">
        <is>
          <t>LM</t>
        </is>
      </c>
      <c r="I403" s="30" t="inlineStr">
        <is>
          <t>Fake Fail</t>
        </is>
      </c>
      <c r="J403" s="30" t="inlineStr">
        <is>
          <t>Cust claim pod is not cust place</t>
        </is>
      </c>
      <c r="K403" s="30" t="inlineStr">
        <is>
          <t>Hartini</t>
        </is>
      </c>
    </row>
    <row r="404">
      <c r="A404" s="30" t="inlineStr">
        <is>
          <t>25/09/2026 14:15:25</t>
        </is>
      </c>
      <c r="B404" s="30" t="inlineStr">
        <is>
          <t>NVMYMAOPT000056705</t>
        </is>
      </c>
      <c r="C404" s="30" t="inlineStr">
        <is>
          <t>261522684438</t>
        </is>
      </c>
      <c r="D404" s="30" t="inlineStr">
        <is>
          <t>91875748</t>
        </is>
      </c>
      <c r="E404" s="30" t="inlineStr">
        <is>
          <t>Southern</t>
        </is>
      </c>
      <c r="F404" s="30" t="inlineStr">
        <is>
          <t xml:space="preserve">PSG </t>
        </is>
      </c>
      <c r="G404" s="30" t="inlineStr">
        <is>
          <t>PSG - OPS</t>
        </is>
      </c>
      <c r="H404" s="30" t="inlineStr">
        <is>
          <t>LM</t>
        </is>
      </c>
      <c r="I404" s="30" t="inlineStr">
        <is>
          <t>Fake Fail</t>
        </is>
      </c>
      <c r="J404" s="30" t="inlineStr">
        <is>
          <t>cust did not receive any call</t>
        </is>
      </c>
      <c r="K404" s="30" t="inlineStr">
        <is>
          <t>Hartini</t>
        </is>
      </c>
    </row>
    <row r="405">
      <c r="A405" s="30" t="inlineStr">
        <is>
          <t>25/09/2026 14:16:52</t>
        </is>
      </c>
      <c r="B405" s="30" t="inlineStr">
        <is>
          <t>NVMYMAOPT000056705</t>
        </is>
      </c>
      <c r="C405" s="30" t="inlineStr">
        <is>
          <t>261522684438</t>
        </is>
      </c>
      <c r="D405" s="30" t="inlineStr">
        <is>
          <t>91884344</t>
        </is>
      </c>
      <c r="E405" s="30" t="inlineStr">
        <is>
          <t>Southern</t>
        </is>
      </c>
      <c r="F405" s="30" t="inlineStr">
        <is>
          <t>PSG</t>
        </is>
      </c>
      <c r="G405" s="30" t="inlineStr">
        <is>
          <t>firdaus asri1</t>
        </is>
      </c>
      <c r="H405" s="30" t="inlineStr">
        <is>
          <t>LM</t>
        </is>
      </c>
      <c r="I405" s="30" t="inlineStr">
        <is>
          <t>Pull Out Route (POR)</t>
        </is>
      </c>
      <c r="J405" s="30" t="inlineStr">
        <is>
          <t>pull out route on 2026-09-25 09:16:54 by firdaus asri1</t>
        </is>
      </c>
      <c r="K405" s="30" t="inlineStr">
        <is>
          <t>Hartini</t>
        </is>
      </c>
    </row>
    <row r="406">
      <c r="A406" s="30" t="inlineStr">
        <is>
          <t>25/09/2026 14:18:26</t>
        </is>
      </c>
      <c r="B406" s="30" t="inlineStr">
        <is>
          <t>TNGE326020018325386770</t>
        </is>
      </c>
      <c r="C406" s="30" t="inlineStr">
        <is>
          <t>262482666225</t>
        </is>
      </c>
      <c r="D406" s="30" t="inlineStr">
        <is>
          <t>91851407</t>
        </is>
      </c>
      <c r="E406" s="30" t="inlineStr">
        <is>
          <t>Northern</t>
        </is>
      </c>
      <c r="F406" s="30" t="inlineStr">
        <is>
          <t xml:space="preserve">SIM </t>
        </is>
      </c>
      <c r="G406" s="30" t="inlineStr">
        <is>
          <t>SIM - ID - IMRANNN</t>
        </is>
      </c>
      <c r="H406" s="30" t="inlineStr">
        <is>
          <t>LM</t>
        </is>
      </c>
      <c r="I406" s="30" t="inlineStr">
        <is>
          <t>Deliver to Wrong Address</t>
        </is>
      </c>
      <c r="J406" s="30" t="inlineStr">
        <is>
          <t>Completed 2026-09-20 but cust not received. Done retrieve and cust received after complaint lodge</t>
        </is>
      </c>
      <c r="K406" s="30" t="inlineStr">
        <is>
          <t>Syaza</t>
        </is>
      </c>
    </row>
    <row r="407">
      <c r="A407" s="30" t="inlineStr">
        <is>
          <t>25/09/2026 14:19:52</t>
        </is>
      </c>
      <c r="B407" s="30" t="inlineStr">
        <is>
          <t>HAFDA1551311816403288064</t>
        </is>
      </c>
      <c r="C407" s="30" t="inlineStr">
        <is>
          <t>260022682371</t>
        </is>
      </c>
      <c r="D407" s="30" t="inlineStr">
        <is>
          <t>91868637</t>
        </is>
      </c>
      <c r="E407" s="30" t="inlineStr">
        <is>
          <t>Southern</t>
        </is>
      </c>
      <c r="F407" s="30" t="inlineStr">
        <is>
          <t>GLG</t>
        </is>
      </c>
      <c r="G407" s="30" t="inlineStr">
        <is>
          <t>GLG - OPS - ENGKU</t>
        </is>
      </c>
      <c r="H407" s="30" t="inlineStr">
        <is>
          <t>LM</t>
        </is>
      </c>
      <c r="I407" s="30" t="inlineStr">
        <is>
          <t>Fake Fail</t>
        </is>
      </c>
      <c r="J407" s="30" t="inlineStr">
        <is>
          <t>cust did not receive the any call</t>
        </is>
      </c>
      <c r="K407" s="30" t="inlineStr">
        <is>
          <t>Hartini</t>
        </is>
      </c>
    </row>
    <row r="408">
      <c r="A408" s="30" t="inlineStr">
        <is>
          <t>25/09/2026 14:26:54</t>
        </is>
      </c>
      <c r="B408" s="30" t="inlineStr">
        <is>
          <t>NVMYVNTRL00095212A</t>
        </is>
      </c>
      <c r="C408" s="30" t="inlineStr">
        <is>
          <t>263722661414</t>
        </is>
      </c>
      <c r="D408" s="30" t="inlineStr">
        <is>
          <t>91843758</t>
        </is>
      </c>
      <c r="E408" s="30" t="inlineStr">
        <is>
          <t>KV</t>
        </is>
      </c>
      <c r="F408" s="30" t="inlineStr">
        <is>
          <t xml:space="preserve">CJY </t>
        </is>
      </c>
      <c r="G408" s="30" t="inlineStr">
        <is>
          <t>CJY - ID - RAUDHA</t>
        </is>
      </c>
      <c r="H408" s="30" t="inlineStr">
        <is>
          <t>LM</t>
        </is>
      </c>
      <c r="I408" s="30" t="inlineStr">
        <is>
          <t>Deliver to Wrong Address</t>
        </is>
      </c>
      <c r="J408" s="30" t="inlineStr">
        <is>
          <t>Completed 2026-09-19 but delivered to the wrong location. done retrieve and send to the correct address</t>
        </is>
      </c>
      <c r="K408" s="30" t="inlineStr">
        <is>
          <t>Syaza</t>
        </is>
      </c>
    </row>
    <row r="409">
      <c r="A409" s="30" t="inlineStr">
        <is>
          <t>25/09/2026 14:35:23</t>
        </is>
      </c>
      <c r="B409" s="30" t="inlineStr">
        <is>
          <t>NVMYFRSTG000015878</t>
        </is>
      </c>
      <c r="C409" s="30" t="inlineStr">
        <is>
          <t>263072667672</t>
        </is>
      </c>
      <c r="D409" s="30" t="inlineStr">
        <is>
          <t>91843431</t>
        </is>
      </c>
      <c r="E409" s="30" t="inlineStr">
        <is>
          <t>KV</t>
        </is>
      </c>
      <c r="F409" s="30" t="inlineStr">
        <is>
          <t xml:space="preserve">SZB </t>
        </is>
      </c>
      <c r="G409" s="30" t="inlineStr">
        <is>
          <t>SZB - ID - KHAIRUL PUTRA</t>
        </is>
      </c>
      <c r="H409" s="30" t="inlineStr">
        <is>
          <t>LM</t>
        </is>
      </c>
      <c r="I409" s="30" t="inlineStr">
        <is>
          <t>Fake Success</t>
        </is>
      </c>
      <c r="J409" s="30" t="inlineStr">
        <is>
          <t>Pod invalid (parcel is not belong to the customer). Done retrieve and customer already received it after complaint lodge</t>
        </is>
      </c>
      <c r="K409" s="30" t="inlineStr">
        <is>
          <t>Syaza</t>
        </is>
      </c>
    </row>
    <row r="410">
      <c r="A410" s="30" t="inlineStr">
        <is>
          <t>25/09/2026 14:50:50</t>
        </is>
      </c>
      <c r="B410" s="30" t="inlineStr">
        <is>
          <t xml:space="preserve">NVMYFUMSB002601441-004  </t>
        </is>
      </c>
      <c r="C410" s="30" t="inlineStr">
        <is>
          <t>263812680647</t>
        </is>
      </c>
      <c r="D410" s="30" t="inlineStr">
        <is>
          <t>91877435</t>
        </is>
      </c>
      <c r="E410" s="30" t="inlineStr">
        <is>
          <t>Northern</t>
        </is>
      </c>
      <c r="F410" s="30" t="inlineStr">
        <is>
          <t>GEO</t>
        </is>
      </c>
      <c r="G410" s="30" t="inlineStr">
        <is>
          <t>GEO - OPS - PULAU TIKUS</t>
        </is>
      </c>
      <c r="H410" s="30" t="inlineStr">
        <is>
          <t>LM</t>
        </is>
      </c>
      <c r="I410" s="30" t="inlineStr">
        <is>
          <t>Fake Fail</t>
        </is>
      </c>
      <c r="J410" s="30" t="inlineStr">
        <is>
          <t>Invalid delivery attempt. POD invalid: No call log</t>
        </is>
      </c>
      <c r="K410" s="30" t="inlineStr">
        <is>
          <t>Putri</t>
        </is>
      </c>
    </row>
    <row r="411">
      <c r="A411" s="30" t="inlineStr">
        <is>
          <t>25/09/2026 14:54:38</t>
        </is>
      </c>
      <c r="B411" s="30" t="inlineStr">
        <is>
          <t>NVMY21533000009049</t>
        </is>
      </c>
      <c r="C411" s="30" t="inlineStr">
        <is>
          <t>263602679361</t>
        </is>
      </c>
      <c r="D411" s="30" t="inlineStr">
        <is>
          <t>91868321</t>
        </is>
      </c>
      <c r="E411" s="30" t="inlineStr">
        <is>
          <t>Southern</t>
        </is>
      </c>
      <c r="F411" s="30" t="inlineStr">
        <is>
          <t xml:space="preserve">PTN </t>
        </is>
      </c>
      <c r="G411" s="30" t="inlineStr">
        <is>
          <t>PTN - ID - MASRIYAH</t>
        </is>
      </c>
      <c r="H411" s="30" t="inlineStr">
        <is>
          <t>LM</t>
        </is>
      </c>
      <c r="I411" s="30" t="inlineStr">
        <is>
          <t>Deliver to Wrong Address</t>
        </is>
      </c>
      <c r="J411" s="30" t="inlineStr">
        <is>
          <t>completed 2026-09-22 but cust not received. Customer received after complaint lodge</t>
        </is>
      </c>
      <c r="K411" s="30" t="inlineStr">
        <is>
          <t>Syaza</t>
        </is>
      </c>
    </row>
    <row r="412">
      <c r="A412" s="30" t="inlineStr">
        <is>
          <t>25/09/2026 15:07:09</t>
        </is>
      </c>
      <c r="B412" s="30" t="inlineStr">
        <is>
          <t>UMIDI1551484761843580928</t>
        </is>
      </c>
      <c r="C412" s="30" t="inlineStr">
        <is>
          <t>265162681208</t>
        </is>
      </c>
      <c r="D412" s="30" t="inlineStr">
        <is>
          <t>91873959
91886131</t>
        </is>
      </c>
      <c r="E412" s="30" t="inlineStr">
        <is>
          <t>Southern</t>
        </is>
      </c>
      <c r="F412" s="30" t="inlineStr">
        <is>
          <t>KEM</t>
        </is>
      </c>
      <c r="G412" s="30" t="inlineStr">
        <is>
          <t>OPS - KEM
PSG - FM - Muhamamad Zahierudin</t>
        </is>
      </c>
      <c r="H412" s="30" t="inlineStr">
        <is>
          <t>LM</t>
        </is>
      </c>
      <c r="I412" s="30" t="inlineStr">
        <is>
          <t>Fake Fail</t>
        </is>
      </c>
      <c r="J412" s="30" t="inlineStr">
        <is>
          <t xml:space="preserve">Call log is not connected and Whatsapp is blocked </t>
        </is>
      </c>
      <c r="K412" s="30" t="inlineStr">
        <is>
          <t xml:space="preserve">Izzni </t>
        </is>
      </c>
    </row>
    <row r="413">
      <c r="A413" s="30" t="inlineStr">
        <is>
          <t>25/09/2026 15:10:14</t>
        </is>
      </c>
      <c r="B413" s="30" t="inlineStr">
        <is>
          <t>NVMYNINJA002524173</t>
        </is>
      </c>
      <c r="C413" s="30" t="inlineStr">
        <is>
          <t>260092686542</t>
        </is>
      </c>
      <c r="D413" s="30" t="inlineStr">
        <is>
          <t xml:space="preserve">91877468
91877468 </t>
        </is>
      </c>
      <c r="E413" s="30" t="inlineStr">
        <is>
          <t>Northern</t>
        </is>
      </c>
      <c r="F413" s="30" t="inlineStr">
        <is>
          <t>FLM</t>
        </is>
      </c>
      <c r="G413" s="30" t="inlineStr">
        <is>
          <t xml:space="preserve">Aufa Zainal
</t>
        </is>
      </c>
      <c r="H413" s="30" t="inlineStr">
        <is>
          <t>LM</t>
        </is>
      </c>
      <c r="I413" s="30" t="inlineStr">
        <is>
          <t>Pull Out Route (POR)</t>
        </is>
      </c>
      <c r="J413" s="30" t="inlineStr">
        <is>
          <t xml:space="preserve">POR after 3 hours driver assign </t>
        </is>
      </c>
      <c r="K413" s="30" t="inlineStr">
        <is>
          <t xml:space="preserve">Syafiq </t>
        </is>
      </c>
    </row>
    <row r="414">
      <c r="A414" s="30" t="inlineStr">
        <is>
          <t>25/09/2026 15:20:35</t>
        </is>
      </c>
      <c r="B414" s="30" t="inlineStr">
        <is>
          <t>NVMYMAURE000005570</t>
        </is>
      </c>
      <c r="C414" s="30" t="inlineStr">
        <is>
          <t>263352659928</t>
        </is>
      </c>
      <c r="D414" s="30" t="inlineStr">
        <is>
          <t>91884883</t>
        </is>
      </c>
      <c r="E414" s="30" t="inlineStr">
        <is>
          <t>East MY</t>
        </is>
      </c>
      <c r="F414" s="30" t="inlineStr">
        <is>
          <t xml:space="preserve">KCH </t>
        </is>
      </c>
      <c r="G414" s="30" t="inlineStr">
        <is>
          <t>KCH - ID - AFEQ DANIAL</t>
        </is>
      </c>
      <c r="H414" s="30" t="inlineStr">
        <is>
          <t>LM</t>
        </is>
      </c>
      <c r="I414" s="30" t="inlineStr">
        <is>
          <t>Fake Fail</t>
        </is>
      </c>
      <c r="J414" s="30" t="inlineStr">
        <is>
          <t>driver provide invalid POD for failed delivery reason</t>
        </is>
      </c>
      <c r="K414" s="30" t="inlineStr">
        <is>
          <t>AIMENN AIYAD</t>
        </is>
      </c>
    </row>
    <row r="415">
      <c r="A415" s="30" t="inlineStr">
        <is>
          <t>25/09/2026 15:21:49</t>
        </is>
      </c>
      <c r="B415" s="30" t="inlineStr">
        <is>
          <t>NVMYTSHSN000010671</t>
        </is>
      </c>
      <c r="C415" s="30" t="inlineStr">
        <is>
          <t>264582662591</t>
        </is>
      </c>
      <c r="D415" s="30" t="inlineStr">
        <is>
          <t>91825832</t>
        </is>
      </c>
      <c r="E415" s="30" t="inlineStr">
        <is>
          <t>North East</t>
        </is>
      </c>
      <c r="F415" s="30" t="inlineStr">
        <is>
          <t xml:space="preserve">GUA </t>
        </is>
      </c>
      <c r="G415" s="30" t="inlineStr">
        <is>
          <t>GUA - ID - ASYRAF</t>
        </is>
      </c>
      <c r="H415" s="30" t="inlineStr">
        <is>
          <t>LM</t>
        </is>
      </c>
      <c r="I415" s="30" t="inlineStr">
        <is>
          <t>Deliver to Wrong Address</t>
        </is>
      </c>
      <c r="J415" s="30" t="inlineStr">
        <is>
          <t>Completed 2026-09-17 but delivered to the wrong house. Done retrieve and cust received it after complaint lodge</t>
        </is>
      </c>
      <c r="K415" s="30" t="inlineStr">
        <is>
          <t>Syaza</t>
        </is>
      </c>
    </row>
    <row r="416">
      <c r="A416" s="30" t="inlineStr">
        <is>
          <t>25/09/2026 15:26:49</t>
        </is>
      </c>
      <c r="B416" s="30" t="inlineStr">
        <is>
          <t xml:space="preserve">SIASG1549237398332002304 </t>
        </is>
      </c>
      <c r="C416" s="30" t="inlineStr">
        <is>
          <t>269102688901</t>
        </is>
      </c>
      <c r="D416" s="30" t="inlineStr">
        <is>
          <t xml:space="preserve">
91863367
91855802</t>
        </is>
      </c>
      <c r="E416" s="30" t="inlineStr">
        <is>
          <t>Southern</t>
        </is>
      </c>
      <c r="F416" s="30" t="inlineStr">
        <is>
          <t xml:space="preserve">BAY </t>
        </is>
      </c>
      <c r="G416" s="30" t="inlineStr">
        <is>
          <t xml:space="preserve">BAY - ID - NICOLE
</t>
        </is>
      </c>
      <c r="H416" s="30" t="inlineStr">
        <is>
          <t>LM</t>
        </is>
      </c>
      <c r="I416" s="30" t="inlineStr">
        <is>
          <t>Fake Fail</t>
        </is>
      </c>
      <c r="J416" s="30" t="inlineStr">
        <is>
          <t>Customer not received call</t>
        </is>
      </c>
      <c r="K416" s="30" t="inlineStr">
        <is>
          <t xml:space="preserve">Syafiq </t>
        </is>
      </c>
    </row>
    <row r="417">
      <c r="A417" s="30" t="inlineStr">
        <is>
          <t>25/09/2026 15:29:25</t>
        </is>
      </c>
      <c r="B417" s="30" t="inlineStr">
        <is>
          <t>HAWAS1551423395595153408</t>
        </is>
      </c>
      <c r="C417" s="30" t="inlineStr">
        <is>
          <t>263332688856</t>
        </is>
      </c>
      <c r="D417" s="30" t="inlineStr">
        <is>
          <t>91890105, 91881207</t>
        </is>
      </c>
      <c r="E417" s="30" t="inlineStr">
        <is>
          <t>Southern</t>
        </is>
      </c>
      <c r="F417" s="30" t="inlineStr">
        <is>
          <t>BPT</t>
        </is>
      </c>
      <c r="G417" s="30" t="inlineStr">
        <is>
          <t>BPT - ID - ZULHILMI S</t>
        </is>
      </c>
      <c r="H417" s="30" t="inlineStr">
        <is>
          <t>LM</t>
        </is>
      </c>
      <c r="I417" s="30" t="inlineStr">
        <is>
          <t>Fake Fail</t>
        </is>
      </c>
      <c r="J417" s="30" t="inlineStr">
        <is>
          <t>Invalid delivery attempt. POD invalid: NO calls or whatsapp from to the customer</t>
        </is>
      </c>
      <c r="K417" s="30" t="inlineStr">
        <is>
          <t xml:space="preserve">Putri </t>
        </is>
      </c>
    </row>
    <row r="418">
      <c r="A418" s="30" t="inlineStr">
        <is>
          <t>25/09/2026 15:30:45</t>
        </is>
      </c>
      <c r="B418" s="30" t="inlineStr">
        <is>
          <t>NVMYJNNEE000FE2FE2</t>
        </is>
      </c>
      <c r="C418" s="30" t="inlineStr">
        <is>
          <t>264312682547</t>
        </is>
      </c>
      <c r="D418" s="30" t="inlineStr">
        <is>
          <t>91859984</t>
        </is>
      </c>
      <c r="E418" s="30" t="inlineStr">
        <is>
          <t>East MY</t>
        </is>
      </c>
      <c r="F418" s="30" t="inlineStr">
        <is>
          <t xml:space="preserve">BKW </t>
        </is>
      </c>
      <c r="G418" s="30" t="inlineStr">
        <is>
          <t xml:space="preserve">BKW - ID - KENNETH
</t>
        </is>
      </c>
      <c r="H418" s="30" t="inlineStr">
        <is>
          <t>LM</t>
        </is>
      </c>
      <c r="I418" s="30" t="inlineStr">
        <is>
          <t>Fake Fail</t>
        </is>
      </c>
      <c r="J418" s="30" t="inlineStr">
        <is>
          <t xml:space="preserve">Customer not received call </t>
        </is>
      </c>
      <c r="K418" s="30" t="inlineStr">
        <is>
          <t xml:space="preserve">Syafiq </t>
        </is>
      </c>
    </row>
    <row r="419">
      <c r="A419" s="30" t="inlineStr">
        <is>
          <t>25/09/2026 15:34:30</t>
        </is>
      </c>
      <c r="B419" s="30" t="inlineStr">
        <is>
          <t>OASIS1551935707836563456</t>
        </is>
      </c>
      <c r="C419" s="30" t="inlineStr">
        <is>
          <t>261932689647</t>
        </is>
      </c>
      <c r="D419" s="30" t="inlineStr">
        <is>
          <t>91883098</t>
        </is>
      </c>
      <c r="E419" s="30" t="inlineStr">
        <is>
          <t>KV</t>
        </is>
      </c>
      <c r="F419" s="30" t="inlineStr">
        <is>
          <t>OUG</t>
        </is>
      </c>
      <c r="G419" s="30" t="inlineStr">
        <is>
          <t xml:space="preserve">OUG - ID - INTAN SYERINA
</t>
        </is>
      </c>
      <c r="H419" s="30" t="inlineStr">
        <is>
          <t>LM</t>
        </is>
      </c>
      <c r="I419" s="30" t="inlineStr">
        <is>
          <t>Fake Fail</t>
        </is>
      </c>
      <c r="J419" s="30" t="inlineStr">
        <is>
          <t xml:space="preserve">Customer not received call </t>
        </is>
      </c>
      <c r="K419" s="30" t="inlineStr">
        <is>
          <t xml:space="preserve">Syafiq </t>
        </is>
      </c>
    </row>
    <row r="420">
      <c r="A420" s="30" t="inlineStr">
        <is>
          <t>25/09/2026 15:52:29</t>
        </is>
      </c>
      <c r="B420" s="30" t="inlineStr">
        <is>
          <t>MAILBP63218</t>
        </is>
      </c>
      <c r="C420" s="30" t="inlineStr">
        <is>
          <t>267172684826</t>
        </is>
      </c>
      <c r="D420" s="30" t="inlineStr">
        <is>
          <t>91874233</t>
        </is>
      </c>
      <c r="E420" s="30" t="inlineStr">
        <is>
          <t>Southern</t>
        </is>
      </c>
      <c r="F420" s="30" t="inlineStr">
        <is>
          <t>BPT</t>
        </is>
      </c>
      <c r="G420" s="30" t="inlineStr">
        <is>
          <t>OPS - BPT</t>
        </is>
      </c>
      <c r="H420" s="30" t="inlineStr">
        <is>
          <t>LM</t>
        </is>
      </c>
      <c r="I420" s="30" t="inlineStr">
        <is>
          <t>Fake Fail</t>
        </is>
      </c>
      <c r="J420" s="30" t="inlineStr">
        <is>
          <t xml:space="preserve">failed by ops no contact no location </t>
        </is>
      </c>
      <c r="K420" s="30" t="inlineStr">
        <is>
          <t>Ninja Hadif</t>
        </is>
      </c>
    </row>
    <row r="421">
      <c r="A421" s="30" t="inlineStr">
        <is>
          <t>25/09/2026 16:06:46</t>
        </is>
      </c>
      <c r="B421" s="30" t="inlineStr">
        <is>
          <t xml:space="preserve">MYNJV70088895918 </t>
        </is>
      </c>
      <c r="C421" s="30" t="inlineStr">
        <is>
          <t>269082689887</t>
        </is>
      </c>
      <c r="D421" s="30" t="inlineStr">
        <is>
          <t>91892282</t>
        </is>
      </c>
      <c r="E421" s="30" t="inlineStr">
        <is>
          <t>Southern</t>
        </is>
      </c>
      <c r="F421" s="30" t="inlineStr">
        <is>
          <t xml:space="preserve">TRM </t>
        </is>
      </c>
      <c r="G421" s="30" t="inlineStr">
        <is>
          <t>TRM - ID - SHAHEERA ZULKAFLI</t>
        </is>
      </c>
      <c r="H421" s="30" t="inlineStr">
        <is>
          <t>LM</t>
        </is>
      </c>
      <c r="I421" s="30" t="inlineStr">
        <is>
          <t>Deliver to Wrong Address</t>
        </is>
      </c>
      <c r="J421" s="30" t="inlineStr">
        <is>
          <t xml:space="preserve"> Cx complaint
Completed but not received
POD is at the wrong place
Cx claimed the driver sent the parcel to the wrong Jalan
Driver nvr call
Cx already retrieved the parcel at the wrong place
</t>
        </is>
      </c>
      <c r="K421" s="30" t="inlineStr">
        <is>
          <t xml:space="preserve">Syafiq </t>
        </is>
      </c>
    </row>
    <row r="422">
      <c r="A422" s="30" t="inlineStr">
        <is>
          <t>25/09/2026 16:07:45</t>
        </is>
      </c>
      <c r="B422" s="30" t="inlineStr">
        <is>
          <t>NVMYGRITM000000975</t>
        </is>
      </c>
      <c r="C422" s="30" t="inlineStr">
        <is>
          <t>267882673374</t>
        </is>
      </c>
      <c r="D422" s="30" t="inlineStr">
        <is>
          <t>264352688032</t>
        </is>
      </c>
      <c r="E422" s="30" t="inlineStr">
        <is>
          <t>Northern</t>
        </is>
      </c>
      <c r="F422" s="30" t="inlineStr">
        <is>
          <t>BWH</t>
        </is>
      </c>
      <c r="G422" s="30" t="inlineStr">
        <is>
          <t>BWH - HR - FAIZ IZHAM</t>
        </is>
      </c>
      <c r="H422" s="30" t="inlineStr">
        <is>
          <t>LM</t>
        </is>
      </c>
      <c r="I422" s="30" t="inlineStr">
        <is>
          <t>Fake Success</t>
        </is>
      </c>
      <c r="J422" s="30" t="inlineStr">
        <is>
          <t>POD invalid - shipper received today 25/9/2026</t>
        </is>
      </c>
      <c r="K422" s="30" t="inlineStr">
        <is>
          <t>Putri</t>
        </is>
      </c>
    </row>
    <row r="423">
      <c r="A423" s="30" t="inlineStr">
        <is>
          <t>25/09/2026 16:11:44</t>
        </is>
      </c>
      <c r="B423" s="30" t="inlineStr">
        <is>
          <t>AMNV005962832</t>
        </is>
      </c>
      <c r="C423" s="30" t="inlineStr">
        <is>
          <t>264702677305</t>
        </is>
      </c>
      <c r="D423" s="30" t="inlineStr">
        <is>
          <t>91827930</t>
        </is>
      </c>
      <c r="E423" s="30" t="inlineStr">
        <is>
          <t>North East</t>
        </is>
      </c>
      <c r="F423" s="30" t="inlineStr">
        <is>
          <t>KBR</t>
        </is>
      </c>
      <c r="G423" s="30" t="inlineStr">
        <is>
          <t>KBR - ID - ZULHAIRI</t>
        </is>
      </c>
      <c r="H423" s="30" t="inlineStr">
        <is>
          <t>LM</t>
        </is>
      </c>
      <c r="I423" s="30" t="inlineStr">
        <is>
          <t>Fake Success</t>
        </is>
      </c>
      <c r="J423" s="30" t="inlineStr">
        <is>
          <t>Pod invalid (no call log/no WS reply)</t>
        </is>
      </c>
      <c r="K423" s="30" t="inlineStr">
        <is>
          <t>Syaza</t>
        </is>
      </c>
    </row>
    <row r="424">
      <c r="A424" s="30" t="inlineStr">
        <is>
          <t>25/09/2026 16:34:40</t>
        </is>
      </c>
      <c r="B424" s="30" t="inlineStr">
        <is>
          <t xml:space="preserve">STLMY1550748596491894784
</t>
        </is>
      </c>
      <c r="C424" s="30" t="inlineStr">
        <is>
          <t>263592666386</t>
        </is>
      </c>
      <c r="D424" s="30" t="inlineStr">
        <is>
          <t>91864895</t>
        </is>
      </c>
      <c r="E424" s="30" t="inlineStr">
        <is>
          <t>South West</t>
        </is>
      </c>
      <c r="F424" s="30" t="inlineStr">
        <is>
          <t xml:space="preserve">MTG </t>
        </is>
      </c>
      <c r="G424" s="30" t="inlineStr">
        <is>
          <t>MTG - ID - ALI ABDULLAH</t>
        </is>
      </c>
      <c r="H424" s="30" t="inlineStr">
        <is>
          <t>LM</t>
        </is>
      </c>
      <c r="I424" s="30" t="inlineStr">
        <is>
          <t>Parcel Dumping</t>
        </is>
      </c>
      <c r="J424" s="30" t="inlineStr">
        <is>
          <t>driver drop the parcel inside boxplus without notify and customer acknowledgement</t>
        </is>
      </c>
      <c r="K424" s="30" t="inlineStr">
        <is>
          <t>AIMENN AIYAD</t>
        </is>
      </c>
    </row>
    <row r="425">
      <c r="A425" s="30" t="inlineStr">
        <is>
          <t>25/09/2026 16:39:25</t>
        </is>
      </c>
      <c r="B425" s="30" t="inlineStr">
        <is>
          <t>MYNJV70061605738</t>
        </is>
      </c>
      <c r="C425" s="30" t="inlineStr">
        <is>
          <t>267172684826</t>
        </is>
      </c>
      <c r="D425" s="30" t="inlineStr">
        <is>
          <t>91865702
91894655</t>
        </is>
      </c>
      <c r="E425" s="30" t="inlineStr">
        <is>
          <t>Southern</t>
        </is>
      </c>
      <c r="F425" s="30" t="inlineStr">
        <is>
          <t>KEM</t>
        </is>
      </c>
      <c r="G425" s="30" t="inlineStr">
        <is>
          <t>OPS - KEM
BHU - FM - Mohammad Fahmi</t>
        </is>
      </c>
      <c r="H425" s="30" t="inlineStr">
        <is>
          <t>LM</t>
        </is>
      </c>
      <c r="I425" s="30" t="inlineStr">
        <is>
          <t>Fake Fail</t>
        </is>
      </c>
      <c r="J425" s="30" t="inlineStr">
        <is>
          <t>POD invalid, no location no call</t>
        </is>
      </c>
      <c r="K425" s="30" t="inlineStr">
        <is>
          <t>NInja Hadif</t>
        </is>
      </c>
    </row>
    <row r="426">
      <c r="A426" s="30" t="inlineStr">
        <is>
          <t>25/09/2026 16:39:31</t>
        </is>
      </c>
      <c r="B426" s="30" t="inlineStr">
        <is>
          <t>NVMYYIJIA000002856</t>
        </is>
      </c>
      <c r="C426" s="30" t="inlineStr">
        <is>
          <t>260232671230</t>
        </is>
      </c>
      <c r="D426" s="30" t="inlineStr">
        <is>
          <t>91848996</t>
        </is>
      </c>
      <c r="E426" s="30" t="inlineStr">
        <is>
          <t>North West</t>
        </is>
      </c>
      <c r="F426" s="30" t="inlineStr">
        <is>
          <t>SLM</t>
        </is>
      </c>
      <c r="G426" s="30" t="inlineStr">
        <is>
          <t>KHAIRUL AMRY</t>
        </is>
      </c>
      <c r="H426" s="30" t="inlineStr">
        <is>
          <t>LM</t>
        </is>
      </c>
      <c r="I426" s="30" t="inlineStr">
        <is>
          <t>Lost Item</t>
        </is>
      </c>
      <c r="J426" s="30" t="inlineStr">
        <is>
          <t>Parcel delivered 2026-09-20 but cust not received. Parcel declare lost</t>
        </is>
      </c>
      <c r="K426" s="30" t="inlineStr">
        <is>
          <t>Syaza</t>
        </is>
      </c>
    </row>
    <row r="427">
      <c r="A427" s="30" t="inlineStr">
        <is>
          <t>25/09/2026 16:51:42</t>
        </is>
      </c>
      <c r="B427" s="30" t="inlineStr">
        <is>
          <t>TNGDV2609176979102830</t>
        </is>
      </c>
      <c r="C427" s="30" t="inlineStr">
        <is>
          <t>260872676408</t>
        </is>
      </c>
      <c r="D427" s="30" t="inlineStr">
        <is>
          <t>91864689</t>
        </is>
      </c>
      <c r="E427" s="30" t="inlineStr">
        <is>
          <t>North West</t>
        </is>
      </c>
      <c r="F427" s="30" t="inlineStr">
        <is>
          <t>IPH</t>
        </is>
      </c>
      <c r="G427" s="30" t="inlineStr">
        <is>
          <t>IPH - HR - HARITH SYUKRILLAH</t>
        </is>
      </c>
      <c r="H427" s="30" t="inlineStr">
        <is>
          <t>LM</t>
        </is>
      </c>
      <c r="I427" s="30" t="inlineStr">
        <is>
          <t>Deliver to Wrong Address</t>
        </is>
      </c>
      <c r="J427" s="30" t="inlineStr">
        <is>
          <t>Driver delivered the parcel to the wrong address. After the complaint was raised, the driver retrieved it and redelivered it to the correct address</t>
        </is>
      </c>
      <c r="K427" s="30" t="inlineStr">
        <is>
          <t>Huzair</t>
        </is>
      </c>
    </row>
    <row r="428">
      <c r="A428" s="30" t="inlineStr">
        <is>
          <t>25/09/2026 16:56:17</t>
        </is>
      </c>
      <c r="B428" s="30" t="inlineStr">
        <is>
          <t>NVMYNINJA002525573</t>
        </is>
      </c>
      <c r="C428" s="30" t="inlineStr">
        <is>
          <t>267572686736</t>
        </is>
      </c>
      <c r="D428" s="30" t="inlineStr">
        <is>
          <t>91886198</t>
        </is>
      </c>
      <c r="E428" s="30" t="inlineStr">
        <is>
          <t>Southern</t>
        </is>
      </c>
      <c r="F428" s="30" t="inlineStr">
        <is>
          <t>GLG</t>
        </is>
      </c>
      <c r="G428" s="30" t="inlineStr">
        <is>
          <t>GLG - OPS - ENGKU</t>
        </is>
      </c>
      <c r="H428" s="30" t="inlineStr">
        <is>
          <t>LM</t>
        </is>
      </c>
      <c r="I428" s="30" t="inlineStr">
        <is>
          <t>Fake Fail</t>
        </is>
      </c>
      <c r="J428" s="30" t="inlineStr">
        <is>
          <t>customer did not receive any call</t>
        </is>
      </c>
      <c r="K428" s="30" t="inlineStr">
        <is>
          <t>Hartini</t>
        </is>
      </c>
    </row>
    <row r="429">
      <c r="A429" s="30" t="inlineStr">
        <is>
          <t>25/09/2026 16:58:07</t>
        </is>
      </c>
      <c r="B429" s="30" t="inlineStr">
        <is>
          <t>NVMYNINJA002524588</t>
        </is>
      </c>
      <c r="C429" s="30" t="inlineStr">
        <is>
          <t>267312689529</t>
        </is>
      </c>
      <c r="D429" s="30" t="inlineStr">
        <is>
          <t>91873412 / 91894743</t>
        </is>
      </c>
      <c r="E429" s="30" t="inlineStr">
        <is>
          <t>Northern</t>
        </is>
      </c>
      <c r="F429" s="30" t="inlineStr">
        <is>
          <t xml:space="preserve">BWH </t>
        </is>
      </c>
      <c r="G429" s="30" t="inlineStr">
        <is>
          <t>BWH - OPS - SELF COLLECT</t>
        </is>
      </c>
      <c r="H429" s="30" t="inlineStr">
        <is>
          <t>LM</t>
        </is>
      </c>
      <c r="I429" s="30" t="inlineStr">
        <is>
          <t>Fake Fail</t>
        </is>
      </c>
      <c r="J429" s="30" t="inlineStr">
        <is>
          <t xml:space="preserve">invalid POD, failed under ops </t>
        </is>
      </c>
      <c r="K429" s="30" t="inlineStr">
        <is>
          <t xml:space="preserve">Yana </t>
        </is>
      </c>
    </row>
    <row r="430">
      <c r="A430" s="30" t="inlineStr">
        <is>
          <t>25/09/2026 16:59:46</t>
        </is>
      </c>
      <c r="B430" s="30" t="inlineStr">
        <is>
          <t xml:space="preserve">TNGDV2609136921142710
</t>
        </is>
      </c>
      <c r="C430" s="30" t="inlineStr">
        <is>
          <t>267102684946</t>
        </is>
      </c>
      <c r="D430" s="30" t="inlineStr">
        <is>
          <t xml:space="preserve">91833923
91865052
91883881
  </t>
        </is>
      </c>
      <c r="E430" s="30" t="inlineStr">
        <is>
          <t>Northern</t>
        </is>
      </c>
      <c r="F430" s="30" t="inlineStr">
        <is>
          <t>GEO</t>
        </is>
      </c>
      <c r="G430" s="30" t="inlineStr">
        <is>
          <t xml:space="preserve">GEO - ID - AFI
</t>
        </is>
      </c>
      <c r="H430" s="30" t="inlineStr">
        <is>
          <t>LM</t>
        </is>
      </c>
      <c r="I430" s="30" t="inlineStr">
        <is>
          <t>Fake Fail</t>
        </is>
      </c>
      <c r="J430" s="30" t="inlineStr">
        <is>
          <t xml:space="preserve">POD invalid - customer not received </t>
        </is>
      </c>
      <c r="K430" s="30" t="inlineStr">
        <is>
          <t xml:space="preserve">Syafiq </t>
        </is>
      </c>
    </row>
    <row r="431">
      <c r="A431" s="30" t="inlineStr">
        <is>
          <t>25/09/2026 17:00:26</t>
        </is>
      </c>
      <c r="B431" s="30" t="inlineStr">
        <is>
          <t>AJDHU1551787456464850944</t>
        </is>
      </c>
      <c r="C431" s="30" t="inlineStr">
        <is>
          <t>269032686165</t>
        </is>
      </c>
      <c r="D431" s="30" t="inlineStr">
        <is>
          <t>91877398</t>
        </is>
      </c>
      <c r="E431" s="30" t="inlineStr">
        <is>
          <t>KV</t>
        </is>
      </c>
      <c r="F431" s="30" t="inlineStr">
        <is>
          <t>STL</t>
        </is>
      </c>
      <c r="G431" s="30" t="inlineStr">
        <is>
          <t>adif mohdafiqiqbal</t>
        </is>
      </c>
      <c r="H431" s="30" t="inlineStr">
        <is>
          <t>LM</t>
        </is>
      </c>
      <c r="I431" s="30" t="inlineStr">
        <is>
          <t>Pull Out Route (POR)</t>
        </is>
      </c>
      <c r="J431" s="30" t="inlineStr">
        <is>
          <t>pull out route on 2026-09-25 07:25:00 by adif mohdafiqiqbal</t>
        </is>
      </c>
      <c r="K431" s="30" t="inlineStr">
        <is>
          <t>Hartini</t>
        </is>
      </c>
    </row>
    <row r="432">
      <c r="A432" s="30" t="inlineStr">
        <is>
          <t>25/09/2026 17:04:25</t>
        </is>
      </c>
      <c r="B432" s="30" t="inlineStr">
        <is>
          <t>NVMYBNBMS000019184</t>
        </is>
      </c>
      <c r="C432" s="30" t="inlineStr">
        <is>
          <t>265912682381</t>
        </is>
      </c>
      <c r="D432" s="30" t="inlineStr">
        <is>
          <t>91886126</t>
        </is>
      </c>
      <c r="E432" s="30" t="inlineStr">
        <is>
          <t>Northern</t>
        </is>
      </c>
      <c r="F432" s="30" t="inlineStr">
        <is>
          <t>BTS</t>
        </is>
      </c>
      <c r="G432" s="30" t="inlineStr">
        <is>
          <t>BTS - ID - SHAMSINAR</t>
        </is>
      </c>
      <c r="H432" s="30" t="inlineStr">
        <is>
          <t>LM</t>
        </is>
      </c>
      <c r="I432" s="30" t="inlineStr">
        <is>
          <t>Deliver to Wrong Address</t>
        </is>
      </c>
      <c r="J432" s="30" t="inlineStr">
        <is>
          <t>Driver delivered the parcel to the wrong address. After the complaint was raised, the driver retrieved it and redelivered it to the correct address.</t>
        </is>
      </c>
      <c r="K432" s="30" t="inlineStr">
        <is>
          <t>Huzair</t>
        </is>
      </c>
    </row>
    <row r="433">
      <c r="A433" s="30" t="inlineStr">
        <is>
          <t>25/09/2026 17:06:36</t>
        </is>
      </c>
      <c r="B433" s="30" t="inlineStr">
        <is>
          <t>MAILB1547537792528531456</t>
        </is>
      </c>
      <c r="C433" s="30" t="inlineStr">
        <is>
          <t>264922665064</t>
        </is>
      </c>
      <c r="D433" s="30" t="inlineStr">
        <is>
          <t>91870778</t>
        </is>
      </c>
      <c r="E433" s="30" t="inlineStr">
        <is>
          <t>KV</t>
        </is>
      </c>
      <c r="F433" s="30" t="inlineStr">
        <is>
          <t>BRP</t>
        </is>
      </c>
      <c r="G433" s="30" t="inlineStr">
        <is>
          <t xml:space="preserve">
SYED HILMAN</t>
        </is>
      </c>
      <c r="H433" s="30" t="inlineStr">
        <is>
          <t>LM</t>
        </is>
      </c>
      <c r="I433" s="30" t="inlineStr">
        <is>
          <t>Fake Success</t>
        </is>
      </c>
      <c r="J433" s="30" t="inlineStr">
        <is>
          <t>driver success the parcel before delivered to customer without consent</t>
        </is>
      </c>
      <c r="K433" s="30" t="inlineStr">
        <is>
          <t>AIMENN AIYAD</t>
        </is>
      </c>
    </row>
    <row r="434">
      <c r="A434" s="30" t="inlineStr">
        <is>
          <t>25/09/2026 17:29:07</t>
        </is>
      </c>
      <c r="B434" s="30" t="inlineStr">
        <is>
          <t>NVMYHETUP000007729</t>
        </is>
      </c>
      <c r="C434" s="30" t="inlineStr">
        <is>
          <t>266452680116</t>
        </is>
      </c>
      <c r="D434" s="30" t="inlineStr">
        <is>
          <t>91894872</t>
        </is>
      </c>
      <c r="E434" s="30" t="inlineStr">
        <is>
          <t>KV</t>
        </is>
      </c>
      <c r="F434" s="30" t="inlineStr">
        <is>
          <t>SUN</t>
        </is>
      </c>
      <c r="G434" s="30" t="inlineStr">
        <is>
          <t>SUN - OPS - ADAM</t>
        </is>
      </c>
      <c r="H434" s="30" t="inlineStr">
        <is>
          <t>LM</t>
        </is>
      </c>
      <c r="I434" s="30" t="inlineStr">
        <is>
          <t>Fake Fail</t>
        </is>
      </c>
      <c r="J434" s="30" t="inlineStr">
        <is>
          <t>Invalid delivery attempt. POD invalid: Call log not connected, location invalid</t>
        </is>
      </c>
      <c r="K434" s="30" t="inlineStr">
        <is>
          <t xml:space="preserve">Putri </t>
        </is>
      </c>
    </row>
    <row r="435">
      <c r="A435" s="30" t="inlineStr">
        <is>
          <t>25/09/2026 17:30:40</t>
        </is>
      </c>
      <c r="B435" s="30" t="inlineStr">
        <is>
          <t>NVMYMYAZL000000045</t>
        </is>
      </c>
      <c r="C435" s="30" t="inlineStr">
        <is>
          <t>262222683324</t>
        </is>
      </c>
      <c r="D435" s="30" t="inlineStr">
        <is>
          <t>91891708</t>
        </is>
      </c>
      <c r="E435" s="30" t="inlineStr">
        <is>
          <t>North West</t>
        </is>
      </c>
      <c r="F435" s="30" t="inlineStr">
        <is>
          <t>TIN</t>
        </is>
      </c>
      <c r="G435" s="30" t="inlineStr">
        <is>
          <t>OPS - HAFFISZIE</t>
        </is>
      </c>
      <c r="H435" s="30" t="inlineStr">
        <is>
          <t>LM</t>
        </is>
      </c>
      <c r="I435" s="30" t="inlineStr">
        <is>
          <t>Fake Fail</t>
        </is>
      </c>
      <c r="J435" s="30" t="inlineStr">
        <is>
          <t xml:space="preserve">invalid POD, failed under ops </t>
        </is>
      </c>
      <c r="K435" s="30" t="inlineStr">
        <is>
          <t xml:space="preserve">Yana </t>
        </is>
      </c>
    </row>
    <row r="436">
      <c r="A436" s="30" t="inlineStr">
        <is>
          <t>25/09/2026 17:33:23</t>
        </is>
      </c>
      <c r="B436" s="30" t="inlineStr">
        <is>
          <t>PYHCS1551483367557894144</t>
        </is>
      </c>
      <c r="C436" s="30" t="inlineStr">
        <is>
          <t>267842685039</t>
        </is>
      </c>
      <c r="D436" s="30" t="inlineStr">
        <is>
          <t>91864899</t>
        </is>
      </c>
      <c r="E436" s="30" t="inlineStr">
        <is>
          <t>South West</t>
        </is>
      </c>
      <c r="F436" s="30" t="inlineStr">
        <is>
          <t>MTG</t>
        </is>
      </c>
      <c r="G436" s="30" t="inlineStr">
        <is>
          <t>MTG - ID - RENDRA</t>
        </is>
      </c>
      <c r="H436" s="30" t="inlineStr">
        <is>
          <t>LM</t>
        </is>
      </c>
      <c r="I436" s="30" t="inlineStr">
        <is>
          <t>Lost Item</t>
        </is>
      </c>
      <c r="J436" s="30" t="inlineStr">
        <is>
          <t>Lost by the driver</t>
        </is>
      </c>
      <c r="K436" s="30" t="inlineStr">
        <is>
          <t>Huzair</t>
        </is>
      </c>
    </row>
    <row r="437">
      <c r="A437" s="30" t="inlineStr">
        <is>
          <t>25/09/2026 17:35:10</t>
        </is>
      </c>
      <c r="B437" s="30" t="inlineStr">
        <is>
          <t xml:space="preserve">NVMYADI00000422193 </t>
        </is>
      </c>
      <c r="C437" s="30" t="inlineStr">
        <is>
          <t>262812683346</t>
        </is>
      </c>
      <c r="D437" s="30" t="inlineStr">
        <is>
          <t xml:space="preserve">91858509
91867105
91875677
91892717
 </t>
        </is>
      </c>
      <c r="E437" s="30" t="inlineStr">
        <is>
          <t>KV</t>
        </is>
      </c>
      <c r="F437" s="30" t="inlineStr">
        <is>
          <t>KMU</t>
        </is>
      </c>
      <c r="G437" s="30" t="inlineStr">
        <is>
          <t xml:space="preserve">KMU - ID - MUGILANRAJ
</t>
        </is>
      </c>
      <c r="H437" s="30" t="inlineStr">
        <is>
          <t>LM</t>
        </is>
      </c>
      <c r="I437" s="30" t="inlineStr">
        <is>
          <t>Failed pick-up</t>
        </is>
      </c>
      <c r="J437" s="30" t="inlineStr">
        <is>
          <t xml:space="preserve">Invalid pickup POD - no location picture / use same POD </t>
        </is>
      </c>
      <c r="K437" s="30" t="inlineStr">
        <is>
          <t xml:space="preserve">Syafiq </t>
        </is>
      </c>
    </row>
    <row r="438">
      <c r="A438" s="30" t="inlineStr">
        <is>
          <t>25/09/2026 17:38:19</t>
        </is>
      </c>
      <c r="B438" s="30" t="inlineStr">
        <is>
          <t>TNGSB126107603036673000</t>
        </is>
      </c>
      <c r="C438" s="30" t="inlineStr">
        <is>
          <t>268572685462</t>
        </is>
      </c>
      <c r="D438" s="30" t="inlineStr">
        <is>
          <t>91891633</t>
        </is>
      </c>
      <c r="E438" s="30" t="inlineStr">
        <is>
          <t>Southern</t>
        </is>
      </c>
      <c r="F438" s="30" t="inlineStr">
        <is>
          <t xml:space="preserve">KEM </t>
        </is>
      </c>
      <c r="G438" s="30" t="inlineStr">
        <is>
          <t>OPS - KEM</t>
        </is>
      </c>
      <c r="H438" s="30" t="inlineStr">
        <is>
          <t>LM</t>
        </is>
      </c>
      <c r="I438" s="30" t="inlineStr">
        <is>
          <t>Fake Fail</t>
        </is>
      </c>
      <c r="J438" s="30" t="inlineStr">
        <is>
          <t xml:space="preserve">cust claim did not receive any call/ws from driver  </t>
        </is>
      </c>
      <c r="K438" s="30" t="inlineStr">
        <is>
          <t>Hartini</t>
        </is>
      </c>
    </row>
    <row r="439">
      <c r="A439" s="30" t="inlineStr">
        <is>
          <t>25/09/2026 17:41:16</t>
        </is>
      </c>
      <c r="B439" s="30" t="inlineStr">
        <is>
          <t>ZNV218133945-9245</t>
        </is>
      </c>
      <c r="C439" s="30" t="inlineStr">
        <is>
          <t>262822684433</t>
        </is>
      </c>
      <c r="D439" s="30" t="inlineStr">
        <is>
          <t>91895026</t>
        </is>
      </c>
      <c r="E439" s="30" t="inlineStr">
        <is>
          <t>KV</t>
        </is>
      </c>
      <c r="F439" s="30" t="inlineStr">
        <is>
          <t>PJY</t>
        </is>
      </c>
      <c r="G439" s="30" t="inlineStr">
        <is>
          <t>OPS - PJY</t>
        </is>
      </c>
      <c r="H439" s="30" t="inlineStr">
        <is>
          <t>LM</t>
        </is>
      </c>
      <c r="I439" s="30" t="inlineStr">
        <is>
          <t>Fake Fail</t>
        </is>
      </c>
      <c r="J439" s="30" t="inlineStr">
        <is>
          <t>Driver never call</t>
        </is>
      </c>
      <c r="K439" s="30" t="inlineStr">
        <is>
          <t>Hartini</t>
        </is>
      </c>
    </row>
    <row r="440">
      <c r="A440" s="30" t="inlineStr">
        <is>
          <t>25/09/2026 17:45:26</t>
        </is>
      </c>
      <c r="B440" s="30" t="inlineStr">
        <is>
          <t>TNGE126057319316659000</t>
        </is>
      </c>
      <c r="C440" s="30" t="inlineStr">
        <is>
          <t>261602680033</t>
        </is>
      </c>
      <c r="D440" s="30" t="inlineStr">
        <is>
          <t>91894656</t>
        </is>
      </c>
      <c r="E440" s="30" t="inlineStr">
        <is>
          <t>Southern</t>
        </is>
      </c>
      <c r="F440" s="30" t="inlineStr">
        <is>
          <t xml:space="preserve">KEM </t>
        </is>
      </c>
      <c r="G440" s="30" t="inlineStr">
        <is>
          <t>MTG - FM - Shazwan Saupi</t>
        </is>
      </c>
      <c r="H440" s="30" t="inlineStr">
        <is>
          <t>LM</t>
        </is>
      </c>
      <c r="I440" s="30" t="inlineStr">
        <is>
          <t>Fake Fail</t>
        </is>
      </c>
      <c r="J440" s="30" t="inlineStr">
        <is>
          <t>no call log and image of location provided</t>
        </is>
      </c>
      <c r="K440" s="30" t="inlineStr">
        <is>
          <t>Hartini</t>
        </is>
      </c>
    </row>
    <row r="441">
      <c r="A441" s="30" t="inlineStr">
        <is>
          <t>25/09/2026 17:55:18</t>
        </is>
      </c>
      <c r="B441" s="30" t="inlineStr">
        <is>
          <t>NVMYNRWAE000000555</t>
        </is>
      </c>
      <c r="C441" s="30" t="inlineStr">
        <is>
          <t>268742687414</t>
        </is>
      </c>
      <c r="D441" s="30" t="inlineStr">
        <is>
          <t>91886391</t>
        </is>
      </c>
      <c r="E441" s="30" t="inlineStr">
        <is>
          <t>Southern</t>
        </is>
      </c>
      <c r="F441" s="30" t="inlineStr">
        <is>
          <t>PTN</t>
        </is>
      </c>
      <c r="G441" s="30" t="inlineStr">
        <is>
          <t>PTN - OPS - IZZ</t>
        </is>
      </c>
      <c r="H441" s="30" t="inlineStr">
        <is>
          <t>LM</t>
        </is>
      </c>
      <c r="I441" s="30" t="inlineStr">
        <is>
          <t>Fake Fail</t>
        </is>
      </c>
      <c r="J441" s="30" t="inlineStr">
        <is>
          <t xml:space="preserve">POD invalid wrong contact number </t>
        </is>
      </c>
      <c r="K441" s="30" t="inlineStr">
        <is>
          <t>Ninja Hadif</t>
        </is>
      </c>
    </row>
    <row r="442">
      <c r="A442" s="30" t="inlineStr">
        <is>
          <t>25/09/2026 17:56:37</t>
        </is>
      </c>
      <c r="B442" s="30" t="inlineStr">
        <is>
          <t>NVMYPCTDA000003033</t>
        </is>
      </c>
      <c r="C442" s="30" t="inlineStr">
        <is>
          <t>266402684622</t>
        </is>
      </c>
      <c r="D442" s="30" t="inlineStr">
        <is>
          <t>91877241</t>
        </is>
      </c>
      <c r="E442" s="30" t="inlineStr">
        <is>
          <t>Southern</t>
        </is>
      </c>
      <c r="F442" s="30" t="inlineStr">
        <is>
          <t xml:space="preserve">MUA </t>
        </is>
      </c>
      <c r="G442" s="30" t="inlineStr">
        <is>
          <t>MUA - HR - SYUKRIAHEZAN</t>
        </is>
      </c>
      <c r="H442" s="30" t="inlineStr">
        <is>
          <t>LM</t>
        </is>
      </c>
      <c r="I442" s="30" t="inlineStr">
        <is>
          <t>Fake Fail</t>
        </is>
      </c>
      <c r="J442" s="30" t="inlineStr">
        <is>
          <t>driver fake fail with invalid POD which leads to parcel being RTS</t>
        </is>
      </c>
      <c r="K442" s="30" t="inlineStr">
        <is>
          <t>AIMENN AIYAD</t>
        </is>
      </c>
    </row>
    <row r="443">
      <c r="A443" s="30" t="inlineStr">
        <is>
          <t>25/09/2026 18:04:00</t>
        </is>
      </c>
      <c r="B443" s="30" t="inlineStr">
        <is>
          <t>DEONL1552139449979105280</t>
        </is>
      </c>
      <c r="C443" s="30" t="inlineStr">
        <is>
          <t>267142687578</t>
        </is>
      </c>
      <c r="D443" s="30" t="inlineStr">
        <is>
          <t>91890879</t>
        </is>
      </c>
      <c r="E443" s="30" t="inlineStr">
        <is>
          <t>Northern</t>
        </is>
      </c>
      <c r="F443" s="30" t="inlineStr">
        <is>
          <t>BAY</t>
        </is>
      </c>
      <c r="G443" s="30" t="inlineStr">
        <is>
          <t>BAY - ID - GOH SOO ENG</t>
        </is>
      </c>
      <c r="H443" s="30" t="inlineStr">
        <is>
          <t>LM</t>
        </is>
      </c>
      <c r="I443" s="30" t="inlineStr">
        <is>
          <t>Fake Fail</t>
        </is>
      </c>
      <c r="J443" s="30" t="inlineStr">
        <is>
          <t xml:space="preserve">driver attach fake pod and not attach correct location </t>
        </is>
      </c>
      <c r="K443" s="30" t="inlineStr">
        <is>
          <t>zati</t>
        </is>
      </c>
    </row>
    <row r="444">
      <c r="A444" s="30" t="inlineStr">
        <is>
          <t>26/09/2026 09:39:37</t>
        </is>
      </c>
      <c r="B444" s="30" t="inlineStr">
        <is>
          <t>NVMYCRGMABP3888094</t>
        </is>
      </c>
      <c r="C444" s="30" t="inlineStr">
        <is>
          <t>260712680172</t>
        </is>
      </c>
      <c r="D444" s="30" t="inlineStr">
        <is>
          <t>91894655</t>
        </is>
      </c>
      <c r="E444" s="30" t="inlineStr">
        <is>
          <t>Southern</t>
        </is>
      </c>
      <c r="F444" s="30" t="inlineStr">
        <is>
          <t>KEM</t>
        </is>
      </c>
      <c r="G444" s="30" t="inlineStr">
        <is>
          <t>BHU - FM - Mohammad Fahmi</t>
        </is>
      </c>
      <c r="H444" s="30" t="inlineStr">
        <is>
          <t>LM</t>
        </is>
      </c>
      <c r="I444" s="30" t="inlineStr">
        <is>
          <t>Fake Fail</t>
        </is>
      </c>
      <c r="J444" s="30" t="inlineStr">
        <is>
          <t>no call upon failing no call log attached</t>
        </is>
      </c>
      <c r="K444" s="30" t="inlineStr">
        <is>
          <t>AIMENN AIYAD</t>
        </is>
      </c>
    </row>
    <row r="445">
      <c r="A445" s="30" t="inlineStr">
        <is>
          <t>26/09/2026 10:18:21</t>
        </is>
      </c>
      <c r="B445" s="30" t="inlineStr">
        <is>
          <t>MYNJV70011815668</t>
        </is>
      </c>
      <c r="C445" s="30" t="inlineStr">
        <is>
          <t>267092695282</t>
        </is>
      </c>
      <c r="D445" s="30" t="inlineStr">
        <is>
          <t>91883289</t>
        </is>
      </c>
      <c r="E445" s="30" t="inlineStr">
        <is>
          <t>Southern</t>
        </is>
      </c>
      <c r="F445" s="30" t="inlineStr">
        <is>
          <t>KEM</t>
        </is>
      </c>
      <c r="G445" s="30" t="inlineStr">
        <is>
          <t>OPS - KEM</t>
        </is>
      </c>
      <c r="H445" s="30" t="inlineStr">
        <is>
          <t>LM</t>
        </is>
      </c>
      <c r="I445" s="30" t="inlineStr">
        <is>
          <t>Fake Fail</t>
        </is>
      </c>
      <c r="J445" s="30" t="inlineStr">
        <is>
          <t>Failed by OPS with an invalid POD. No call log</t>
        </is>
      </c>
      <c r="K445" s="30" t="inlineStr">
        <is>
          <t>AIMENN AIYAD</t>
        </is>
      </c>
    </row>
    <row r="446">
      <c r="A446" s="30" t="inlineStr">
        <is>
          <t>26/09/2026 10:19:38</t>
        </is>
      </c>
      <c r="B446" s="30" t="inlineStr">
        <is>
          <t>MYNJV70024105848</t>
        </is>
      </c>
      <c r="C446" s="30" t="inlineStr">
        <is>
          <t>263422666945</t>
        </is>
      </c>
      <c r="D446" s="30" t="inlineStr">
        <is>
          <t>91864441</t>
        </is>
      </c>
      <c r="E446" s="30" t="inlineStr">
        <is>
          <t>KV</t>
        </is>
      </c>
      <c r="F446" s="30" t="inlineStr">
        <is>
          <t>BTK</t>
        </is>
      </c>
      <c r="G446" s="30" t="inlineStr">
        <is>
          <t>BTK - ID - ZAYANI</t>
        </is>
      </c>
      <c r="H446" s="30" t="inlineStr">
        <is>
          <t>LM</t>
        </is>
      </c>
      <c r="I446" s="30" t="inlineStr">
        <is>
          <t>Deliver to Wrong Address</t>
        </is>
      </c>
      <c r="J446" s="30" t="inlineStr">
        <is>
          <t>completed 2026-09-22 but delivered to the wrong house. Customer collected the parcel itself on the same day make a complaint</t>
        </is>
      </c>
      <c r="K446" s="30" t="inlineStr">
        <is>
          <t>Syaza</t>
        </is>
      </c>
    </row>
    <row r="447">
      <c r="A447" s="30" t="inlineStr">
        <is>
          <t>26/09/2026 10:32:08</t>
        </is>
      </c>
      <c r="B447" s="30" t="inlineStr">
        <is>
          <t>NVMYAFAAG093340266</t>
        </is>
      </c>
      <c r="C447" s="30" t="inlineStr">
        <is>
          <t>267092695282</t>
        </is>
      </c>
      <c r="D447" s="30" t="inlineStr">
        <is>
          <t>91891177</t>
        </is>
      </c>
      <c r="E447" s="30" t="inlineStr">
        <is>
          <t>KV</t>
        </is>
      </c>
      <c r="F447" s="30" t="inlineStr">
        <is>
          <t xml:space="preserve">KSR </t>
        </is>
      </c>
      <c r="G447" s="30" t="inlineStr">
        <is>
          <t>KSR - ID - HASYIM RAJASSAMAN</t>
        </is>
      </c>
      <c r="H447" s="30" t="inlineStr">
        <is>
          <t>LM</t>
        </is>
      </c>
      <c r="I447" s="30" t="inlineStr">
        <is>
          <t>Fake Fail</t>
        </is>
      </c>
      <c r="J447" s="30" t="inlineStr">
        <is>
          <t>driver provide invalid call log for failed delivery attempt</t>
        </is>
      </c>
      <c r="K447" s="30" t="inlineStr">
        <is>
          <t>AIMENN AIYAD</t>
        </is>
      </c>
    </row>
    <row r="448">
      <c r="A448" s="30" t="inlineStr">
        <is>
          <t>26/09/2026 10:46:44</t>
        </is>
      </c>
      <c r="B448" s="30" t="inlineStr">
        <is>
          <t>NVMYVTERA0FB714726</t>
        </is>
      </c>
      <c r="C448" s="30" t="inlineStr">
        <is>
          <t>269562694530</t>
        </is>
      </c>
      <c r="D448" s="30" t="inlineStr">
        <is>
          <t>91894883</t>
        </is>
      </c>
      <c r="E448" s="30" t="inlineStr">
        <is>
          <t>KV</t>
        </is>
      </c>
      <c r="F448" s="30" t="inlineStr">
        <is>
          <t>OUG</t>
        </is>
      </c>
      <c r="G448" s="30" t="inlineStr">
        <is>
          <t>OPS - OUG</t>
        </is>
      </c>
      <c r="H448" s="30" t="inlineStr">
        <is>
          <t>LM</t>
        </is>
      </c>
      <c r="I448" s="30" t="inlineStr">
        <is>
          <t>Fake Fail</t>
        </is>
      </c>
      <c r="J448" s="30" t="inlineStr">
        <is>
          <t>failed by OPS, invalid Call log attached</t>
        </is>
      </c>
      <c r="K448" s="30" t="inlineStr">
        <is>
          <t>AIMENN AIYAD</t>
        </is>
      </c>
    </row>
    <row r="449">
      <c r="A449" s="30" t="inlineStr">
        <is>
          <t>26/09/2026 10:51:32</t>
        </is>
      </c>
      <c r="B449" s="30" t="inlineStr">
        <is>
          <t>MUJIM0000092080419</t>
        </is>
      </c>
      <c r="C449" s="30" t="inlineStr">
        <is>
          <t>269622697614</t>
        </is>
      </c>
      <c r="D449" s="30" t="inlineStr">
        <is>
          <t>91890717</t>
        </is>
      </c>
      <c r="E449" s="30" t="inlineStr">
        <is>
          <t>Northern</t>
        </is>
      </c>
      <c r="F449" s="30" t="inlineStr">
        <is>
          <t xml:space="preserve">SPT </t>
        </is>
      </c>
      <c r="G449" s="30" t="inlineStr">
        <is>
          <t>SPT - ID - MOHD HALIMI</t>
        </is>
      </c>
      <c r="H449" s="30" t="inlineStr">
        <is>
          <t>LM</t>
        </is>
      </c>
      <c r="I449" s="30" t="inlineStr">
        <is>
          <t>Fake Fail</t>
        </is>
      </c>
      <c r="J449" s="30" t="inlineStr">
        <is>
          <t>driver went to the wrong location invalid POD for failed reason</t>
        </is>
      </c>
      <c r="K449" s="30" t="inlineStr">
        <is>
          <t>AIMENN AIYAD</t>
        </is>
      </c>
    </row>
    <row r="450">
      <c r="A450" s="30" t="inlineStr">
        <is>
          <t>26/09/2026 10:55:56</t>
        </is>
      </c>
      <c r="B450" s="30" t="inlineStr">
        <is>
          <t>AMNV005968012</t>
        </is>
      </c>
      <c r="C450" s="30" t="inlineStr">
        <is>
          <t>262092696869</t>
        </is>
      </c>
      <c r="D450" s="30" t="inlineStr">
        <is>
          <t>91889299</t>
        </is>
      </c>
      <c r="E450" s="30" t="inlineStr">
        <is>
          <t>KV</t>
        </is>
      </c>
      <c r="F450" s="30" t="inlineStr">
        <is>
          <t>BTR</t>
        </is>
      </c>
      <c r="G450" s="30" t="inlineStr">
        <is>
          <t>OPS - BTR</t>
        </is>
      </c>
      <c r="H450" s="30" t="inlineStr">
        <is>
          <t>LM</t>
        </is>
      </c>
      <c r="I450" s="30" t="inlineStr">
        <is>
          <t>Fake Fail</t>
        </is>
      </c>
      <c r="J450" s="30" t="inlineStr">
        <is>
          <t>failed by OPS, invalid POD no call log</t>
        </is>
      </c>
      <c r="K450" s="30" t="inlineStr">
        <is>
          <t>AIMENN AIYAD</t>
        </is>
      </c>
    </row>
    <row r="451">
      <c r="A451" s="30" t="inlineStr">
        <is>
          <t>26/09/2026 10:57:45</t>
        </is>
      </c>
      <c r="B451" s="30" t="inlineStr">
        <is>
          <t>KPSLT1552534938003660800</t>
        </is>
      </c>
      <c r="C451" s="30" t="inlineStr">
        <is>
          <t>262522696026</t>
        </is>
      </c>
      <c r="D451" s="30" t="inlineStr">
        <is>
          <t>91893908</t>
        </is>
      </c>
      <c r="E451" s="30" t="inlineStr">
        <is>
          <t>South West</t>
        </is>
      </c>
      <c r="F451" s="30" t="inlineStr">
        <is>
          <t>SBN</t>
        </is>
      </c>
      <c r="G451" s="30" t="inlineStr">
        <is>
          <t>Putera IRFAN - OPS - SBN</t>
        </is>
      </c>
      <c r="H451" s="30" t="inlineStr">
        <is>
          <t>LM</t>
        </is>
      </c>
      <c r="I451" s="30" t="inlineStr">
        <is>
          <t>Fake Fail</t>
        </is>
      </c>
      <c r="J451" s="30" t="inlineStr">
        <is>
          <t>Invalid POD and wrong failed delivery reason</t>
        </is>
      </c>
      <c r="K451" s="30" t="inlineStr">
        <is>
          <t>AIMENN AIYAD</t>
        </is>
      </c>
    </row>
    <row r="452">
      <c r="A452" s="30" t="inlineStr">
        <is>
          <t>26/09/2026 10:59:25</t>
        </is>
      </c>
      <c r="B452" s="30" t="inlineStr">
        <is>
          <t>NVMYINISF03196313A</t>
        </is>
      </c>
      <c r="C452" s="30" t="inlineStr">
        <is>
          <t>264882696406</t>
        </is>
      </c>
      <c r="D452" s="30" t="inlineStr">
        <is>
          <t>91895026</t>
        </is>
      </c>
      <c r="E452" s="30" t="inlineStr">
        <is>
          <t>KV</t>
        </is>
      </c>
      <c r="F452" s="30" t="inlineStr">
        <is>
          <t>PJY</t>
        </is>
      </c>
      <c r="G452" s="30" t="inlineStr">
        <is>
          <t>OPS - PJY</t>
        </is>
      </c>
      <c r="H452" s="30" t="inlineStr">
        <is>
          <t>LM</t>
        </is>
      </c>
      <c r="I452" s="30" t="inlineStr">
        <is>
          <t>Fake Fail</t>
        </is>
      </c>
      <c r="J452" s="30" t="inlineStr">
        <is>
          <t>Failed by OPS with an invalid POD. no call log</t>
        </is>
      </c>
      <c r="K452" s="30" t="inlineStr">
        <is>
          <t>AIMENN AIYAD</t>
        </is>
      </c>
    </row>
    <row r="453">
      <c r="A453" s="30" t="inlineStr">
        <is>
          <t>26/09/2026 11:06:46</t>
        </is>
      </c>
      <c r="B453" s="30" t="inlineStr">
        <is>
          <t>NVMYDA1LY000003664</t>
        </is>
      </c>
      <c r="C453" s="30" t="inlineStr">
        <is>
          <t>266072677187</t>
        </is>
      </c>
      <c r="D453" s="30" t="inlineStr">
        <is>
          <t>91873529</t>
        </is>
      </c>
      <c r="E453" s="30" t="inlineStr">
        <is>
          <t>South West</t>
        </is>
      </c>
      <c r="F453" s="30" t="inlineStr">
        <is>
          <t xml:space="preserve">NIL </t>
        </is>
      </c>
      <c r="G453" s="30" t="inlineStr">
        <is>
          <t>NIL - ID - IZHAM</t>
        </is>
      </c>
      <c r="H453" s="30" t="inlineStr">
        <is>
          <t>LM</t>
        </is>
      </c>
      <c r="I453" s="30" t="inlineStr">
        <is>
          <t>Fake Success</t>
        </is>
      </c>
      <c r="J453" s="30" t="inlineStr">
        <is>
          <t>Competed 2026-09-23 but cust not received (pod invalid, no call log/ws). Cust received after complaint lodge</t>
        </is>
      </c>
      <c r="K453" s="30" t="inlineStr">
        <is>
          <t>Syaza</t>
        </is>
      </c>
    </row>
    <row r="454">
      <c r="A454" s="30" t="inlineStr">
        <is>
          <t>26/09/2026 11:17:18</t>
        </is>
      </c>
      <c r="B454" s="30" t="inlineStr">
        <is>
          <t>NVMYADI00000420606</t>
        </is>
      </c>
      <c r="C454" s="30" t="inlineStr">
        <is>
          <t>261902676673</t>
        </is>
      </c>
      <c r="D454" s="30" t="inlineStr">
        <is>
          <t>91810635</t>
        </is>
      </c>
      <c r="E454" s="30" t="inlineStr">
        <is>
          <t>KV</t>
        </is>
      </c>
      <c r="F454" s="30" t="inlineStr">
        <is>
          <t xml:space="preserve">BGR </t>
        </is>
      </c>
      <c r="G454" s="30" t="inlineStr">
        <is>
          <t>BGR - ID - FAIZZ</t>
        </is>
      </c>
      <c r="H454" s="30" t="inlineStr">
        <is>
          <t>LM</t>
        </is>
      </c>
      <c r="I454" s="30" t="inlineStr">
        <is>
          <t>Fake Success</t>
        </is>
      </c>
      <c r="J454" s="30" t="inlineStr">
        <is>
          <t>Completed 2026-09-15 but cust unable to found the parcel. Pod invalid (no call log/ws)</t>
        </is>
      </c>
      <c r="K454" s="30" t="inlineStr">
        <is>
          <t>Syaza</t>
        </is>
      </c>
    </row>
    <row r="455">
      <c r="A455" s="30" t="inlineStr">
        <is>
          <t>26/09/2026 11:33:06</t>
        </is>
      </c>
      <c r="B455" s="30" t="inlineStr">
        <is>
          <t>NVMYPKGRO000003887</t>
        </is>
      </c>
      <c r="C455" s="30" t="inlineStr">
        <is>
          <t>266562690419</t>
        </is>
      </c>
      <c r="D455" s="30" t="inlineStr">
        <is>
          <t>91883809</t>
        </is>
      </c>
      <c r="E455" s="30" t="inlineStr">
        <is>
          <t>Northern</t>
        </is>
      </c>
      <c r="F455" s="30" t="inlineStr">
        <is>
          <t xml:space="preserve">KLM </t>
        </is>
      </c>
      <c r="G455" s="30" t="inlineStr">
        <is>
          <t xml:space="preserve">
KLM - ID - MUHAMMAD FIRDAUS</t>
        </is>
      </c>
      <c r="H455" s="30" t="inlineStr">
        <is>
          <t>LM</t>
        </is>
      </c>
      <c r="I455" s="30" t="inlineStr">
        <is>
          <t>Fake Fail</t>
        </is>
      </c>
      <c r="J455" s="30" t="inlineStr">
        <is>
          <t>invalid call log, wrong number</t>
        </is>
      </c>
      <c r="K455" s="30" t="inlineStr">
        <is>
          <t>AIMENN AIYAD</t>
        </is>
      </c>
    </row>
    <row r="456">
      <c r="A456" s="30" t="inlineStr">
        <is>
          <t>26/09/2026 11:34:00</t>
        </is>
      </c>
      <c r="B456" s="30" t="inlineStr">
        <is>
          <t>ANTEX1551895848224653312</t>
        </is>
      </c>
      <c r="C456" s="30" t="inlineStr">
        <is>
          <t>269052690113</t>
        </is>
      </c>
      <c r="D456" s="30" t="inlineStr">
        <is>
          <t>91889146</t>
        </is>
      </c>
      <c r="E456" s="30" t="inlineStr">
        <is>
          <t>KV</t>
        </is>
      </c>
      <c r="F456" s="30" t="inlineStr">
        <is>
          <t>PJY</t>
        </is>
      </c>
      <c r="G456" s="30" t="inlineStr">
        <is>
          <t xml:space="preserve">OPS - PJY
</t>
        </is>
      </c>
      <c r="H456" s="30" t="inlineStr">
        <is>
          <t>LM</t>
        </is>
      </c>
      <c r="I456" s="30" t="inlineStr">
        <is>
          <t>Fake Fail</t>
        </is>
      </c>
      <c r="J456" s="30" t="inlineStr">
        <is>
          <t xml:space="preserve">No call </t>
        </is>
      </c>
      <c r="K456" s="30" t="inlineStr">
        <is>
          <t xml:space="preserve">Syafiq </t>
        </is>
      </c>
    </row>
    <row r="457">
      <c r="A457" s="30" t="inlineStr">
        <is>
          <t>26/09/2026 11:48:48</t>
        </is>
      </c>
      <c r="B457" s="30" t="inlineStr">
        <is>
          <t>NVMYNCREA000000612</t>
        </is>
      </c>
      <c r="C457" s="30" t="inlineStr">
        <is>
          <t>267852676902</t>
        </is>
      </c>
      <c r="D457" s="30" t="inlineStr">
        <is>
          <t>91862791</t>
        </is>
      </c>
      <c r="E457" s="30" t="inlineStr">
        <is>
          <t>KV</t>
        </is>
      </c>
      <c r="F457" s="30" t="inlineStr">
        <is>
          <t>BMC</t>
        </is>
      </c>
      <c r="G457" s="30" t="inlineStr">
        <is>
          <t>KV2 - FM - Fandi Wak Syaaroni</t>
        </is>
      </c>
      <c r="H457" s="30" t="inlineStr">
        <is>
          <t>FM</t>
        </is>
      </c>
      <c r="I457" s="30" t="inlineStr">
        <is>
          <t>Fake Success</t>
        </is>
      </c>
      <c r="J457" s="30" t="inlineStr">
        <is>
          <t>Completed 2026-09-22 but cust not received. No call/ws from the driver</t>
        </is>
      </c>
      <c r="K457" s="30" t="inlineStr">
        <is>
          <t>Syaza</t>
        </is>
      </c>
    </row>
    <row r="458">
      <c r="A458" s="30" t="inlineStr">
        <is>
          <t>26/09/2026 12:11:56</t>
        </is>
      </c>
      <c r="B458" s="30" t="inlineStr">
        <is>
          <t>TNGDV2609206888477350</t>
        </is>
      </c>
      <c r="C458" s="30" t="inlineStr">
        <is>
          <t>265332696011</t>
        </is>
      </c>
      <c r="D458" s="30" t="inlineStr">
        <is>
          <t>91877170</t>
        </is>
      </c>
      <c r="E458" s="30" t="inlineStr">
        <is>
          <t>Southern</t>
        </is>
      </c>
      <c r="F458" s="30" t="inlineStr">
        <is>
          <t xml:space="preserve">GLG </t>
        </is>
      </c>
      <c r="G458" s="30" t="inlineStr">
        <is>
          <t xml:space="preserve">GLG - OPS - ENGKU
</t>
        </is>
      </c>
      <c r="H458" s="30" t="inlineStr">
        <is>
          <t>LM</t>
        </is>
      </c>
      <c r="I458" s="30" t="inlineStr">
        <is>
          <t>Fake Fail</t>
        </is>
      </c>
      <c r="J458" s="30" t="inlineStr">
        <is>
          <t>invalid POD. No call upon failing</t>
        </is>
      </c>
      <c r="K458" s="30" t="inlineStr">
        <is>
          <t>AIMENN AIYAD</t>
        </is>
      </c>
    </row>
    <row r="459">
      <c r="A459" s="30" t="inlineStr">
        <is>
          <t>26/09/2026 12:50:49</t>
        </is>
      </c>
      <c r="B459" s="30" t="inlineStr">
        <is>
          <t xml:space="preserve">NLMYA72425530
</t>
        </is>
      </c>
      <c r="C459" s="30" t="inlineStr">
        <is>
          <t>267822695719</t>
        </is>
      </c>
      <c r="D459" s="30" t="inlineStr">
        <is>
          <t>91894911</t>
        </is>
      </c>
      <c r="E459" s="30" t="inlineStr">
        <is>
          <t>Southern</t>
        </is>
      </c>
      <c r="F459" s="30" t="inlineStr">
        <is>
          <t xml:space="preserve">TRM </t>
        </is>
      </c>
      <c r="G459" s="30" t="inlineStr">
        <is>
          <t xml:space="preserve">TRM - OPS - ULU TIRAM
</t>
        </is>
      </c>
      <c r="H459" s="30" t="inlineStr">
        <is>
          <t>LM</t>
        </is>
      </c>
      <c r="I459" s="30" t="inlineStr">
        <is>
          <t>Fake Fail</t>
        </is>
      </c>
      <c r="J459" s="30" t="inlineStr">
        <is>
          <t>invalid call log for failed delivery reason</t>
        </is>
      </c>
      <c r="K459" s="30" t="inlineStr">
        <is>
          <t>AIMENN AIYAD</t>
        </is>
      </c>
    </row>
    <row r="460">
      <c r="A460" s="30" t="inlineStr">
        <is>
          <t>26/09/2026 12:53:14</t>
        </is>
      </c>
      <c r="B460" s="30" t="inlineStr">
        <is>
          <t>JY200159772</t>
        </is>
      </c>
      <c r="C460" s="30" t="inlineStr">
        <is>
          <t>263722698242</t>
        </is>
      </c>
      <c r="D460" s="30" t="inlineStr">
        <is>
          <t>91877221</t>
        </is>
      </c>
      <c r="E460" s="30" t="inlineStr">
        <is>
          <t>Southern</t>
        </is>
      </c>
      <c r="F460" s="30" t="inlineStr">
        <is>
          <t xml:space="preserve">LKN </t>
        </is>
      </c>
      <c r="G460" s="30" t="inlineStr">
        <is>
          <t>LKN - ID - FIRDAUS</t>
        </is>
      </c>
      <c r="H460" s="30" t="inlineStr">
        <is>
          <t>LM</t>
        </is>
      </c>
      <c r="I460" s="30" t="inlineStr">
        <is>
          <t>Fake Fail</t>
        </is>
      </c>
      <c r="J460" s="30" t="inlineStr">
        <is>
          <t>no location photo for failed delivery reason</t>
        </is>
      </c>
      <c r="K460" s="30" t="inlineStr">
        <is>
          <t>AIMENN AIYAD</t>
        </is>
      </c>
    </row>
    <row r="461">
      <c r="A461" s="30" t="inlineStr">
        <is>
          <t>26/09/2026 12:55:04</t>
        </is>
      </c>
      <c r="B461" s="30" t="inlineStr">
        <is>
          <t>AEMYA000634058</t>
        </is>
      </c>
      <c r="C461" s="30" t="inlineStr">
        <is>
          <t>269472699272</t>
        </is>
      </c>
      <c r="D461" s="30" t="inlineStr">
        <is>
          <t>91874682</t>
        </is>
      </c>
      <c r="E461" s="30" t="inlineStr">
        <is>
          <t>KV</t>
        </is>
      </c>
      <c r="F461" s="30" t="inlineStr">
        <is>
          <t xml:space="preserve">BMC </t>
        </is>
      </c>
      <c r="G461" s="30" t="inlineStr">
        <is>
          <t>BMC - ID - RIDUAN ABDULLAH</t>
        </is>
      </c>
      <c r="H461" s="30" t="inlineStr">
        <is>
          <t>LM</t>
        </is>
      </c>
      <c r="I461" s="30" t="inlineStr">
        <is>
          <t>Fake Fail</t>
        </is>
      </c>
      <c r="J461" s="30" t="inlineStr">
        <is>
          <t>Invalid POD wrong location photo</t>
        </is>
      </c>
      <c r="K461" s="30" t="inlineStr">
        <is>
          <t>AIMENN AIYAD</t>
        </is>
      </c>
    </row>
    <row r="462">
      <c r="A462" s="30" t="inlineStr">
        <is>
          <t>26/09/2026 12:56:49</t>
        </is>
      </c>
      <c r="B462" s="30" t="inlineStr">
        <is>
          <t>NVMYRDSPP000000053</t>
        </is>
      </c>
      <c r="C462" s="30" t="inlineStr">
        <is>
          <t>262112697319</t>
        </is>
      </c>
      <c r="D462" s="30" t="inlineStr">
        <is>
          <t>91890028</t>
        </is>
      </c>
      <c r="E462" s="30" t="inlineStr">
        <is>
          <t>Southern</t>
        </is>
      </c>
      <c r="F462" s="30" t="inlineStr">
        <is>
          <t>KLI</t>
        </is>
      </c>
      <c r="G462" s="30" t="inlineStr">
        <is>
          <t>OPS - KULAI</t>
        </is>
      </c>
      <c r="H462" s="30" t="inlineStr">
        <is>
          <t>LM</t>
        </is>
      </c>
      <c r="I462" s="30" t="inlineStr">
        <is>
          <t>Fake Fail</t>
        </is>
      </c>
      <c r="J462" s="30" t="inlineStr">
        <is>
          <t>failed by OPS with invalid POD no call log</t>
        </is>
      </c>
      <c r="K462" s="30" t="inlineStr">
        <is>
          <t>AIMENN AIYAD</t>
        </is>
      </c>
    </row>
    <row r="463">
      <c r="A463" s="30" t="inlineStr">
        <is>
          <t>26/09/2026 12:58:16</t>
        </is>
      </c>
      <c r="B463" s="30" t="inlineStr">
        <is>
          <t>DDLMM1550802115664117760</t>
        </is>
      </c>
      <c r="C463" s="30" t="inlineStr">
        <is>
          <t>269332698860</t>
        </is>
      </c>
      <c r="D463" s="30" t="inlineStr">
        <is>
          <t>91883071</t>
        </is>
      </c>
      <c r="E463" s="30" t="inlineStr">
        <is>
          <t>Southern</t>
        </is>
      </c>
      <c r="F463" s="30" t="inlineStr">
        <is>
          <t>NSJ</t>
        </is>
      </c>
      <c r="G463" s="30" t="inlineStr">
        <is>
          <t>OPS - NSJ</t>
        </is>
      </c>
      <c r="H463" s="30" t="inlineStr">
        <is>
          <t>LM</t>
        </is>
      </c>
      <c r="I463" s="30" t="inlineStr">
        <is>
          <t>Fake Fail</t>
        </is>
      </c>
      <c r="J463" s="30" t="inlineStr">
        <is>
          <t>failed by OPS with invalid POD no call log</t>
        </is>
      </c>
      <c r="K463" s="30" t="inlineStr">
        <is>
          <t>AIMENN  AIYAD</t>
        </is>
      </c>
    </row>
    <row r="464">
      <c r="A464" s="30" t="inlineStr">
        <is>
          <t>26/09/2026 13:00:02</t>
        </is>
      </c>
      <c r="B464" s="30" t="inlineStr">
        <is>
          <t>TNGE326080018402666750</t>
        </is>
      </c>
      <c r="C464" s="30" t="inlineStr">
        <is>
          <t>267222694601</t>
        </is>
      </c>
      <c r="D464" s="30" t="inlineStr">
        <is>
          <t>91883071</t>
        </is>
      </c>
      <c r="E464" s="30" t="inlineStr">
        <is>
          <t>Southern</t>
        </is>
      </c>
      <c r="F464" s="30" t="inlineStr">
        <is>
          <t>NSJ</t>
        </is>
      </c>
      <c r="G464" s="30" t="inlineStr">
        <is>
          <t>OPS - NSJ</t>
        </is>
      </c>
      <c r="H464" s="30" t="inlineStr">
        <is>
          <t>LM</t>
        </is>
      </c>
      <c r="I464" s="30" t="inlineStr">
        <is>
          <t>Fake Fail</t>
        </is>
      </c>
      <c r="J464" s="30" t="inlineStr">
        <is>
          <t>Failed by OPS with invalid POD no call log</t>
        </is>
      </c>
      <c r="K464" s="30" t="inlineStr">
        <is>
          <t>AIMENN AIYAD</t>
        </is>
      </c>
    </row>
    <row r="465">
      <c r="A465" s="30" t="inlineStr">
        <is>
          <t>26/09/2026 13:04:47</t>
        </is>
      </c>
      <c r="B465" s="30" t="inlineStr">
        <is>
          <t>STDMYLJJ7468743512</t>
        </is>
      </c>
      <c r="C465" s="30" t="inlineStr">
        <is>
          <t>263192690216</t>
        </is>
      </c>
      <c r="D465" s="30" t="inlineStr">
        <is>
          <t>91890028</t>
        </is>
      </c>
      <c r="E465" s="30" t="inlineStr">
        <is>
          <t>Southern</t>
        </is>
      </c>
      <c r="F465" s="30" t="inlineStr">
        <is>
          <t>KLI</t>
        </is>
      </c>
      <c r="G465" s="30" t="inlineStr">
        <is>
          <t>OPS - KULAI</t>
        </is>
      </c>
      <c r="H465" s="30" t="inlineStr">
        <is>
          <t>LM</t>
        </is>
      </c>
      <c r="I465" s="30" t="inlineStr">
        <is>
          <t>Fake Fail</t>
        </is>
      </c>
      <c r="J465" s="30" t="inlineStr">
        <is>
          <t>failed by OPS with invalid POD no call log</t>
        </is>
      </c>
      <c r="K465" s="30" t="inlineStr">
        <is>
          <t>AIMENN AIYAD</t>
        </is>
      </c>
    </row>
    <row r="466">
      <c r="A466" s="30" t="inlineStr">
        <is>
          <t>26/09/2026 13:12:48</t>
        </is>
      </c>
      <c r="B466" s="30" t="inlineStr">
        <is>
          <t>MATAC1551813969266601984</t>
        </is>
      </c>
      <c r="C466" s="30" t="inlineStr">
        <is>
          <t>264822691590</t>
        </is>
      </c>
      <c r="D466" s="30" t="inlineStr">
        <is>
          <t>91889146</t>
        </is>
      </c>
      <c r="E466" s="30" t="inlineStr">
        <is>
          <t>KV</t>
        </is>
      </c>
      <c r="F466" s="30" t="inlineStr">
        <is>
          <t>PJY</t>
        </is>
      </c>
      <c r="G466" s="30" t="inlineStr">
        <is>
          <t xml:space="preserve">
OPS - PJY</t>
        </is>
      </c>
      <c r="H466" s="30" t="inlineStr">
        <is>
          <t>LM</t>
        </is>
      </c>
      <c r="I466" s="30" t="inlineStr">
        <is>
          <t>Fake Fail</t>
        </is>
      </c>
      <c r="J466" s="30" t="inlineStr">
        <is>
          <t xml:space="preserve">driver not attach correct location </t>
        </is>
      </c>
      <c r="K466" s="30" t="inlineStr">
        <is>
          <t>zati</t>
        </is>
      </c>
    </row>
    <row r="467">
      <c r="A467" s="30" t="inlineStr">
        <is>
          <t>26/09/2026 13:17:28</t>
        </is>
      </c>
      <c r="B467" s="30" t="inlineStr">
        <is>
          <t>AEMYA000632007</t>
        </is>
      </c>
      <c r="C467" s="30" t="inlineStr">
        <is>
          <t>268142699167</t>
        </is>
      </c>
      <c r="D467" s="30" t="inlineStr">
        <is>
          <t>91894222</t>
        </is>
      </c>
      <c r="E467" s="30" t="inlineStr">
        <is>
          <t>East MY</t>
        </is>
      </c>
      <c r="F467" s="30" t="inlineStr">
        <is>
          <t xml:space="preserve">BKW </t>
        </is>
      </c>
      <c r="G467" s="30" t="inlineStr">
        <is>
          <t>BKW - ID - KENNETH</t>
        </is>
      </c>
      <c r="H467" s="30" t="inlineStr">
        <is>
          <t>LM</t>
        </is>
      </c>
      <c r="I467" s="30" t="inlineStr">
        <is>
          <t>Fake Fail</t>
        </is>
      </c>
      <c r="J467" s="30" t="inlineStr">
        <is>
          <t>Wrong location upload by driver</t>
        </is>
      </c>
      <c r="K467" s="30" t="inlineStr">
        <is>
          <t>AIMENN AIYAD</t>
        </is>
      </c>
    </row>
    <row r="468">
      <c r="A468" s="30" t="inlineStr">
        <is>
          <t>26/09/2026 13:19:00</t>
        </is>
      </c>
      <c r="B468" s="30" t="inlineStr">
        <is>
          <t>TNGDV2609126845835910</t>
        </is>
      </c>
      <c r="C468" s="30" t="inlineStr">
        <is>
          <t>269452617799</t>
        </is>
      </c>
      <c r="D468" s="30" t="inlineStr">
        <is>
          <t>91820377</t>
        </is>
      </c>
      <c r="E468" s="30" t="inlineStr">
        <is>
          <t>KV</t>
        </is>
      </c>
      <c r="F468" s="30" t="inlineStr">
        <is>
          <t>CKT</t>
        </is>
      </c>
      <c r="G468" s="30" t="inlineStr">
        <is>
          <t>ARVINDRAN SHANMUGAM</t>
        </is>
      </c>
      <c r="H468" s="30" t="inlineStr">
        <is>
          <t>LM</t>
        </is>
      </c>
      <c r="I468" s="30" t="inlineStr">
        <is>
          <t>Fake Success</t>
        </is>
      </c>
      <c r="J468" s="30" t="inlineStr">
        <is>
          <t>Pod invalid (no call log/WS respond). Done retrieve, revert status and resume delivery to the correct address</t>
        </is>
      </c>
      <c r="K468" s="30" t="inlineStr">
        <is>
          <t>Syaza</t>
        </is>
      </c>
    </row>
    <row r="469">
      <c r="A469" s="30" t="inlineStr">
        <is>
          <t>26/09/2026 13:29:56</t>
        </is>
      </c>
      <c r="B469" s="30" t="inlineStr">
        <is>
          <t xml:space="preserve">NVMYMYRAM000074165
</t>
        </is>
      </c>
      <c r="C469" s="30" t="inlineStr">
        <is>
          <t>269392694015</t>
        </is>
      </c>
      <c r="D469" s="30" t="inlineStr">
        <is>
          <t>91881967</t>
        </is>
      </c>
      <c r="E469" s="30" t="inlineStr">
        <is>
          <t>Southern</t>
        </is>
      </c>
      <c r="F469" s="30" t="inlineStr">
        <is>
          <t>GMR</t>
        </is>
      </c>
      <c r="G469" s="30" t="inlineStr">
        <is>
          <t xml:space="preserve">
GMR - ID - FARHAN</t>
        </is>
      </c>
      <c r="H469" s="30" t="inlineStr">
        <is>
          <t>LM</t>
        </is>
      </c>
      <c r="I469" s="30" t="inlineStr">
        <is>
          <t>Fake Fail</t>
        </is>
      </c>
      <c r="J469" s="30" t="inlineStr">
        <is>
          <t>no call log</t>
        </is>
      </c>
      <c r="K469" s="30" t="inlineStr">
        <is>
          <t>Abdul</t>
        </is>
      </c>
    </row>
    <row r="470">
      <c r="A470" s="30" t="inlineStr">
        <is>
          <t>26/09/2026 13:45:07</t>
        </is>
      </c>
      <c r="B470" s="30" t="inlineStr">
        <is>
          <t>TNGDV2609186908204390</t>
        </is>
      </c>
      <c r="C470" s="30" t="inlineStr">
        <is>
          <t>262142690920</t>
        </is>
      </c>
      <c r="D470" s="30" t="inlineStr">
        <is>
          <t>91887363</t>
        </is>
      </c>
      <c r="E470" s="30" t="inlineStr">
        <is>
          <t>East MY</t>
        </is>
      </c>
      <c r="F470" s="30" t="inlineStr">
        <is>
          <t>MYY</t>
        </is>
      </c>
      <c r="G470" s="30" t="inlineStr">
        <is>
          <t>MYY - NV ADDRESS</t>
        </is>
      </c>
      <c r="H470" s="30" t="inlineStr">
        <is>
          <t>LM</t>
        </is>
      </c>
      <c r="I470" s="30" t="inlineStr">
        <is>
          <t>Fake Fail</t>
        </is>
      </c>
      <c r="J470" s="30" t="inlineStr">
        <is>
          <t xml:space="preserve">call log attach is not belong to customer </t>
        </is>
      </c>
      <c r="K470" s="30" t="inlineStr">
        <is>
          <t>zati</t>
        </is>
      </c>
    </row>
    <row r="471">
      <c r="A471" s="30" t="inlineStr">
        <is>
          <t>26/09/2026 13:53:39</t>
        </is>
      </c>
      <c r="B471" s="30" t="inlineStr">
        <is>
          <t>AEMYA000632784</t>
        </is>
      </c>
      <c r="C471" s="30" t="inlineStr">
        <is>
          <t>266712690186</t>
        </is>
      </c>
      <c r="D471" s="30" t="inlineStr">
        <is>
          <t>91877498</t>
        </is>
      </c>
      <c r="E471" s="30" t="inlineStr">
        <is>
          <t>KV</t>
        </is>
      </c>
      <c r="F471" s="30" t="inlineStr">
        <is>
          <t>OUG</t>
        </is>
      </c>
      <c r="G471" s="30" t="inlineStr">
        <is>
          <t>OPS - OUG</t>
        </is>
      </c>
      <c r="H471" s="30" t="inlineStr">
        <is>
          <t>LM</t>
        </is>
      </c>
      <c r="I471" s="30" t="inlineStr">
        <is>
          <t>Fake Fail</t>
        </is>
      </c>
      <c r="J471" s="30" t="inlineStr">
        <is>
          <t>The driver did not call the customer. Based on the attached call log, there was only one call attempt recorded.</t>
        </is>
      </c>
      <c r="K471" s="30" t="inlineStr">
        <is>
          <t>zati</t>
        </is>
      </c>
    </row>
    <row r="472">
      <c r="A472" s="30" t="inlineStr">
        <is>
          <t>26/09/2026 14:37:16</t>
        </is>
      </c>
      <c r="B472" s="30" t="inlineStr">
        <is>
          <t>MAILB1552598312402010112</t>
        </is>
      </c>
      <c r="C472" s="30" t="inlineStr">
        <is>
          <t>263812694937</t>
        </is>
      </c>
      <c r="D472" s="30" t="inlineStr">
        <is>
          <t>91894949</t>
        </is>
      </c>
      <c r="E472" s="30" t="inlineStr">
        <is>
          <t>KV</t>
        </is>
      </c>
      <c r="F472" s="30" t="inlineStr">
        <is>
          <t>DSA</t>
        </is>
      </c>
      <c r="G472" s="30" t="inlineStr">
        <is>
          <t>OPS - DSA</t>
        </is>
      </c>
      <c r="H472" s="30" t="inlineStr">
        <is>
          <t>LM</t>
        </is>
      </c>
      <c r="I472" s="30" t="inlineStr">
        <is>
          <t>Fake Fail</t>
        </is>
      </c>
      <c r="J472" s="30" t="inlineStr">
        <is>
          <t>driver not call the customer and no call log attach</t>
        </is>
      </c>
      <c r="K472" s="30" t="inlineStr">
        <is>
          <t>zati</t>
        </is>
      </c>
    </row>
    <row r="473">
      <c r="A473" s="30" t="inlineStr">
        <is>
          <t>26/09/2026 15:12:23</t>
        </is>
      </c>
      <c r="B473" s="30" t="inlineStr">
        <is>
          <t>AEMYA000639251</t>
        </is>
      </c>
      <c r="C473" s="30" t="inlineStr">
        <is>
          <t>266452692970</t>
        </is>
      </c>
      <c r="D473" s="30" t="inlineStr">
        <is>
          <t>91894977</t>
        </is>
      </c>
      <c r="E473" s="30" t="inlineStr">
        <is>
          <t>Southern</t>
        </is>
      </c>
      <c r="F473" s="30" t="inlineStr">
        <is>
          <t xml:space="preserve">GLG </t>
        </is>
      </c>
      <c r="G473" s="30" t="inlineStr">
        <is>
          <t>GLG - OPS - ENGKU</t>
        </is>
      </c>
      <c r="H473" s="30" t="inlineStr">
        <is>
          <t>LM</t>
        </is>
      </c>
      <c r="I473" s="30" t="inlineStr">
        <is>
          <t>Fake Fail</t>
        </is>
      </c>
      <c r="J473" s="30" t="inlineStr">
        <is>
          <t>no cll log or whatsapp attach</t>
        </is>
      </c>
      <c r="K473" s="30" t="inlineStr">
        <is>
          <t>zati</t>
        </is>
      </c>
    </row>
    <row r="474">
      <c r="A474" s="30" t="inlineStr">
        <is>
          <t>26/09/2026 15:13:44</t>
        </is>
      </c>
      <c r="B474" s="30" t="inlineStr">
        <is>
          <t>NVMYREMDR000001209</t>
        </is>
      </c>
      <c r="C474" s="30" t="inlineStr">
        <is>
          <t>269842693625</t>
        </is>
      </c>
      <c r="D474" s="30" t="inlineStr">
        <is>
          <t>91883290</t>
        </is>
      </c>
      <c r="E474" s="30" t="inlineStr">
        <is>
          <t>Southern</t>
        </is>
      </c>
      <c r="F474" s="30" t="inlineStr">
        <is>
          <t>KEM</t>
        </is>
      </c>
      <c r="G474" s="30" t="inlineStr">
        <is>
          <t>OPS - KEM</t>
        </is>
      </c>
      <c r="H474" s="30" t="inlineStr">
        <is>
          <t>LM</t>
        </is>
      </c>
      <c r="I474" s="30" t="inlineStr">
        <is>
          <t>Fake Fail</t>
        </is>
      </c>
      <c r="J474" s="30" t="inlineStr">
        <is>
          <t>no call log</t>
        </is>
      </c>
      <c r="K474" s="30" t="inlineStr">
        <is>
          <t>Abdul</t>
        </is>
      </c>
    </row>
    <row r="475">
      <c r="A475" s="30" t="inlineStr">
        <is>
          <t>26/09/2026 15:19:10</t>
        </is>
      </c>
      <c r="B475" s="30" t="inlineStr">
        <is>
          <t>NVMYPZXMS000048335</t>
        </is>
      </c>
      <c r="C475" s="30" t="inlineStr">
        <is>
          <t>269622699040</t>
        </is>
      </c>
      <c r="D475" s="30" t="inlineStr">
        <is>
          <t>91881225</t>
        </is>
      </c>
      <c r="E475" s="30" t="inlineStr">
        <is>
          <t>KV</t>
        </is>
      </c>
      <c r="F475" s="30" t="inlineStr">
        <is>
          <t>KSR</t>
        </is>
      </c>
      <c r="G475" s="30" t="inlineStr">
        <is>
          <t>KSR - ID - AZRI</t>
        </is>
      </c>
      <c r="H475" s="30" t="inlineStr">
        <is>
          <t>LM</t>
        </is>
      </c>
      <c r="I475" s="30" t="inlineStr">
        <is>
          <t>Fake Fail</t>
        </is>
      </c>
      <c r="J475" s="30" t="inlineStr">
        <is>
          <t>driver reach at wrong location</t>
        </is>
      </c>
      <c r="K475" s="30" t="inlineStr">
        <is>
          <t>Abdul</t>
        </is>
      </c>
    </row>
    <row r="476">
      <c r="A476" s="30" t="inlineStr">
        <is>
          <t>26/09/2026 15:24:00</t>
        </is>
      </c>
      <c r="B476" s="30" t="inlineStr">
        <is>
          <t>MYNJV70098335768</t>
        </is>
      </c>
      <c r="C476" s="30" t="inlineStr">
        <is>
          <t>269522693333</t>
        </is>
      </c>
      <c r="D476" s="30" t="inlineStr">
        <is>
          <t>91894847</t>
        </is>
      </c>
      <c r="E476" s="30" t="inlineStr">
        <is>
          <t>KV</t>
        </is>
      </c>
      <c r="F476" s="30" t="inlineStr">
        <is>
          <t>OUG</t>
        </is>
      </c>
      <c r="G476" s="30" t="inlineStr">
        <is>
          <t>OPS - OUG</t>
        </is>
      </c>
      <c r="H476" s="30" t="inlineStr">
        <is>
          <t>LM</t>
        </is>
      </c>
      <c r="I476" s="30" t="inlineStr">
        <is>
          <t>Fake Fail</t>
        </is>
      </c>
      <c r="J476" s="30" t="inlineStr">
        <is>
          <t>call wrong number</t>
        </is>
      </c>
      <c r="K476" s="30" t="inlineStr">
        <is>
          <t>Abdul</t>
        </is>
      </c>
    </row>
    <row r="477">
      <c r="A477" s="30" t="inlineStr">
        <is>
          <t>26/09/2026 16:13:36</t>
        </is>
      </c>
      <c r="B477" s="30" t="inlineStr">
        <is>
          <t xml:space="preserve">TNGDV2609186906917950
</t>
        </is>
      </c>
      <c r="C477" s="30" t="inlineStr">
        <is>
          <t>263112681758</t>
        </is>
      </c>
      <c r="D477" s="30" t="inlineStr">
        <is>
          <t>91874311</t>
        </is>
      </c>
      <c r="E477" s="30" t="inlineStr">
        <is>
          <t>North East</t>
        </is>
      </c>
      <c r="F477" s="30" t="inlineStr">
        <is>
          <t xml:space="preserve">MRG </t>
        </is>
      </c>
      <c r="G477" s="30" t="inlineStr">
        <is>
          <t>MRG - ID - NAZIHAH</t>
        </is>
      </c>
      <c r="H477" s="30" t="inlineStr">
        <is>
          <t>LM</t>
        </is>
      </c>
      <c r="I477" s="30" t="inlineStr">
        <is>
          <t>Fake Success</t>
        </is>
      </c>
      <c r="J477" s="30" t="inlineStr">
        <is>
          <t>invalid pod-cust didnt recieved</t>
        </is>
      </c>
      <c r="K477" s="30" t="inlineStr">
        <is>
          <t>Abdul</t>
        </is>
      </c>
    </row>
    <row r="478">
      <c r="A478" s="30" t="inlineStr">
        <is>
          <t>26/09/2026 16:16:29</t>
        </is>
      </c>
      <c r="B478" s="30" t="inlineStr">
        <is>
          <t>EMY260282044KR
EMY260282024KR
EMY260282043KR</t>
        </is>
      </c>
      <c r="C478" s="30" t="inlineStr">
        <is>
          <t>262452672633</t>
        </is>
      </c>
      <c r="D478" s="30" t="inlineStr">
        <is>
          <t>91884443</t>
        </is>
      </c>
      <c r="E478" s="30" t="inlineStr">
        <is>
          <t>Northern</t>
        </is>
      </c>
      <c r="F478" s="30" t="inlineStr">
        <is>
          <t xml:space="preserve">SIM </t>
        </is>
      </c>
      <c r="G478" s="30" t="inlineStr">
        <is>
          <t>SIM - ID - IMRANNN</t>
        </is>
      </c>
      <c r="H478" s="30" t="inlineStr">
        <is>
          <t>LM</t>
        </is>
      </c>
      <c r="I478" s="30" t="inlineStr">
        <is>
          <t>Fake Success</t>
        </is>
      </c>
      <c r="J478" s="30" t="inlineStr">
        <is>
          <t xml:space="preserve">cust receives parcel sameday after she made a complaint </t>
        </is>
      </c>
      <c r="K478" s="30" t="inlineStr">
        <is>
          <t xml:space="preserve">Yana </t>
        </is>
      </c>
    </row>
    <row r="479">
      <c r="A479" s="30" t="inlineStr">
        <is>
          <t>26/09/2026 16:22:38</t>
        </is>
      </c>
      <c r="B479" s="30" t="inlineStr">
        <is>
          <t>NVMYDOCMY000089670</t>
        </is>
      </c>
      <c r="C479" s="30" t="inlineStr">
        <is>
          <t>262692699404</t>
        </is>
      </c>
      <c r="D479" s="30" t="inlineStr">
        <is>
          <t>91895018</t>
        </is>
      </c>
      <c r="E479" s="30" t="inlineStr">
        <is>
          <t>Northern</t>
        </is>
      </c>
      <c r="F479" s="30" t="inlineStr">
        <is>
          <t>JIT</t>
        </is>
      </c>
      <c r="G479" s="30" t="inlineStr">
        <is>
          <t>JIT - OPS - HUBJITRA</t>
        </is>
      </c>
      <c r="H479" s="30" t="inlineStr">
        <is>
          <t>LM</t>
        </is>
      </c>
      <c r="I479" s="30" t="inlineStr">
        <is>
          <t>Fake Fail</t>
        </is>
      </c>
      <c r="J479" s="30" t="inlineStr">
        <is>
          <t xml:space="preserve">driver attach invald call log and not belong to customer </t>
        </is>
      </c>
      <c r="K479" s="30" t="inlineStr">
        <is>
          <t>zati</t>
        </is>
      </c>
    </row>
    <row r="480">
      <c r="A480" s="30" t="inlineStr">
        <is>
          <t>26/09/2026 16:23:15</t>
        </is>
      </c>
      <c r="B480" s="30" t="inlineStr">
        <is>
          <t>AEMYA000633164</t>
        </is>
      </c>
      <c r="C480" s="30" t="inlineStr">
        <is>
          <t>265722693974</t>
        </is>
      </c>
      <c r="D480" s="30" t="inlineStr">
        <is>
          <t>91894222</t>
        </is>
      </c>
      <c r="E480" s="30" t="inlineStr">
        <is>
          <t>East MY</t>
        </is>
      </c>
      <c r="F480" s="30" t="inlineStr">
        <is>
          <t xml:space="preserve">BKW </t>
        </is>
      </c>
      <c r="G480" s="30" t="inlineStr">
        <is>
          <t>BKW - ID - KENNETH</t>
        </is>
      </c>
      <c r="H480" s="30" t="inlineStr">
        <is>
          <t>LM</t>
        </is>
      </c>
      <c r="I480" s="30" t="inlineStr">
        <is>
          <t>Fake Fail</t>
        </is>
      </c>
      <c r="J480" s="30" t="inlineStr">
        <is>
          <t>invalid call log attached for faild delivery</t>
        </is>
      </c>
      <c r="K480" s="30" t="inlineStr">
        <is>
          <t>AIMENN AIYAD</t>
        </is>
      </c>
    </row>
    <row r="481">
      <c r="A481" s="30" t="inlineStr">
        <is>
          <t>26/09/2026 16:26:31</t>
        </is>
      </c>
      <c r="B481" s="30" t="inlineStr">
        <is>
          <t>TNGE126077410792712000</t>
        </is>
      </c>
      <c r="C481" s="30" t="inlineStr">
        <is>
          <t>260102686201</t>
        </is>
      </c>
      <c r="D481" s="30" t="inlineStr">
        <is>
          <t>91876766</t>
        </is>
      </c>
      <c r="E481" s="30" t="inlineStr">
        <is>
          <t>KV</t>
        </is>
      </c>
      <c r="F481" s="30" t="inlineStr">
        <is>
          <t xml:space="preserve">BRP </t>
        </is>
      </c>
      <c r="G481" s="30" t="inlineStr">
        <is>
          <t>BRP - ID - NOORWAHIDA</t>
        </is>
      </c>
      <c r="H481" s="30" t="inlineStr">
        <is>
          <t>LM</t>
        </is>
      </c>
      <c r="I481" s="30" t="inlineStr">
        <is>
          <t>Deliver to Wrong Address</t>
        </is>
      </c>
      <c r="J481" s="30" t="inlineStr">
        <is>
          <t xml:space="preserve">driver deliver to neighbor address, cust retrieved parcel by herself </t>
        </is>
      </c>
      <c r="K481" s="30" t="inlineStr">
        <is>
          <t xml:space="preserve">Yana </t>
        </is>
      </c>
    </row>
    <row r="482">
      <c r="A482" s="30" t="inlineStr">
        <is>
          <t>26/09/2026 16:26:46</t>
        </is>
      </c>
      <c r="B482" s="30" t="inlineStr">
        <is>
          <t>MYNJV70088805988</t>
        </is>
      </c>
      <c r="C482" s="30" t="inlineStr">
        <is>
          <t>267092680995</t>
        </is>
      </c>
      <c r="D482" s="30" t="inlineStr">
        <is>
          <t>91879469</t>
        </is>
      </c>
      <c r="E482" s="30" t="inlineStr">
        <is>
          <t>KV</t>
        </is>
      </c>
      <c r="F482" s="30" t="inlineStr">
        <is>
          <t xml:space="preserve">AMP </t>
        </is>
      </c>
      <c r="G482" s="30" t="inlineStr">
        <is>
          <t>AMP - ID - AJMAL</t>
        </is>
      </c>
      <c r="H482" s="30" t="inlineStr">
        <is>
          <t>LM</t>
        </is>
      </c>
      <c r="I482" s="30" t="inlineStr">
        <is>
          <t>Deliver to Wrong Address</t>
        </is>
      </c>
      <c r="J482" s="30" t="inlineStr">
        <is>
          <t>delivered to wrong address</t>
        </is>
      </c>
      <c r="K482" s="30" t="inlineStr">
        <is>
          <t>Abdul</t>
        </is>
      </c>
    </row>
    <row r="483">
      <c r="A483" s="30" t="inlineStr">
        <is>
          <t>26/09/2026 16:27:36</t>
        </is>
      </c>
      <c r="B483" s="30" t="inlineStr">
        <is>
          <t>NVMYAIRSP102334442</t>
        </is>
      </c>
      <c r="C483" s="30" t="inlineStr">
        <is>
          <t>267162692953</t>
        </is>
      </c>
      <c r="D483" s="30" t="inlineStr">
        <is>
          <t>91903919</t>
        </is>
      </c>
      <c r="E483" s="30" t="inlineStr">
        <is>
          <t>KV</t>
        </is>
      </c>
      <c r="F483" s="30" t="inlineStr">
        <is>
          <t>OUG</t>
        </is>
      </c>
      <c r="G483" s="30" t="inlineStr">
        <is>
          <t>OPS - OUG</t>
        </is>
      </c>
      <c r="H483" s="30" t="inlineStr">
        <is>
          <t>LM</t>
        </is>
      </c>
      <c r="I483" s="30" t="inlineStr">
        <is>
          <t>Fake Fail</t>
        </is>
      </c>
      <c r="J483" s="30" t="inlineStr">
        <is>
          <t>location attach by driver is not customer house</t>
        </is>
      </c>
      <c r="K483" s="30" t="inlineStr">
        <is>
          <t>zati</t>
        </is>
      </c>
    </row>
    <row r="484">
      <c r="A484" s="30" t="inlineStr">
        <is>
          <t>26/09/2026 16:29:40</t>
        </is>
      </c>
      <c r="B484" s="30" t="inlineStr">
        <is>
          <t>NVMYPKONG000005347</t>
        </is>
      </c>
      <c r="C484" s="30" t="inlineStr">
        <is>
          <t>268782691813</t>
        </is>
      </c>
      <c r="D484" s="30" t="inlineStr">
        <is>
          <t>91894863</t>
        </is>
      </c>
      <c r="E484" s="30" t="inlineStr">
        <is>
          <t>KV</t>
        </is>
      </c>
      <c r="F484" s="30" t="inlineStr">
        <is>
          <t>OUG</t>
        </is>
      </c>
      <c r="G484" s="30" t="inlineStr">
        <is>
          <t>OPS - OUG</t>
        </is>
      </c>
      <c r="H484" s="30" t="inlineStr">
        <is>
          <t>LM</t>
        </is>
      </c>
      <c r="I484" s="30" t="inlineStr">
        <is>
          <t>Fake Fail</t>
        </is>
      </c>
      <c r="J484" s="30" t="inlineStr">
        <is>
          <t xml:space="preserve">driver attach call log but not show customer contact number </t>
        </is>
      </c>
      <c r="K484" s="30" t="inlineStr">
        <is>
          <t>zati</t>
        </is>
      </c>
    </row>
    <row r="485">
      <c r="A485" s="30" t="inlineStr">
        <is>
          <t>26/09/2026 16:30:01</t>
        </is>
      </c>
      <c r="B485" s="30" t="inlineStr">
        <is>
          <t>TNGDV2609216958934590</t>
        </is>
      </c>
      <c r="C485" s="30" t="inlineStr">
        <is>
          <t>267882686236</t>
        </is>
      </c>
      <c r="D485" s="30" t="inlineStr">
        <is>
          <t>91886121</t>
        </is>
      </c>
      <c r="E485" s="30" t="inlineStr">
        <is>
          <t>KV</t>
        </is>
      </c>
      <c r="F485" s="30" t="inlineStr">
        <is>
          <t xml:space="preserve">STL </t>
        </is>
      </c>
      <c r="G485" s="30" t="inlineStr">
        <is>
          <t>STL - ID - SHAFIQ</t>
        </is>
      </c>
      <c r="H485" s="30" t="inlineStr">
        <is>
          <t>LM</t>
        </is>
      </c>
      <c r="I485" s="30" t="inlineStr">
        <is>
          <t>Fake Success</t>
        </is>
      </c>
      <c r="J485" s="30" t="inlineStr">
        <is>
          <t xml:space="preserve">cust receives parcel after made a complaint </t>
        </is>
      </c>
      <c r="K485" s="30" t="inlineStr">
        <is>
          <t xml:space="preserve">Yana </t>
        </is>
      </c>
    </row>
    <row r="486">
      <c r="A486" s="30" t="inlineStr">
        <is>
          <t>26/09/2026 17:07:23</t>
        </is>
      </c>
      <c r="B486" s="30" t="inlineStr">
        <is>
          <t xml:space="preserve">AEMYA000634721
AEMYA000634535 </t>
        </is>
      </c>
      <c r="C486" s="30" t="inlineStr">
        <is>
          <t>265012697156</t>
        </is>
      </c>
      <c r="D486" s="30" t="inlineStr">
        <is>
          <t>91873701</t>
        </is>
      </c>
      <c r="E486" s="30" t="inlineStr">
        <is>
          <t>KV</t>
        </is>
      </c>
      <c r="F486" s="30" t="inlineStr">
        <is>
          <t xml:space="preserve">KSR </t>
        </is>
      </c>
      <c r="G486" s="30" t="inlineStr">
        <is>
          <t>KSR - ID - ERFAN</t>
        </is>
      </c>
      <c r="H486" s="30" t="inlineStr">
        <is>
          <t>LM</t>
        </is>
      </c>
      <c r="I486" s="30" t="inlineStr">
        <is>
          <t>Fake Fail</t>
        </is>
      </c>
      <c r="J486" s="30" t="inlineStr">
        <is>
          <t>driver attach wrong location and not customer house</t>
        </is>
      </c>
      <c r="K486" s="30" t="inlineStr">
        <is>
          <t>zati</t>
        </is>
      </c>
    </row>
    <row r="487">
      <c r="A487" s="30" t="inlineStr">
        <is>
          <t>26/09/2026 16:42:13</t>
        </is>
      </c>
      <c r="B487" s="30" t="inlineStr">
        <is>
          <t xml:space="preserve">TNGDV2609186880120580 </t>
        </is>
      </c>
      <c r="C487" s="30" t="inlineStr">
        <is>
          <t>264512686033</t>
        </is>
      </c>
      <c r="D487" s="30" t="inlineStr">
        <is>
          <t>91884728</t>
        </is>
      </c>
      <c r="E487" s="30" t="inlineStr">
        <is>
          <t>KV</t>
        </is>
      </c>
      <c r="F487" s="30" t="inlineStr">
        <is>
          <t xml:space="preserve">PUC </t>
        </is>
      </c>
      <c r="G487" s="30" t="inlineStr">
        <is>
          <t xml:space="preserve">
PUC - ID - AZAHAR</t>
        </is>
      </c>
      <c r="H487" s="30" t="inlineStr">
        <is>
          <t>LM</t>
        </is>
      </c>
      <c r="I487" s="30" t="inlineStr">
        <is>
          <t>Deliver to Wrong Address</t>
        </is>
      </c>
      <c r="J487" s="30" t="inlineStr">
        <is>
          <t>delivered to wrong address</t>
        </is>
      </c>
      <c r="K487" s="30" t="inlineStr">
        <is>
          <t>Abdul</t>
        </is>
      </c>
    </row>
    <row r="488">
      <c r="A488" s="30" t="inlineStr">
        <is>
          <t>26/09/2026 16:58:16</t>
        </is>
      </c>
      <c r="B488" s="30" t="inlineStr">
        <is>
          <t>LSGMY5913756</t>
        </is>
      </c>
      <c r="C488" s="30" t="inlineStr">
        <is>
          <t>269112694626</t>
        </is>
      </c>
      <c r="D488" s="30" t="inlineStr">
        <is>
          <t>91899226</t>
        </is>
      </c>
      <c r="E488" s="30" t="inlineStr">
        <is>
          <t>KV</t>
        </is>
      </c>
      <c r="F488" s="30" t="inlineStr">
        <is>
          <t>PJY</t>
        </is>
      </c>
      <c r="G488" s="30" t="inlineStr">
        <is>
          <t xml:space="preserve">OPS - PJY
</t>
        </is>
      </c>
      <c r="H488" s="30" t="inlineStr">
        <is>
          <t>LM</t>
        </is>
      </c>
      <c r="I488" s="30" t="inlineStr">
        <is>
          <t>Fake Fail</t>
        </is>
      </c>
      <c r="J488" s="30" t="inlineStr">
        <is>
          <t>Failed by OPS no call log attach</t>
        </is>
      </c>
      <c r="K488" s="30" t="inlineStr">
        <is>
          <t>AIMENN AIYAD</t>
        </is>
      </c>
    </row>
    <row r="489">
      <c r="A489" s="30" t="inlineStr">
        <is>
          <t>26/09/2026 17:03:00</t>
        </is>
      </c>
      <c r="B489" s="30" t="inlineStr">
        <is>
          <t xml:space="preserve">NVMYANSRI001028392
</t>
        </is>
      </c>
      <c r="C489" s="30" t="inlineStr">
        <is>
          <t>268562682941</t>
        </is>
      </c>
      <c r="D489" s="30" t="inlineStr">
        <is>
          <t>91884998</t>
        </is>
      </c>
      <c r="E489" s="30" t="inlineStr">
        <is>
          <t>Southern</t>
        </is>
      </c>
      <c r="F489" s="30" t="inlineStr">
        <is>
          <t xml:space="preserve">TGI </t>
        </is>
      </c>
      <c r="G489" s="30" t="inlineStr">
        <is>
          <t xml:space="preserve">
TGI - ID - ARJUNA OSMAN</t>
        </is>
      </c>
      <c r="H489" s="30" t="inlineStr">
        <is>
          <t>LM</t>
        </is>
      </c>
      <c r="I489" s="30" t="inlineStr">
        <is>
          <t>Deliver to Wrong Address</t>
        </is>
      </c>
      <c r="J489" s="30" t="inlineStr">
        <is>
          <t>delivered to wrong addresss</t>
        </is>
      </c>
      <c r="K489" s="30" t="inlineStr">
        <is>
          <t>Abdul</t>
        </is>
      </c>
    </row>
    <row r="490">
      <c r="A490" s="30" t="inlineStr">
        <is>
          <t>26/09/2026 17:08:14</t>
        </is>
      </c>
      <c r="B490" s="30" t="inlineStr">
        <is>
          <t>AEMYA000638031</t>
        </is>
      </c>
      <c r="C490" s="30" t="inlineStr">
        <is>
          <t>267972698646</t>
        </is>
      </c>
      <c r="D490" s="30" t="inlineStr">
        <is>
          <t>91899226</t>
        </is>
      </c>
      <c r="E490" s="30" t="inlineStr">
        <is>
          <t>KV</t>
        </is>
      </c>
      <c r="F490" s="30" t="inlineStr">
        <is>
          <t>PJY</t>
        </is>
      </c>
      <c r="G490" s="30" t="inlineStr">
        <is>
          <t>OPS - PJY</t>
        </is>
      </c>
      <c r="H490" s="30" t="inlineStr">
        <is>
          <t>LM</t>
        </is>
      </c>
      <c r="I490" s="30" t="inlineStr">
        <is>
          <t>Fake Fail</t>
        </is>
      </c>
      <c r="J490" s="30" t="inlineStr">
        <is>
          <t>fail by OPS without call log</t>
        </is>
      </c>
      <c r="K490" s="30" t="inlineStr">
        <is>
          <t>AIMENN AIYAD</t>
        </is>
      </c>
    </row>
    <row r="491">
      <c r="A491" s="30" t="inlineStr">
        <is>
          <t>26/09/2026 17:08:24</t>
        </is>
      </c>
      <c r="B491" s="30" t="inlineStr">
        <is>
          <t>NVMYNINJA002529523</t>
        </is>
      </c>
      <c r="C491" s="30" t="inlineStr">
        <is>
          <t>262072696111</t>
        </is>
      </c>
      <c r="D491" s="30" t="inlineStr">
        <is>
          <t>91900050</t>
        </is>
      </c>
      <c r="E491" s="30" t="inlineStr">
        <is>
          <t>KV</t>
        </is>
      </c>
      <c r="F491" s="30" t="inlineStr">
        <is>
          <t xml:space="preserve"> BTK</t>
        </is>
      </c>
      <c r="G491" s="30" t="inlineStr">
        <is>
          <t>BTK - OPS - AZRUL</t>
        </is>
      </c>
      <c r="H491" s="30" t="inlineStr">
        <is>
          <t>LM</t>
        </is>
      </c>
      <c r="I491" s="30" t="inlineStr">
        <is>
          <t>Fake Fail</t>
        </is>
      </c>
      <c r="J491" s="30" t="inlineStr">
        <is>
          <t xml:space="preserve">driver attach invalid call log and not belong to customer </t>
        </is>
      </c>
      <c r="K491" s="30" t="inlineStr">
        <is>
          <t>zati</t>
        </is>
      </c>
    </row>
    <row r="492">
      <c r="A492" s="30" t="inlineStr">
        <is>
          <t>26/09/2026 17:10:53</t>
        </is>
      </c>
      <c r="B492" s="30" t="inlineStr">
        <is>
          <t>TNGDV2609226930143260</t>
        </is>
      </c>
      <c r="C492" s="30" t="inlineStr">
        <is>
          <t>261362699298</t>
        </is>
      </c>
      <c r="D492" s="30" t="inlineStr">
        <is>
          <t>91895065</t>
        </is>
      </c>
      <c r="E492" s="30" t="inlineStr">
        <is>
          <t>Southern</t>
        </is>
      </c>
      <c r="F492" s="30" t="inlineStr">
        <is>
          <t>PTN</t>
        </is>
      </c>
      <c r="G492" s="30" t="inlineStr">
        <is>
          <t>PTN - OPS - IZZ</t>
        </is>
      </c>
      <c r="H492" s="30" t="inlineStr">
        <is>
          <t>LM</t>
        </is>
      </c>
      <c r="I492" s="30" t="inlineStr">
        <is>
          <t>Fake Fail</t>
        </is>
      </c>
      <c r="J492" s="30" t="inlineStr">
        <is>
          <t>Call log not the customer's number</t>
        </is>
      </c>
      <c r="K492" s="30" t="inlineStr">
        <is>
          <t>Wani</t>
        </is>
      </c>
    </row>
    <row r="493">
      <c r="A493" s="30" t="inlineStr">
        <is>
          <t>26/09/2026 17:12:49</t>
        </is>
      </c>
      <c r="B493" s="30" t="inlineStr">
        <is>
          <t>TNGDV2609216958016760</t>
        </is>
      </c>
      <c r="C493" s="30" t="inlineStr">
        <is>
          <t>260502686686</t>
        </is>
      </c>
      <c r="D493" s="30" t="inlineStr">
        <is>
          <t>91882829</t>
        </is>
      </c>
      <c r="E493" s="30" t="inlineStr">
        <is>
          <t>KV</t>
        </is>
      </c>
      <c r="F493" s="30" t="inlineStr">
        <is>
          <t xml:space="preserve">MLT </t>
        </is>
      </c>
      <c r="G493" s="30" t="inlineStr">
        <is>
          <t xml:space="preserve">
MLT - ID - MOHD REDZA</t>
        </is>
      </c>
      <c r="H493" s="30" t="inlineStr">
        <is>
          <t>LM</t>
        </is>
      </c>
      <c r="I493" s="30" t="inlineStr">
        <is>
          <t>Fake Success</t>
        </is>
      </c>
      <c r="J493" s="30" t="inlineStr">
        <is>
          <t>cust didnt received</t>
        </is>
      </c>
      <c r="K493" s="30" t="inlineStr">
        <is>
          <t>Abdul</t>
        </is>
      </c>
    </row>
    <row r="494">
      <c r="A494" s="30" t="inlineStr">
        <is>
          <t>26/09/2026 17:25:47</t>
        </is>
      </c>
      <c r="B494" s="30" t="inlineStr">
        <is>
          <t>NVMYMLISS000018021</t>
        </is>
      </c>
      <c r="C494" s="30" t="inlineStr">
        <is>
          <t>264002697334</t>
        </is>
      </c>
      <c r="D494" s="30" t="inlineStr">
        <is>
          <t>91813081</t>
        </is>
      </c>
      <c r="E494" s="30" t="inlineStr">
        <is>
          <t>South West</t>
        </is>
      </c>
      <c r="F494" s="30" t="inlineStr">
        <is>
          <t>BHU</t>
        </is>
      </c>
      <c r="G494" s="30" t="inlineStr">
        <is>
          <t>BHU - ID - USMAN</t>
        </is>
      </c>
      <c r="H494" s="30" t="inlineStr">
        <is>
          <t>LM</t>
        </is>
      </c>
      <c r="I494" s="30" t="inlineStr">
        <is>
          <t>Fake Success</t>
        </is>
      </c>
      <c r="J494" s="30" t="inlineStr">
        <is>
          <t xml:space="preserve">Customer complained about not receiving the parcel despite the status showing as completed. The customer claim did not received any notification from the driver which caused the parcel lost. Parcel exceed 7 days claim period. </t>
        </is>
      </c>
      <c r="K494" s="30" t="inlineStr">
        <is>
          <t>Huzair</t>
        </is>
      </c>
    </row>
    <row r="495">
      <c r="A495" s="30" t="inlineStr">
        <is>
          <t>26/09/2026 17:35:59</t>
        </is>
      </c>
      <c r="B495" s="30" t="inlineStr">
        <is>
          <t xml:space="preserve">ECMY827980022
</t>
        </is>
      </c>
      <c r="C495" s="30" t="inlineStr">
        <is>
          <t>264282695297</t>
        </is>
      </c>
      <c r="D495" s="30" t="inlineStr">
        <is>
          <t>91879273</t>
        </is>
      </c>
      <c r="E495" s="30" t="inlineStr">
        <is>
          <t>KV</t>
        </is>
      </c>
      <c r="F495" s="30" t="inlineStr">
        <is>
          <t xml:space="preserve">WMJ </t>
        </is>
      </c>
      <c r="G495" s="30" t="inlineStr">
        <is>
          <t xml:space="preserve">
WMJ - ID - MUHAMMAD FAHMI</t>
        </is>
      </c>
      <c r="H495" s="30" t="inlineStr">
        <is>
          <t>LM</t>
        </is>
      </c>
      <c r="I495" s="30" t="inlineStr">
        <is>
          <t>Deliver to Wrong Address</t>
        </is>
      </c>
      <c r="J495" s="30" t="inlineStr">
        <is>
          <t>deliver wrong address</t>
        </is>
      </c>
      <c r="K495" s="30" t="inlineStr">
        <is>
          <t>Abdul</t>
        </is>
      </c>
    </row>
    <row r="496">
      <c r="A496" s="30" t="inlineStr">
        <is>
          <t>26/09/2026 17:36:33</t>
        </is>
      </c>
      <c r="B496" s="30" t="inlineStr">
        <is>
          <t>DOINK24607A</t>
        </is>
      </c>
      <c r="C496" s="30" t="inlineStr">
        <is>
          <t>266322695088</t>
        </is>
      </c>
      <c r="D496" s="30" t="inlineStr">
        <is>
          <t>91901146</t>
        </is>
      </c>
      <c r="E496" s="30" t="inlineStr">
        <is>
          <t>Southern</t>
        </is>
      </c>
      <c r="F496" s="30" t="inlineStr">
        <is>
          <t>NSJ</t>
        </is>
      </c>
      <c r="G496" s="30" t="inlineStr">
        <is>
          <t>OPS - NSJ</t>
        </is>
      </c>
      <c r="H496" s="30" t="inlineStr">
        <is>
          <t>LM</t>
        </is>
      </c>
      <c r="I496" s="30" t="inlineStr">
        <is>
          <t>Fake Fail</t>
        </is>
      </c>
      <c r="J496" s="30" t="inlineStr">
        <is>
          <t>failed by OPS without valid call log</t>
        </is>
      </c>
      <c r="K496" s="30" t="inlineStr">
        <is>
          <t>AIMENN AIYAD</t>
        </is>
      </c>
    </row>
    <row r="497">
      <c r="A497" s="30" t="inlineStr">
        <is>
          <t>26/09/2026 17:36:39</t>
        </is>
      </c>
      <c r="B497" s="30" t="inlineStr">
        <is>
          <t>NVMYNINJA002495587</t>
        </is>
      </c>
      <c r="C497" s="30" t="inlineStr">
        <is>
          <t>269332687434</t>
        </is>
      </c>
      <c r="D497" s="30" t="inlineStr">
        <is>
          <t>91774753</t>
        </is>
      </c>
      <c r="E497" s="30" t="inlineStr">
        <is>
          <t>KV</t>
        </is>
      </c>
      <c r="F497" s="30" t="inlineStr">
        <is>
          <t xml:space="preserve">SEG </t>
        </is>
      </c>
      <c r="G497" s="30" t="inlineStr">
        <is>
          <t>SEG - ID - RINA ANGRAINI</t>
        </is>
      </c>
      <c r="H497" s="30" t="inlineStr">
        <is>
          <t>LM</t>
        </is>
      </c>
      <c r="I497" s="30" t="inlineStr">
        <is>
          <t>Deliver to Wrong Address</t>
        </is>
      </c>
      <c r="J497" s="30" t="inlineStr">
        <is>
          <t xml:space="preserve">driver deliver to wrong address, cust not receievs the parcel </t>
        </is>
      </c>
      <c r="K497" s="30" t="inlineStr">
        <is>
          <t xml:space="preserve">Yana </t>
        </is>
      </c>
    </row>
    <row r="498">
      <c r="A498" s="30" t="inlineStr">
        <is>
          <t>26/09/2026 17:41:46</t>
        </is>
      </c>
      <c r="B498" s="30" t="inlineStr">
        <is>
          <t>THLTH1552157980114247680</t>
        </is>
      </c>
      <c r="C498" s="30" t="inlineStr">
        <is>
          <t>265942698217</t>
        </is>
      </c>
      <c r="D498" s="30" t="inlineStr">
        <is>
          <t>91892354</t>
        </is>
      </c>
      <c r="E498" s="30" t="inlineStr">
        <is>
          <t>North East</t>
        </is>
      </c>
      <c r="F498" s="30" t="inlineStr">
        <is>
          <t xml:space="preserve">BCK </t>
        </is>
      </c>
      <c r="G498" s="30" t="inlineStr">
        <is>
          <t xml:space="preserve">
BCK - ID - RAZLAN
</t>
        </is>
      </c>
      <c r="H498" s="30" t="inlineStr">
        <is>
          <t>LM</t>
        </is>
      </c>
      <c r="I498" s="30" t="inlineStr">
        <is>
          <t>Fake Success</t>
        </is>
      </c>
      <c r="J498" s="30" t="inlineStr">
        <is>
          <t>cust didnt received</t>
        </is>
      </c>
      <c r="K498" s="30" t="inlineStr">
        <is>
          <t>Abdul</t>
        </is>
      </c>
    </row>
    <row r="499">
      <c r="A499" s="30" t="inlineStr">
        <is>
          <t>27/09/2026 14:29:24</t>
        </is>
      </c>
      <c r="B499" s="30" t="inlineStr">
        <is>
          <t>NVMYNINJA002519165</t>
        </is>
      </c>
      <c r="C499" s="30" t="inlineStr">
        <is>
          <t>268172691043</t>
        </is>
      </c>
      <c r="D499" s="30" t="inlineStr">
        <is>
          <t>91894656</t>
        </is>
      </c>
      <c r="E499" s="30" t="inlineStr">
        <is>
          <t>Southern</t>
        </is>
      </c>
      <c r="F499" s="30" t="inlineStr">
        <is>
          <t xml:space="preserve">KEM </t>
        </is>
      </c>
      <c r="G499" s="30" t="inlineStr">
        <is>
          <t>MTG - FM - Shazwan Saupi</t>
        </is>
      </c>
      <c r="H499" s="30" t="inlineStr">
        <is>
          <t>LM</t>
        </is>
      </c>
      <c r="I499" s="30" t="inlineStr">
        <is>
          <t>CMI (Can't Make It)</t>
        </is>
      </c>
      <c r="J499" s="30" t="inlineStr">
        <is>
          <t xml:space="preserve">No call and message provided </t>
        </is>
      </c>
      <c r="K499" s="30" t="inlineStr">
        <is>
          <t>Daus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2026-09-28T09:19:46Z</dcterms:created>
  <dcterms:modified xsi:type="dcterms:W3CDTF">2026-09-28T09:19:48Z</dcterms:modified>
</cp:coreProperties>
</file>